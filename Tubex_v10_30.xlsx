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'Production_Log'!$A$2:$R$75</definedName>
    <definedName name="_xlnm._FilterDatabase" localSheetId="5" hidden="1">'Product_Catalog'!$A$2:$S$53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0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48" fillId="0" borderId="20" applyAlignment="1" pivotButton="0" quotePrefix="0" xfId="0">
      <alignment horizontal="center" vertical="center"/>
    </xf>
    <xf numFmtId="0" fontId="48" fillId="0" borderId="20" applyAlignment="1" pivotButton="0" quotePrefix="0" xfId="0">
      <alignment horizontal="left" vertical="center"/>
    </xf>
    <xf numFmtId="3" fontId="48" fillId="0" borderId="20" applyAlignment="1" pivotButton="0" quotePrefix="0" xfId="0">
      <alignment horizontal="left" vertical="center"/>
    </xf>
    <xf numFmtId="171" fontId="48" fillId="0" borderId="20" applyAlignment="1" pivotButton="0" quotePrefix="0" xfId="0">
      <alignment horizontal="center" vertical="center"/>
    </xf>
    <xf numFmtId="3" fontId="48" fillId="0" borderId="20" applyAlignment="1" pivotButton="0" quotePrefix="0" xfId="0">
      <alignment horizontal="center" vertical="center"/>
    </xf>
    <xf numFmtId="3" fontId="49" fillId="0" borderId="20" applyAlignment="1" pivotButton="0" quotePrefix="0" xfId="0">
      <alignment horizontal="center" vertical="center"/>
    </xf>
    <xf numFmtId="9" fontId="48" fillId="0" borderId="20" applyAlignment="1" pivotButton="0" quotePrefix="0" xfId="0">
      <alignment horizontal="center" vertical="center"/>
    </xf>
    <xf numFmtId="0" fontId="49" fillId="0" borderId="20" applyAlignment="1" pivotButton="0" quotePrefix="0" xfId="0">
      <alignment horizontal="left" vertical="center"/>
    </xf>
    <xf numFmtId="0" fontId="41" fillId="3" borderId="18" applyAlignment="1" pivotButton="0" quotePrefix="0" xfId="0">
      <alignment horizontal="left" vertical="center"/>
    </xf>
    <xf numFmtId="169" fontId="41" fillId="3" borderId="18" applyAlignment="1" pivotButton="0" quotePrefix="0" xfId="0">
      <alignment horizontal="center" vertical="center"/>
    </xf>
    <xf numFmtId="0" fontId="41" fillId="3" borderId="18" applyAlignment="1" pivotButton="0" quotePrefix="0" xfId="0">
      <alignment horizontal="right" vertical="center"/>
    </xf>
    <xf numFmtId="3" fontId="41" fillId="3" borderId="18" applyAlignment="1" pivotButton="0" quotePrefix="0" xfId="0">
      <alignment horizontal="center" vertical="center"/>
    </xf>
    <xf numFmtId="0" fontId="48" fillId="0" borderId="19" pivotButton="0" quotePrefix="0" xfId="0"/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37" fillId="3" borderId="19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0" fontId="36" fillId="3" borderId="19" applyAlignment="1" pivotButton="0" quotePrefix="0" xfId="0">
      <alignment horizontal="center" vertical="center"/>
    </xf>
    <xf numFmtId="3" fontId="36" fillId="5" borderId="19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26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>
    <filterColumn colId="3" hiddenButton="0" showButton="1">
      <filters>
        <filter val="S-45"/>
        <filter val="TUBES"/>
      </filters>
    </filterColumn>
  </autoFilter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3" zoomScaleNormal="100" workbookViewId="0">
      <selection activeCell="A1" sqref="A1:O26"/>
    </sheetView>
  </sheetViews>
  <sheetFormatPr baseColWidth="8" defaultColWidth="8.7109375" defaultRowHeight="16.5"/>
  <cols>
    <col width="1.5703125" customWidth="1" style="222" min="1" max="1"/>
    <col width="7" customWidth="1" style="222" min="2" max="2"/>
    <col width="32.7109375" customWidth="1" style="222" min="3" max="3"/>
    <col width="38.7109375" customWidth="1" style="222" min="4" max="4"/>
    <col width="8.85546875" customWidth="1" style="223" min="5" max="5"/>
    <col width="9.140625" customWidth="1" style="222" min="6" max="6"/>
    <col width="11" customWidth="1" style="224" min="7" max="7"/>
    <col width="11.140625" customWidth="1" style="222" min="8" max="8"/>
    <col width="10.28515625" customWidth="1" style="222" min="9" max="9"/>
    <col width="10.5703125" customWidth="1" style="222" min="10" max="10"/>
    <col width="9.28515625" customWidth="1" style="222" min="11" max="11"/>
    <col width="33.85546875" customWidth="1" style="222" min="12" max="12"/>
    <col width="14.7109375" customWidth="1" style="222" min="13" max="13"/>
    <col width="13.28515625" customWidth="1" style="222" min="14" max="14"/>
    <col width="9.5703125" customWidth="1" style="222" min="15" max="15"/>
    <col width="8.7109375" customWidth="1" style="222" min="16" max="52"/>
    <col width="8.7109375" customWidth="1" style="222" min="53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31" t="inlineStr">
        <is>
          <t>Summary of Production &amp; Dispatch - MTD</t>
        </is>
      </c>
      <c r="C9" s="232" t="n"/>
      <c r="D9" s="232" t="n"/>
      <c r="E9" s="232" t="n"/>
      <c r="F9" s="232" t="n"/>
      <c r="G9" s="232" t="n"/>
      <c r="H9" s="232" t="n"/>
      <c r="I9" s="232" t="n"/>
      <c r="J9" s="232" t="n"/>
      <c r="K9" s="232" t="n"/>
      <c r="L9" s="232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93" t="inlineStr">
        <is>
          <t>TUBE</t>
        </is>
      </c>
      <c r="C11" s="294" t="inlineStr">
        <is>
          <t>Brookes Pharma Private Limited</t>
        </is>
      </c>
      <c r="D11" s="295" t="inlineStr">
        <is>
          <t>ECZEMUS OINTMENT 0.03% 10G</t>
        </is>
      </c>
      <c r="E11" s="296" t="n">
        <v>16</v>
      </c>
      <c r="F11" s="297" t="n">
        <v>6561</v>
      </c>
      <c r="G11" s="297">
        <f>IFERROR(INDEX(MRP!$F$3:$F$9,MATCH(Tubex_Dashboard!F11,MRP!$D$3:$D$9,0)),0)</f>
        <v/>
      </c>
      <c r="H11" s="298">
        <f>SUMPRODUCT((Production_Log!$F$3:$F$8963=F11)*(LEFT(Production_Log!$B$3:$B$8963,5)="Print")*(ISERROR(SEARCH("(Varnish)",Production_Log!$D$3:$D$8963)))*Production_Log!$H$3:$H$8963)</f>
        <v/>
      </c>
      <c r="I11" s="297">
        <f>G11-H11</f>
        <v/>
      </c>
      <c r="J11" s="299">
        <f>IF(G11=0,"-",H11/G11)</f>
        <v/>
      </c>
      <c r="K11" s="298" t="n"/>
      <c r="L11" s="300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93" t="inlineStr">
        <is>
          <t>TUBE</t>
        </is>
      </c>
      <c r="C12" s="294" t="inlineStr">
        <is>
          <t>Samsol International Private Limited</t>
        </is>
      </c>
      <c r="D12" s="295" t="inlineStr">
        <is>
          <t>S 43 25MM</t>
        </is>
      </c>
      <c r="E12" s="296" t="n">
        <v>25</v>
      </c>
      <c r="F12" s="297" t="n">
        <v>3447</v>
      </c>
      <c r="G12" s="297" t="n">
        <v>30000</v>
      </c>
      <c r="H12" s="298">
        <f>SUMPRODUCT((Production_Log!$F$3:$F$8963=F12)*(LEFT(Production_Log!$B$3:$B$8963,5)="Print")*(ISERROR(SEARCH("(Varnish)",Production_Log!$D$3:$D$8963)))*Production_Log!$H$3:$H$8963)</f>
        <v/>
      </c>
      <c r="I12" s="297">
        <f>G12-H12</f>
        <v/>
      </c>
      <c r="J12" s="299">
        <f>IF(G12=0,"-",H12/G12)</f>
        <v/>
      </c>
      <c r="K12" s="298" t="n">
        <v>90048</v>
      </c>
      <c r="L12" s="300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93" t="inlineStr">
        <is>
          <t>TUBE</t>
        </is>
      </c>
      <c r="C13" s="294" t="inlineStr">
        <is>
          <t>Samsol International Private Limited</t>
        </is>
      </c>
      <c r="D13" s="295" t="inlineStr">
        <is>
          <t>TUBES COMMON RED</t>
        </is>
      </c>
      <c r="E13" s="296" t="n">
        <v>25</v>
      </c>
      <c r="F13" s="297" t="n">
        <v>6470</v>
      </c>
      <c r="G13" s="297" t="n">
        <v>62000</v>
      </c>
      <c r="H13" s="298">
        <f>SUMPRODUCT((Production_Log!$F$3:$F$8963=F13)*(LEFT(Production_Log!$B$3:$B$8963,5)="Print")*(ISERROR(SEARCH("(Varnish)",Production_Log!$D$3:$D$8963)))*Production_Log!$H$3:$H$8963)</f>
        <v/>
      </c>
      <c r="I13" s="297">
        <f>G13-H13</f>
        <v/>
      </c>
      <c r="J13" s="299">
        <f>IF(G13=0,"-",H13/G13)</f>
        <v/>
      </c>
      <c r="K13" s="298" t="n">
        <v>62496</v>
      </c>
      <c r="L13" s="300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93" t="inlineStr">
        <is>
          <t>TUBE</t>
        </is>
      </c>
      <c r="C14" s="294" t="inlineStr">
        <is>
          <t>Samsol International Private Limited</t>
        </is>
      </c>
      <c r="D14" s="295" t="inlineStr">
        <is>
          <t>TUBE COMMON PURPLE</t>
        </is>
      </c>
      <c r="E14" s="296" t="n">
        <v>25</v>
      </c>
      <c r="F14" s="297" t="n">
        <v>6532</v>
      </c>
      <c r="G14" s="297" t="n">
        <v>30000</v>
      </c>
      <c r="H14" s="298">
        <f>SUMPRODUCT((Production_Log!$F$3:$F$8963=F14)*(LEFT(Production_Log!$B$3:$B$8963,5)="Print")*(ISERROR(SEARCH("(Varnish)",Production_Log!$D$3:$D$8963)))*Production_Log!$H$3:$H$8963)</f>
        <v/>
      </c>
      <c r="I14" s="297">
        <f>G14-H14</f>
        <v/>
      </c>
      <c r="J14" s="299">
        <f>IF(G14=0,"-",H14/G14)</f>
        <v/>
      </c>
      <c r="K14" s="298" t="n"/>
      <c r="L14" s="300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93" t="inlineStr">
        <is>
          <t>TUBE</t>
        </is>
      </c>
      <c r="C15" s="294" t="inlineStr">
        <is>
          <t>Samsol International Private Limited</t>
        </is>
      </c>
      <c r="D15" s="295" t="inlineStr">
        <is>
          <t>S-45</t>
        </is>
      </c>
      <c r="E15" s="296" t="n">
        <v>25</v>
      </c>
      <c r="F15" s="297" t="n">
        <v>5389</v>
      </c>
      <c r="G15" s="297" t="n">
        <v>48176</v>
      </c>
      <c r="H15" s="298">
        <f>SUMPRODUCT((Production_Log!$F$3:$F$8963=F15)*(LEFT(Production_Log!$B$3:$B$8963,5)="Print")*(ISERROR(SEARCH("(Varnish)",Production_Log!$D$3:$D$8963)))*Production_Log!$H$3:$H$8963)</f>
        <v/>
      </c>
      <c r="I15" s="297">
        <f>G15-H15</f>
        <v/>
      </c>
      <c r="J15" s="299">
        <f>IF(G15=0,"-",H15/G15)</f>
        <v/>
      </c>
      <c r="K15" s="298" t="n">
        <v>44352</v>
      </c>
      <c r="L15" s="300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93" t="inlineStr">
        <is>
          <t>TUBE</t>
        </is>
      </c>
      <c r="C16" s="294" t="inlineStr">
        <is>
          <t>Samsol International Private Limited</t>
        </is>
      </c>
      <c r="D16" s="295" t="inlineStr">
        <is>
          <t>TUBES</t>
        </is>
      </c>
      <c r="E16" s="296" t="n">
        <v>25</v>
      </c>
      <c r="F16" s="297" t="n">
        <v>3726</v>
      </c>
      <c r="G16" s="297" t="n">
        <v>0</v>
      </c>
      <c r="H16" s="298">
        <f>SUMPRODUCT((Production_Log!$F$3:$F$8963=F16)*(LEFT(Production_Log!$B$3:$B$8963,5)="Print")*(ISERROR(SEARCH("(Varnish)",Production_Log!$D$3:$D$8963)))*Production_Log!$H$3:$H$8963)</f>
        <v/>
      </c>
      <c r="I16" s="297">
        <f>G16-H16</f>
        <v/>
      </c>
      <c r="J16" s="299">
        <f>IF(G16=0,"-",H16/G16)</f>
        <v/>
      </c>
      <c r="K16" s="298" t="n">
        <v>55776</v>
      </c>
      <c r="L16" s="300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93" t="inlineStr">
        <is>
          <t>TUBE</t>
        </is>
      </c>
      <c r="C17" s="294" t="inlineStr">
        <is>
          <t>Golden Pearl Cosmetics (PVT) LTD</t>
        </is>
      </c>
      <c r="D17" s="295" t="inlineStr">
        <is>
          <t>HELLO HAIR COLOR</t>
        </is>
      </c>
      <c r="E17" s="296" t="n">
        <v>30</v>
      </c>
      <c r="F17" s="297" t="n">
        <v>6206</v>
      </c>
      <c r="G17" s="297">
        <f>IFERROR(INDEX(MRP!$F$3:$F$9,MATCH(Tubex_Dashboard!F17,MRP!$D$3:$D$9,0)),0)</f>
        <v/>
      </c>
      <c r="H17" s="298">
        <f>SUMPRODUCT((Production_Log!$F$3:$F$8963=F17)*(LEFT(Production_Log!$B$3:$B$8963,5)="Print")*(ISERROR(SEARCH("(Varnish)",Production_Log!$D$3:$D$8963)))*Production_Log!$H$3:$H$8963)</f>
        <v/>
      </c>
      <c r="I17" s="297">
        <f>G17-H17</f>
        <v/>
      </c>
      <c r="J17" s="299">
        <f>IF(G17=0,"-",H17/G17)</f>
        <v/>
      </c>
      <c r="K17" s="298" t="n"/>
      <c r="L17" s="300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93" t="inlineStr">
        <is>
          <t>TUBE</t>
        </is>
      </c>
      <c r="C18" s="294" t="inlineStr">
        <is>
          <t>Mablay Beauty PVT LTD.</t>
        </is>
      </c>
      <c r="D18" s="295" t="inlineStr">
        <is>
          <t>VINCE NURTURAL</t>
        </is>
      </c>
      <c r="E18" s="296" t="n">
        <v>30</v>
      </c>
      <c r="F18" s="297" t="n">
        <v>5814</v>
      </c>
      <c r="G18" s="297">
        <f>IFERROR(INDEX(MRP!$F$3:$F$9,MATCH(Tubex_Dashboard!F18,MRP!$D$3:$D$9,0)),0)</f>
        <v/>
      </c>
      <c r="H18" s="298">
        <f>SUMPRODUCT((Production_Log!$F$3:$F$8963=F18)*(LEFT(Production_Log!$B$3:$B$8963,5)="Print")*(ISERROR(SEARCH("(Varnish)",Production_Log!$D$3:$D$8963)))*Production_Log!$H$3:$H$8963)</f>
        <v/>
      </c>
      <c r="I18" s="297">
        <f>G18-H18</f>
        <v/>
      </c>
      <c r="J18" s="299">
        <f>IF(G18=0,"-",H18/G18)</f>
        <v/>
      </c>
      <c r="K18" s="298" t="n"/>
      <c r="L18" s="300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93" t="inlineStr">
        <is>
          <t>TUBE</t>
        </is>
      </c>
      <c r="C19" s="294" t="inlineStr">
        <is>
          <t>Adore</t>
        </is>
      </c>
      <c r="D19" s="295" t="inlineStr">
        <is>
          <t>V- HC BROWN</t>
        </is>
      </c>
      <c r="E19" s="296" t="n">
        <v>35</v>
      </c>
      <c r="F19" s="297" t="n">
        <v>6530</v>
      </c>
      <c r="G19" s="297">
        <f>IFERROR(INDEX(MRP!$F$3:$F$9,MATCH(Tubex_Dashboard!F19,MRP!$D$3:$D$9,0)),0)</f>
        <v/>
      </c>
      <c r="H19" s="298">
        <f>SUMPRODUCT((Production_Log!$F$3:$F$8963=F19)*(LEFT(Production_Log!$B$3:$B$8963,5)="Print")*(ISERROR(SEARCH("(Varnish)",Production_Log!$D$3:$D$8963)))*Production_Log!$H$3:$H$8963)</f>
        <v/>
      </c>
      <c r="I19" s="297">
        <f>G19-H19</f>
        <v/>
      </c>
      <c r="J19" s="299">
        <f>IF(G19=0,"-",H19/G19)</f>
        <v/>
      </c>
      <c r="K19" s="298" t="n"/>
      <c r="L19" s="300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301" t="n"/>
      <c r="C20" s="302" t="n"/>
      <c r="D20" s="303" t="inlineStr">
        <is>
          <t>TOTAL</t>
        </is>
      </c>
      <c r="E20" s="301" t="n"/>
      <c r="F20" s="302" t="n"/>
      <c r="G20" s="304">
        <f>SUM(G11:G19)</f>
        <v/>
      </c>
      <c r="H20" s="304">
        <f>SUM(H11:H19)</f>
        <v/>
      </c>
      <c r="I20" s="304">
        <f>SUMIF(I11:I19,"&gt;"&amp;0)</f>
        <v/>
      </c>
      <c r="J20" s="304" t="n"/>
      <c r="K20" s="304">
        <f>SUM(K11:K19)</f>
        <v/>
      </c>
      <c r="L20" s="304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93" t="inlineStr">
        <is>
          <t>PET</t>
        </is>
      </c>
      <c r="C21" s="294" t="inlineStr">
        <is>
          <t>Samsol International Private Limited</t>
        </is>
      </c>
      <c r="D21" s="295" t="inlineStr">
        <is>
          <t>PET BOTTLE SMALL (120ML) YELLOW</t>
        </is>
      </c>
      <c r="E21" s="296" t="inlineStr">
        <is>
          <t>120 ml</t>
        </is>
      </c>
      <c r="F21" s="297" t="n">
        <v>8005</v>
      </c>
      <c r="G21" s="297" t="n">
        <v>19840</v>
      </c>
      <c r="H21" s="298">
        <f>SUMPRODUCT((Production_Log!$F$3:$F$8963=F21)*Production_Log!$H$3:$H$8963)</f>
        <v/>
      </c>
      <c r="I21" s="297">
        <f>G21-H21</f>
        <v/>
      </c>
      <c r="J21" s="299">
        <f>IF(G21=0,"-",H21/G21)</f>
        <v/>
      </c>
      <c r="K21" s="298" t="n"/>
      <c r="L21" s="300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93" t="inlineStr">
        <is>
          <t>PET</t>
        </is>
      </c>
      <c r="C22" s="294" t="inlineStr">
        <is>
          <t>Alpha Labs PVT LTD</t>
        </is>
      </c>
      <c r="D22" s="295" t="inlineStr">
        <is>
          <t>TRANSPARENT BOTTLE 150ML</t>
        </is>
      </c>
      <c r="E22" s="296" t="inlineStr">
        <is>
          <t>150 ml</t>
        </is>
      </c>
      <c r="F22" s="297" t="n">
        <v>8001</v>
      </c>
      <c r="G22" s="297" t="n">
        <v>249997</v>
      </c>
      <c r="H22" s="298">
        <f>SUMPRODUCT((Production_Log!$F$3:$F$8963=F22)*Production_Log!$H$3:$H$8963)</f>
        <v/>
      </c>
      <c r="I22" s="297">
        <f>G22-H22</f>
        <v/>
      </c>
      <c r="J22" s="299">
        <f>IF(G22=0,"-",H22/G22)</f>
        <v/>
      </c>
      <c r="K22" s="298" t="n">
        <v>63480</v>
      </c>
      <c r="L22" s="300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93" t="inlineStr">
        <is>
          <t>PET</t>
        </is>
      </c>
      <c r="C23" s="294" t="inlineStr">
        <is>
          <t>Samsol International Private Limited</t>
        </is>
      </c>
      <c r="D23" s="295" t="inlineStr">
        <is>
          <t>PET BOTTLE LARGE 200ML WHITE</t>
        </is>
      </c>
      <c r="E23" s="296" t="inlineStr">
        <is>
          <t>200 ml</t>
        </is>
      </c>
      <c r="F23" s="297" t="n">
        <v>8007</v>
      </c>
      <c r="G23" s="297" t="n">
        <v>10000</v>
      </c>
      <c r="H23" s="298">
        <f>SUMPRODUCT((Production_Log!$F$3:$F$8963=F23)*Production_Log!$H$3:$H$8963)</f>
        <v/>
      </c>
      <c r="I23" s="297">
        <f>G23-H23</f>
        <v/>
      </c>
      <c r="J23" s="299">
        <f>IF(G23=0,"-",H23/G23)</f>
        <v/>
      </c>
      <c r="K23" s="298" t="n"/>
      <c r="L23" s="300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93" t="inlineStr">
        <is>
          <t>PET</t>
        </is>
      </c>
      <c r="C24" s="294" t="inlineStr">
        <is>
          <t>Samsol International Private Limited</t>
        </is>
      </c>
      <c r="D24" s="295" t="inlineStr">
        <is>
          <t>BT-200 ML YELLOW</t>
        </is>
      </c>
      <c r="E24" s="296" t="inlineStr">
        <is>
          <t>200 ml</t>
        </is>
      </c>
      <c r="F24" s="297" t="n">
        <v>8006</v>
      </c>
      <c r="G24" s="297" t="n">
        <v>42400</v>
      </c>
      <c r="H24" s="298">
        <f>SUMPRODUCT((Production_Log!$F$3:$F$8963=F24)*Production_Log!$H$3:$H$8963)</f>
        <v/>
      </c>
      <c r="I24" s="297">
        <f>G24-H24</f>
        <v/>
      </c>
      <c r="J24" s="299">
        <f>IF(G24=0,"-",H24/G24)</f>
        <v/>
      </c>
      <c r="K24" s="298" t="n"/>
      <c r="L24" s="300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93" t="inlineStr">
        <is>
          <t>PET</t>
        </is>
      </c>
      <c r="C25" s="294" t="inlineStr">
        <is>
          <t>Samsol International Private Limited</t>
        </is>
      </c>
      <c r="D25" s="295" t="inlineStr">
        <is>
          <t>BT-200ML MUSTARD OIL (TRANSPARENT)</t>
        </is>
      </c>
      <c r="E25" s="296" t="inlineStr">
        <is>
          <t>200 ml</t>
        </is>
      </c>
      <c r="F25" s="297" t="n">
        <v>8014</v>
      </c>
      <c r="G25" s="297" t="n">
        <v>10000</v>
      </c>
      <c r="H25" s="298">
        <f>SUMPRODUCT((Production_Log!$F$3:$F$8963=F25)*Production_Log!$H$3:$H$8963)</f>
        <v/>
      </c>
      <c r="I25" s="297">
        <f>G25-H25</f>
        <v/>
      </c>
      <c r="J25" s="299">
        <f>IF(G25=0,"-",H25/G25)</f>
        <v/>
      </c>
      <c r="K25" s="298" t="n"/>
      <c r="L25" s="300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301" t="n"/>
      <c r="C26" s="302" t="n"/>
      <c r="D26" s="303" t="inlineStr">
        <is>
          <t>TOTAL</t>
        </is>
      </c>
      <c r="E26" s="301" t="n"/>
      <c r="F26" s="302" t="n"/>
      <c r="G26" s="304">
        <f>SUM(G21:G25)</f>
        <v/>
      </c>
      <c r="H26" s="304">
        <f>SUM(H21:H25)</f>
        <v/>
      </c>
      <c r="I26" s="304">
        <f>SUMIF(I21:I25,"&gt;"&amp;0)</f>
        <v/>
      </c>
      <c r="J26" s="304" t="n"/>
      <c r="K26" s="304">
        <f>SUM(K21:K25)</f>
        <v/>
      </c>
      <c r="L26" s="304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93" t="inlineStr">
        <is>
          <t>TUBE</t>
        </is>
      </c>
      <c r="C27" s="294" t="inlineStr">
        <is>
          <t>Bahadur</t>
        </is>
      </c>
      <c r="D27" s="295" t="inlineStr">
        <is>
          <t>BAHADUR TUBE 12.5MM</t>
        </is>
      </c>
      <c r="E27" s="296" t="n">
        <v>12.5</v>
      </c>
      <c r="F27" s="297" t="n">
        <v>9004</v>
      </c>
      <c r="G27" s="297" t="n">
        <v>0</v>
      </c>
      <c r="H27" s="298">
        <f>SUMPRODUCT((Production_Log!$F$3:$F$8963=F27)*(LEFT(Production_Log!$B$3:$B$8963,5)="Print")*(ISERROR(SEARCH("(Varnish)",Production_Log!$D$3:$D$8963)))*Production_Log!$H$3:$H$8963)</f>
        <v/>
      </c>
      <c r="I27" s="297">
        <f>G27-H27</f>
        <v/>
      </c>
      <c r="J27" s="299">
        <f>IF(G27=0,"-",H27/G27)</f>
        <v/>
      </c>
      <c r="K27" s="298" t="n"/>
      <c r="L27" s="300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93" t="inlineStr">
        <is>
          <t>TUBE</t>
        </is>
      </c>
      <c r="C28" s="294" t="inlineStr">
        <is>
          <t>Samsol International Private Limited</t>
        </is>
      </c>
      <c r="D28" s="295" t="inlineStr">
        <is>
          <t>S-45 DIA 19MM</t>
        </is>
      </c>
      <c r="E28" s="296" t="n">
        <v>19</v>
      </c>
      <c r="F28" s="297" t="n">
        <v>6624</v>
      </c>
      <c r="G28" s="297" t="n">
        <v>0</v>
      </c>
      <c r="H28" s="298">
        <f>SUMPRODUCT((Production_Log!$F$3:$F$8963=F28)*(LEFT(Production_Log!$B$3:$B$8963,5)="Print")*(ISERROR(SEARCH("(Varnish)",Production_Log!$D$3:$D$8963)))*Production_Log!$H$3:$H$8963)</f>
        <v/>
      </c>
      <c r="I28" s="297">
        <f>G28-H28</f>
        <v/>
      </c>
      <c r="J28" s="299">
        <f>IF(G28=0,"-",H28/G28)</f>
        <v/>
      </c>
      <c r="K28" s="298" t="n"/>
      <c r="L28" s="300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93" t="inlineStr">
        <is>
          <t>TUBE</t>
        </is>
      </c>
      <c r="C29" s="294" t="inlineStr">
        <is>
          <t>Samsol International Private Limited</t>
        </is>
      </c>
      <c r="D29" s="295" t="inlineStr">
        <is>
          <t>S-43 DIA 19MM</t>
        </is>
      </c>
      <c r="E29" s="296" t="n">
        <v>19</v>
      </c>
      <c r="F29" s="297" t="n">
        <v>6623</v>
      </c>
      <c r="G29" s="297" t="n">
        <v>0</v>
      </c>
      <c r="H29" s="298">
        <f>SUMPRODUCT((Production_Log!$F$3:$F$8963=F29)*(LEFT(Production_Log!$B$3:$B$8963,5)="Print")*(ISERROR(SEARCH("(Varnish)",Production_Log!$D$3:$D$8963)))*Production_Log!$H$3:$H$8963)</f>
        <v/>
      </c>
      <c r="I29" s="297">
        <f>G29-H29</f>
        <v/>
      </c>
      <c r="J29" s="299">
        <f>IF(G29=0,"-",H29/G29)</f>
        <v/>
      </c>
      <c r="K29" s="298" t="n"/>
      <c r="L29" s="300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93" t="inlineStr">
        <is>
          <t>TUBE</t>
        </is>
      </c>
      <c r="C30" s="294" t="inlineStr">
        <is>
          <t>Brookes Pharma Private Limited</t>
        </is>
      </c>
      <c r="D30" s="295" t="inlineStr">
        <is>
          <t>PHLOGIN GEL 20G</t>
        </is>
      </c>
      <c r="E30" s="296" t="n">
        <v>19</v>
      </c>
      <c r="F30" s="297" t="n">
        <v>6559</v>
      </c>
      <c r="G30" s="297" t="n">
        <v>0</v>
      </c>
      <c r="H30" s="298">
        <f>SUMPRODUCT((Production_Log!$F$3:$F$8963=F30)*(LEFT(Production_Log!$B$3:$B$8963,5)="Print")*(ISERROR(SEARCH("(Varnish)",Production_Log!$D$3:$D$8963)))*Production_Log!$H$3:$H$8963)</f>
        <v/>
      </c>
      <c r="I30" s="297">
        <f>G30-H30</f>
        <v/>
      </c>
      <c r="J30" s="299">
        <f>IF(G30=0,"-",H30/G30)</f>
        <v/>
      </c>
      <c r="K30" s="298" t="n"/>
      <c r="L30" s="300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93" t="inlineStr">
        <is>
          <t>TUBE</t>
        </is>
      </c>
      <c r="C31" s="294" t="inlineStr">
        <is>
          <t>Brookes Pharma Private Limited</t>
        </is>
      </c>
      <c r="D31" s="295" t="inlineStr">
        <is>
          <t>PYODINE GEL 20GM</t>
        </is>
      </c>
      <c r="E31" s="296" t="n">
        <v>19</v>
      </c>
      <c r="F31" s="297" t="n">
        <v>1085</v>
      </c>
      <c r="G31" s="297" t="n">
        <v>0</v>
      </c>
      <c r="H31" s="298">
        <f>SUMPRODUCT((Production_Log!$F$3:$F$8963=F31)*(LEFT(Production_Log!$B$3:$B$8963,5)="Print")*(ISERROR(SEARCH("(Varnish)",Production_Log!$D$3:$D$8963)))*Production_Log!$H$3:$H$8963)</f>
        <v/>
      </c>
      <c r="I31" s="297">
        <f>G31-H31</f>
        <v/>
      </c>
      <c r="J31" s="299">
        <f>IF(G31=0,"-",H31/G31)</f>
        <v/>
      </c>
      <c r="K31" s="298" t="n"/>
      <c r="L31" s="300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93" t="inlineStr">
        <is>
          <t>TUBE</t>
        </is>
      </c>
      <c r="C32" s="294" t="inlineStr">
        <is>
          <t>Brookes Pharma Private Limited</t>
        </is>
      </c>
      <c r="D32" s="295" t="inlineStr">
        <is>
          <t>CONTRATUBEX GEL 20G</t>
        </is>
      </c>
      <c r="E32" s="296" t="n">
        <v>19</v>
      </c>
      <c r="F32" s="297" t="n">
        <v>6560</v>
      </c>
      <c r="G32" s="297" t="n">
        <v>0</v>
      </c>
      <c r="H32" s="298">
        <f>SUMPRODUCT((Production_Log!$F$3:$F$8963=F32)*(LEFT(Production_Log!$B$3:$B$8963,5)="Print")*(ISERROR(SEARCH("(Varnish)",Production_Log!$D$3:$D$8963)))*Production_Log!$H$3:$H$8963)</f>
        <v/>
      </c>
      <c r="I32" s="297">
        <f>G32-H32</f>
        <v/>
      </c>
      <c r="J32" s="299">
        <f>IF(G32=0,"-",H32/G32)</f>
        <v/>
      </c>
      <c r="K32" s="298" t="n"/>
      <c r="L32" s="300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93" t="inlineStr">
        <is>
          <t>TUBE</t>
        </is>
      </c>
      <c r="C33" s="294" t="inlineStr">
        <is>
          <t>Samsol International Private Limited</t>
        </is>
      </c>
      <c r="D33" s="295" t="inlineStr">
        <is>
          <t>S-43 DIA 20.5</t>
        </is>
      </c>
      <c r="E33" s="296" t="n">
        <v>20.5</v>
      </c>
      <c r="F33" s="297" t="n">
        <v>5699</v>
      </c>
      <c r="G33" s="297" t="n">
        <v>0</v>
      </c>
      <c r="H33" s="298">
        <f>SUMPRODUCT((Production_Log!$F$3:$F$8963=F33)*(LEFT(Production_Log!$B$3:$B$8963,5)="Print")*(ISERROR(SEARCH("(Varnish)",Production_Log!$D$3:$D$8963)))*Production_Log!$H$3:$H$8963)</f>
        <v/>
      </c>
      <c r="I33" s="297">
        <f>G33-H33</f>
        <v/>
      </c>
      <c r="J33" s="299">
        <f>IF(G33=0,"-",H33/G33)</f>
        <v/>
      </c>
      <c r="K33" s="298" t="n"/>
      <c r="L33" s="300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93" t="inlineStr">
        <is>
          <t>TUBE</t>
        </is>
      </c>
      <c r="C34" s="294" t="inlineStr">
        <is>
          <t>Mablay Beauty PVT LTD.</t>
        </is>
      </c>
      <c r="D34" s="295" t="inlineStr">
        <is>
          <t>VINCE HIS ONLY BEARD &amp; MUSTACHE COLOR CREAM</t>
        </is>
      </c>
      <c r="E34" s="296" t="n">
        <v>20.5</v>
      </c>
      <c r="F34" s="297" t="n">
        <v>6077</v>
      </c>
      <c r="G34" s="297" t="n">
        <v>0</v>
      </c>
      <c r="H34" s="298">
        <f>SUMPRODUCT((Production_Log!$F$3:$F$8963=F34)*(LEFT(Production_Log!$B$3:$B$8963,5)="Print")*(ISERROR(SEARCH("(Varnish)",Production_Log!$D$3:$D$8963)))*Production_Log!$H$3:$H$8963)</f>
        <v/>
      </c>
      <c r="I34" s="297">
        <f>G34-H34</f>
        <v/>
      </c>
      <c r="J34" s="299">
        <f>IF(G34=0,"-",H34/G34)</f>
        <v/>
      </c>
      <c r="K34" s="298" t="n"/>
      <c r="L34" s="300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93" t="inlineStr">
        <is>
          <t>TUBE</t>
        </is>
      </c>
      <c r="C35" s="294" t="inlineStr">
        <is>
          <t>Samsol International Private Limited</t>
        </is>
      </c>
      <c r="D35" s="295" t="inlineStr">
        <is>
          <t>S-45 DIA 20.5</t>
        </is>
      </c>
      <c r="E35" s="296" t="n">
        <v>20.5</v>
      </c>
      <c r="F35" s="297" t="n">
        <v>5698</v>
      </c>
      <c r="G35" s="297" t="n">
        <v>0</v>
      </c>
      <c r="H35" s="298">
        <f>SUMPRODUCT((Production_Log!$F$3:$F$8963=F35)*(LEFT(Production_Log!$B$3:$B$8963,5)="Print")*(ISERROR(SEARCH("(Varnish)",Production_Log!$D$3:$D$8963)))*Production_Log!$H$3:$H$8963)</f>
        <v/>
      </c>
      <c r="I35" s="297">
        <f>G35-H35</f>
        <v/>
      </c>
      <c r="J35" s="299">
        <f>IF(G35=0,"-",H35/G35)</f>
        <v/>
      </c>
      <c r="K35" s="298" t="n"/>
      <c r="L35" s="300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93" t="inlineStr">
        <is>
          <t>TUBE</t>
        </is>
      </c>
      <c r="C36" s="294" t="inlineStr">
        <is>
          <t>Samsol International Private Limited</t>
        </is>
      </c>
      <c r="D36" s="295" t="inlineStr">
        <is>
          <t>SAMSOL HAIR COLOR 45 DIA 20.5 MM</t>
        </is>
      </c>
      <c r="E36" s="296" t="n">
        <v>20.5</v>
      </c>
      <c r="F36" s="297" t="n">
        <v>5731</v>
      </c>
      <c r="G36" s="297" t="n">
        <v>0</v>
      </c>
      <c r="H36" s="298">
        <f>SUMPRODUCT((Production_Log!$F$3:$F$8963=F36)*(LEFT(Production_Log!$B$3:$B$8963,5)="Print")*(ISERROR(SEARCH("(Varnish)",Production_Log!$D$3:$D$8963)))*Production_Log!$H$3:$H$8963)</f>
        <v/>
      </c>
      <c r="I36" s="297">
        <f>G36-H36</f>
        <v/>
      </c>
      <c r="J36" s="299">
        <f>IF(G36=0,"-",H36/G36)</f>
        <v/>
      </c>
      <c r="K36" s="298" t="n"/>
      <c r="L36" s="300" t="n"/>
      <c r="P36" s="136" t="n"/>
      <c r="Q36" s="136" t="n"/>
      <c r="R36" s="136" t="n"/>
      <c r="S36" s="222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2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93" t="inlineStr">
        <is>
          <t>TUBE</t>
        </is>
      </c>
      <c r="C37" s="294" t="inlineStr">
        <is>
          <t>Samsol International Private Limited</t>
        </is>
      </c>
      <c r="D37" s="295" t="inlineStr">
        <is>
          <t>SAMSOL HAIR COLOR 43 DIA 20.5 MM</t>
        </is>
      </c>
      <c r="E37" s="296" t="n">
        <v>20.5</v>
      </c>
      <c r="F37" s="297" t="n">
        <v>5732</v>
      </c>
      <c r="G37" s="297" t="n">
        <v>0</v>
      </c>
      <c r="H37" s="298">
        <f>SUMPRODUCT((Production_Log!$F$3:$F$8963=F37)*(LEFT(Production_Log!$B$3:$B$8963,5)="Print")*(ISERROR(SEARCH("(Varnish)",Production_Log!$D$3:$D$8963)))*Production_Log!$H$3:$H$8963)</f>
        <v/>
      </c>
      <c r="I37" s="297">
        <f>G37-H37</f>
        <v/>
      </c>
      <c r="J37" s="299">
        <f>IF(G37=0,"-",H37/G37)</f>
        <v/>
      </c>
      <c r="K37" s="298" t="n"/>
      <c r="L37" s="300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93" t="inlineStr">
        <is>
          <t>TUBE</t>
        </is>
      </c>
      <c r="C38" s="294" t="inlineStr">
        <is>
          <t>Samsol International Private Limited</t>
        </is>
      </c>
      <c r="D38" s="295" t="inlineStr">
        <is>
          <t>SAMSOL HAIR COLOR 39 SMALL PURPLE</t>
        </is>
      </c>
      <c r="E38" s="296" t="n">
        <v>20.5</v>
      </c>
      <c r="F38" s="297" t="n">
        <v>6556</v>
      </c>
      <c r="G38" s="297" t="n">
        <v>0</v>
      </c>
      <c r="H38" s="298">
        <f>SUMPRODUCT((Production_Log!$F$3:$F$8963=F38)*(LEFT(Production_Log!$B$3:$B$8963,5)="Print")*(ISERROR(SEARCH("(Varnish)",Production_Log!$D$3:$D$8963)))*Production_Log!$H$3:$H$8963)</f>
        <v/>
      </c>
      <c r="I38" s="297">
        <f>G38-H38</f>
        <v/>
      </c>
      <c r="J38" s="299">
        <f>IF(G38=0,"-",H38/G38)</f>
        <v/>
      </c>
      <c r="K38" s="298" t="n"/>
      <c r="L38" s="300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93" t="inlineStr">
        <is>
          <t>TUBE</t>
        </is>
      </c>
      <c r="C39" s="294" t="inlineStr">
        <is>
          <t>Samsol International Private Limited</t>
        </is>
      </c>
      <c r="D39" s="295" t="inlineStr">
        <is>
          <t>SAMSOL HAIR COLOR 41 SMALL PURPLE</t>
        </is>
      </c>
      <c r="E39" s="296" t="n">
        <v>20.5</v>
      </c>
      <c r="F39" s="297" t="n">
        <v>6557</v>
      </c>
      <c r="G39" s="297" t="n">
        <v>0</v>
      </c>
      <c r="H39" s="298">
        <f>SUMPRODUCT((Production_Log!$F$3:$F$8963=F39)*(LEFT(Production_Log!$B$3:$B$8963,5)="Print")*(ISERROR(SEARCH("(Varnish)",Production_Log!$D$3:$D$8963)))*Production_Log!$H$3:$H$8963)</f>
        <v/>
      </c>
      <c r="I39" s="297">
        <f>G39-H39</f>
        <v/>
      </c>
      <c r="J39" s="299">
        <f>IF(G39=0,"-",H39/G39)</f>
        <v/>
      </c>
      <c r="K39" s="298" t="n"/>
      <c r="L39" s="300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93" t="inlineStr">
        <is>
          <t>TUBE</t>
        </is>
      </c>
      <c r="C40" s="294" t="inlineStr">
        <is>
          <t>Mablay Beauty PVT LTD.</t>
        </is>
      </c>
      <c r="D40" s="295" t="inlineStr">
        <is>
          <t>HIS ONLY HAIR COLOR CREAM 40GM</t>
        </is>
      </c>
      <c r="E40" s="296" t="n">
        <v>25</v>
      </c>
      <c r="F40" s="297" t="n">
        <v>6228</v>
      </c>
      <c r="G40" s="297" t="n">
        <v>0</v>
      </c>
      <c r="H40" s="298">
        <f>SUMPRODUCT((Production_Log!$F$3:$F$8963=F40)*(LEFT(Production_Log!$B$3:$B$8963,5)="Print")*(ISERROR(SEARCH("(Varnish)",Production_Log!$D$3:$D$8963)))*Production_Log!$H$3:$H$8963)</f>
        <v/>
      </c>
      <c r="I40" s="297">
        <f>G40-H40</f>
        <v/>
      </c>
      <c r="J40" s="299">
        <f>IF(G40=0,"-",H40/G40)</f>
        <v/>
      </c>
      <c r="K40" s="298" t="n"/>
      <c r="L40" s="300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93" t="inlineStr">
        <is>
          <t>TUBE</t>
        </is>
      </c>
      <c r="C41" s="294" t="inlineStr">
        <is>
          <t>DTM</t>
        </is>
      </c>
      <c r="D41" s="295" t="inlineStr">
        <is>
          <t>DTM DIA 25MM</t>
        </is>
      </c>
      <c r="E41" s="296" t="n">
        <v>25</v>
      </c>
      <c r="F41" s="297" t="n">
        <v>6338</v>
      </c>
      <c r="G41" s="297" t="n">
        <v>0</v>
      </c>
      <c r="H41" s="298">
        <f>SUMPRODUCT((Production_Log!$F$3:$F$8963=F41)*(LEFT(Production_Log!$B$3:$B$8963,5)="Print")*(ISERROR(SEARCH("(Varnish)",Production_Log!$D$3:$D$8963)))*Production_Log!$H$3:$H$8963)</f>
        <v/>
      </c>
      <c r="I41" s="297">
        <f>G41-H41</f>
        <v/>
      </c>
      <c r="J41" s="299">
        <f>IF(G41=0,"-",H41/G41)</f>
        <v/>
      </c>
      <c r="K41" s="298" t="n"/>
      <c r="L41" s="300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93" t="inlineStr">
        <is>
          <t>TUBE</t>
        </is>
      </c>
      <c r="C42" s="294" t="inlineStr">
        <is>
          <t>Samsol International Private Limited</t>
        </is>
      </c>
      <c r="D42" s="295" t="inlineStr">
        <is>
          <t>TUBES MEN BLUE</t>
        </is>
      </c>
      <c r="E42" s="296" t="n">
        <v>25</v>
      </c>
      <c r="F42" s="297" t="n">
        <v>6506</v>
      </c>
      <c r="G42" s="297" t="n">
        <v>0</v>
      </c>
      <c r="H42" s="298">
        <f>SUMPRODUCT((Production_Log!$F$3:$F$8963=F42)*(LEFT(Production_Log!$B$3:$B$8963,5)="Print")*(ISERROR(SEARCH("(Varnish)",Production_Log!$D$3:$D$8963)))*Production_Log!$H$3:$H$8963)</f>
        <v/>
      </c>
      <c r="I42" s="297">
        <f>G42-H42</f>
        <v/>
      </c>
      <c r="J42" s="299">
        <f>IF(G42=0,"-",H42/G42)</f>
        <v/>
      </c>
      <c r="K42" s="298" t="n"/>
      <c r="L42" s="300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93" t="inlineStr">
        <is>
          <t>TUBE</t>
        </is>
      </c>
      <c r="C43" s="294" t="inlineStr">
        <is>
          <t>Samsol International Private Limited</t>
        </is>
      </c>
      <c r="D43" s="295" t="inlineStr">
        <is>
          <t>SAMSOL RED 25MM</t>
        </is>
      </c>
      <c r="E43" s="296" t="n">
        <v>25</v>
      </c>
      <c r="F43" s="297" t="n">
        <v>9006</v>
      </c>
      <c r="G43" s="297" t="n">
        <v>0</v>
      </c>
      <c r="H43" s="298">
        <f>SUMPRODUCT((Production_Log!$F$3:$F$8963=F43)*(LEFT(Production_Log!$B$3:$B$8963,5)="Print")*(ISERROR(SEARCH("(Varnish)",Production_Log!$D$3:$D$8963)))*Production_Log!$H$3:$H$8963)</f>
        <v/>
      </c>
      <c r="I43" s="297">
        <f>G43-H43</f>
        <v/>
      </c>
      <c r="J43" s="299">
        <f>IF(G43=0,"-",H43/G43)</f>
        <v/>
      </c>
      <c r="K43" s="298" t="n"/>
      <c r="L43" s="300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93" t="inlineStr">
        <is>
          <t>TUBE</t>
        </is>
      </c>
      <c r="C44" s="294" t="inlineStr">
        <is>
          <t>Professional Beauty Solution (Pvt) Ltd</t>
        </is>
      </c>
      <c r="D44" s="295" t="inlineStr">
        <is>
          <t>BELINI HAIR COLOR 50ML</t>
        </is>
      </c>
      <c r="E44" s="296" t="n">
        <v>25</v>
      </c>
      <c r="F44" s="297" t="n">
        <v>4227</v>
      </c>
      <c r="G44" s="297" t="n">
        <v>0</v>
      </c>
      <c r="H44" s="298">
        <f>SUMPRODUCT((Production_Log!$F$3:$F$8963=F44)*(LEFT(Production_Log!$B$3:$B$8963,5)="Print")*(ISERROR(SEARCH("(Varnish)",Production_Log!$D$3:$D$8963)))*Production_Log!$H$3:$H$8963)</f>
        <v/>
      </c>
      <c r="I44" s="297">
        <f>G44-H44</f>
        <v/>
      </c>
      <c r="J44" s="299">
        <f>IF(G44=0,"-",H44/G44)</f>
        <v/>
      </c>
      <c r="K44" s="298" t="n"/>
      <c r="L44" s="300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93" t="inlineStr">
        <is>
          <t>TUBE</t>
        </is>
      </c>
      <c r="C45" s="294" t="inlineStr">
        <is>
          <t>Seatle (Private) Limited</t>
        </is>
      </c>
      <c r="D45" s="295" t="inlineStr">
        <is>
          <t>DOWFEN GEL 50G</t>
        </is>
      </c>
      <c r="E45" s="296" t="n">
        <v>30</v>
      </c>
      <c r="F45" s="297" t="n">
        <v>6595</v>
      </c>
      <c r="G45" s="297" t="n">
        <v>0</v>
      </c>
      <c r="H45" s="298">
        <f>SUMPRODUCT((Production_Log!$F$3:$F$8963=F45)*(LEFT(Production_Log!$B$3:$B$8963,5)="Print")*(ISERROR(SEARCH("(Varnish)",Production_Log!$D$3:$D$8963)))*Production_Log!$H$3:$H$8963)</f>
        <v/>
      </c>
      <c r="I45" s="297">
        <f>G45-H45</f>
        <v/>
      </c>
      <c r="J45" s="299">
        <f>IF(G45=0,"-",H45/G45)</f>
        <v/>
      </c>
      <c r="K45" s="298" t="n"/>
      <c r="L45" s="300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93" t="inlineStr">
        <is>
          <t>TUBE</t>
        </is>
      </c>
      <c r="C46" s="294" t="inlineStr">
        <is>
          <t>Al-Rehman Group</t>
        </is>
      </c>
      <c r="D46" s="295" t="inlineStr">
        <is>
          <t>SIGNATURE HAIR COLOR CREAM 60ML</t>
        </is>
      </c>
      <c r="E46" s="296" t="n">
        <v>30</v>
      </c>
      <c r="F46" s="297" t="n">
        <v>6416</v>
      </c>
      <c r="G46" s="297" t="n">
        <v>0</v>
      </c>
      <c r="H46" s="298">
        <f>SUMPRODUCT((Production_Log!$F$3:$F$8963=F46)*(LEFT(Production_Log!$B$3:$B$8963,5)="Print")*(ISERROR(SEARCH("(Varnish)",Production_Log!$D$3:$D$8963)))*Production_Log!$H$3:$H$8963)</f>
        <v/>
      </c>
      <c r="I46" s="297">
        <f>G46-H46</f>
        <v/>
      </c>
      <c r="J46" s="299">
        <f>IF(G46=0,"-",H46/G46)</f>
        <v/>
      </c>
      <c r="K46" s="298" t="n"/>
      <c r="L46" s="300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93" t="inlineStr">
        <is>
          <t>TUBE</t>
        </is>
      </c>
      <c r="C47" s="294" t="inlineStr">
        <is>
          <t>Al-Rehman Group</t>
        </is>
      </c>
      <c r="D47" s="295" t="inlineStr">
        <is>
          <t>ACTIVE PRO HAIR COLOR CREAM 60ML</t>
        </is>
      </c>
      <c r="E47" s="296" t="n">
        <v>30</v>
      </c>
      <c r="F47" s="297" t="n">
        <v>6337</v>
      </c>
      <c r="G47" s="297" t="n">
        <v>0</v>
      </c>
      <c r="H47" s="298">
        <f>SUMPRODUCT((Production_Log!$F$3:$F$8963=F47)*(LEFT(Production_Log!$B$3:$B$8963,5)="Print")*(ISERROR(SEARCH("(Varnish)",Production_Log!$D$3:$D$8963)))*Production_Log!$H$3:$H$8963)</f>
        <v/>
      </c>
      <c r="I47" s="297">
        <f>G47-H47</f>
        <v/>
      </c>
      <c r="J47" s="299">
        <f>IF(G47=0,"-",H47/G47)</f>
        <v/>
      </c>
      <c r="K47" s="298" t="n"/>
      <c r="L47" s="300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93" t="inlineStr">
        <is>
          <t>TUBE</t>
        </is>
      </c>
      <c r="C48" s="294" t="inlineStr">
        <is>
          <t>Mablay Beauty PVT LTD.</t>
        </is>
      </c>
      <c r="D48" s="295" t="inlineStr">
        <is>
          <t>VINCE NURTURAL (Varnish)</t>
        </is>
      </c>
      <c r="E48" s="296" t="n">
        <v>30</v>
      </c>
      <c r="F48" s="297" t="n">
        <v>9002</v>
      </c>
      <c r="G48" s="297" t="n">
        <v>0</v>
      </c>
      <c r="H48" s="298">
        <f>SUMPRODUCT((Production_Log!$F$3:$F$8963=F48)*(LEFT(Production_Log!$B$3:$B$8963,5)="Print")*(ISERROR(SEARCH("(Varnish)",Production_Log!$D$3:$D$8963)))*Production_Log!$H$3:$H$8963)</f>
        <v/>
      </c>
      <c r="I48" s="297">
        <f>G48-H48</f>
        <v/>
      </c>
      <c r="J48" s="299">
        <f>IF(G48=0,"-",H48/G48)</f>
        <v/>
      </c>
      <c r="K48" s="298" t="n"/>
      <c r="L48" s="300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93" t="inlineStr">
        <is>
          <t>TUBE</t>
        </is>
      </c>
      <c r="C49" s="294" t="inlineStr">
        <is>
          <t>Professional Beauty Solution (PVT) LTD.Pakistan</t>
        </is>
      </c>
      <c r="D49" s="295" t="inlineStr">
        <is>
          <t>EAZICOLOR PREMIUM HAIR COLOUR 60ML</t>
        </is>
      </c>
      <c r="E49" s="296" t="n">
        <v>30</v>
      </c>
      <c r="F49" s="297" t="n">
        <v>4050</v>
      </c>
      <c r="G49" s="297" t="n">
        <v>0</v>
      </c>
      <c r="H49" s="298">
        <f>SUMPRODUCT((Production_Log!$F$3:$F$8963=F49)*(LEFT(Production_Log!$B$3:$B$8963,5)="Print")*(ISERROR(SEARCH("(Varnish)",Production_Log!$D$3:$D$8963)))*Production_Log!$H$3:$H$8963)</f>
        <v/>
      </c>
      <c r="I49" s="297">
        <f>G49-H49</f>
        <v/>
      </c>
      <c r="J49" s="299">
        <f>IF(G49=0,"-",H49/G49)</f>
        <v/>
      </c>
      <c r="K49" s="298" t="n"/>
      <c r="L49" s="300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93" t="inlineStr">
        <is>
          <t>TUBE</t>
        </is>
      </c>
      <c r="C50" s="294" t="inlineStr">
        <is>
          <t>Professional Beauty Solution (PVT) LTD.Pakistan</t>
        </is>
      </c>
      <c r="D50" s="295" t="inlineStr">
        <is>
          <t>HIBA S HAIR COLOR 60ML</t>
        </is>
      </c>
      <c r="E50" s="296" t="n">
        <v>30</v>
      </c>
      <c r="F50" s="297" t="n">
        <v>6312</v>
      </c>
      <c r="G50" s="297" t="n">
        <v>0</v>
      </c>
      <c r="H50" s="298">
        <f>SUMPRODUCT((Production_Log!$F$3:$F$8963=F50)*(LEFT(Production_Log!$B$3:$B$8963,5)="Print")*(ISERROR(SEARCH("(Varnish)",Production_Log!$D$3:$D$8963)))*Production_Log!$H$3:$H$8963)</f>
        <v/>
      </c>
      <c r="I50" s="297">
        <f>G50-H50</f>
        <v/>
      </c>
      <c r="J50" s="299">
        <f>IF(G50=0,"-",H50/G50)</f>
        <v/>
      </c>
      <c r="K50" s="298" t="n"/>
      <c r="L50" s="300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93" t="inlineStr">
        <is>
          <t>TUBE</t>
        </is>
      </c>
      <c r="C51" s="294" t="inlineStr">
        <is>
          <t>Professional Beauty Solution (PVT) LTD.Pakistan</t>
        </is>
      </c>
      <c r="D51" s="295" t="inlineStr">
        <is>
          <t>EAZI COLOR PERMANENT HAIR COLOUR 60ML</t>
        </is>
      </c>
      <c r="E51" s="296" t="n">
        <v>30</v>
      </c>
      <c r="F51" s="297" t="n">
        <v>2909</v>
      </c>
      <c r="G51" s="297" t="n">
        <v>0</v>
      </c>
      <c r="H51" s="298">
        <f>SUMPRODUCT((Production_Log!$F$3:$F$8963=F51)*(LEFT(Production_Log!$B$3:$B$8963,5)="Print")*(ISERROR(SEARCH("(Varnish)",Production_Log!$D$3:$D$8963)))*Production_Log!$H$3:$H$8963)</f>
        <v/>
      </c>
      <c r="I51" s="297">
        <f>G51-H51</f>
        <v/>
      </c>
      <c r="J51" s="299">
        <f>IF(G51=0,"-",H51/G51)</f>
        <v/>
      </c>
      <c r="K51" s="298" t="n"/>
      <c r="L51" s="300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93" t="inlineStr">
        <is>
          <t>TUBE</t>
        </is>
      </c>
      <c r="C52" s="294" t="inlineStr">
        <is>
          <t>Mateen Sons</t>
        </is>
      </c>
      <c r="D52" s="295" t="inlineStr">
        <is>
          <t>GP DIA 30MM</t>
        </is>
      </c>
      <c r="E52" s="296" t="n">
        <v>30</v>
      </c>
      <c r="F52" s="297" t="n">
        <v>6151</v>
      </c>
      <c r="G52" s="297" t="n">
        <v>0</v>
      </c>
      <c r="H52" s="298">
        <f>SUMPRODUCT((Production_Log!$F$3:$F$8963=F52)*(LEFT(Production_Log!$B$3:$B$8963,5)="Print")*(ISERROR(SEARCH("(Varnish)",Production_Log!$D$3:$D$8963)))*Production_Log!$H$3:$H$8963)</f>
        <v/>
      </c>
      <c r="I52" s="297">
        <f>G52-H52</f>
        <v/>
      </c>
      <c r="J52" s="299">
        <f>IF(G52=0,"-",H52/G52)</f>
        <v/>
      </c>
      <c r="K52" s="298" t="n"/>
      <c r="L52" s="300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93" t="inlineStr">
        <is>
          <t>TUBE</t>
        </is>
      </c>
      <c r="C53" s="294" t="inlineStr">
        <is>
          <t>Hola Hair</t>
        </is>
      </c>
      <c r="D53" s="295" t="inlineStr">
        <is>
          <t>H.H 100GM</t>
        </is>
      </c>
      <c r="E53" s="296" t="n">
        <v>32</v>
      </c>
      <c r="F53" s="297" t="n">
        <v>6515</v>
      </c>
      <c r="G53" s="297" t="n">
        <v>0</v>
      </c>
      <c r="H53" s="298">
        <f>SUMPRODUCT((Production_Log!$F$3:$F$8963=F53)*(LEFT(Production_Log!$B$3:$B$8963,5)="Print")*(ISERROR(SEARCH("(Varnish)",Production_Log!$D$3:$D$8963)))*Production_Log!$H$3:$H$8963)</f>
        <v/>
      </c>
      <c r="I53" s="297">
        <f>G53-H53</f>
        <v/>
      </c>
      <c r="J53" s="299">
        <f>IF(G53=0,"-",H53/G53)</f>
        <v/>
      </c>
      <c r="K53" s="298" t="n"/>
      <c r="L53" s="300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93" t="inlineStr">
        <is>
          <t>TUBE</t>
        </is>
      </c>
      <c r="C54" s="294" t="inlineStr">
        <is>
          <t>Mega Grey</t>
        </is>
      </c>
      <c r="D54" s="295" t="inlineStr">
        <is>
          <t>M.G</t>
        </is>
      </c>
      <c r="E54" s="296" t="n">
        <v>32</v>
      </c>
      <c r="F54" s="297" t="n">
        <v>5782</v>
      </c>
      <c r="G54" s="297" t="n">
        <v>0</v>
      </c>
      <c r="H54" s="298">
        <f>SUMPRODUCT((Production_Log!$F$3:$F$8963=F54)*(LEFT(Production_Log!$B$3:$B$8963,5)="Print")*(ISERROR(SEARCH("(Varnish)",Production_Log!$D$3:$D$8963)))*Production_Log!$H$3:$H$8963)</f>
        <v/>
      </c>
      <c r="I54" s="297">
        <f>G54-H54</f>
        <v/>
      </c>
      <c r="J54" s="299">
        <f>IF(G54=0,"-",H54/G54)</f>
        <v/>
      </c>
      <c r="K54" s="298" t="n"/>
      <c r="L54" s="300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93" t="inlineStr">
        <is>
          <t>TUBE</t>
        </is>
      </c>
      <c r="C55" s="294" t="inlineStr">
        <is>
          <t>Adore</t>
        </is>
      </c>
      <c r="D55" s="295" t="inlineStr">
        <is>
          <t>V-HC BLACK</t>
        </is>
      </c>
      <c r="E55" s="296" t="n">
        <v>35</v>
      </c>
      <c r="F55" s="297" t="n">
        <v>6531</v>
      </c>
      <c r="G55" s="297" t="n">
        <v>0</v>
      </c>
      <c r="H55" s="298">
        <f>SUMPRODUCT((Production_Log!$F$3:$F$8963=F55)*(LEFT(Production_Log!$B$3:$B$8963,5)="Print")*(ISERROR(SEARCH("(Varnish)",Production_Log!$D$3:$D$8963)))*Production_Log!$H$3:$H$8963)</f>
        <v/>
      </c>
      <c r="I55" s="297">
        <f>G55-H55</f>
        <v/>
      </c>
      <c r="J55" s="299">
        <f>IF(G55=0,"-",H55/G55)</f>
        <v/>
      </c>
      <c r="K55" s="298" t="n"/>
      <c r="L55" s="300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93" t="inlineStr">
        <is>
          <t>TUBE</t>
        </is>
      </c>
      <c r="C56" s="294" t="inlineStr">
        <is>
          <t>Adore</t>
        </is>
      </c>
      <c r="D56" s="295" t="inlineStr">
        <is>
          <t>ANVIL 43</t>
        </is>
      </c>
      <c r="E56" s="296" t="n">
        <v>35</v>
      </c>
      <c r="F56" s="297" t="n">
        <v>6020</v>
      </c>
      <c r="G56" s="297" t="n">
        <v>0</v>
      </c>
      <c r="H56" s="298">
        <f>SUMPRODUCT((Production_Log!$F$3:$F$8963=F56)*(LEFT(Production_Log!$B$3:$B$8963,5)="Print")*(ISERROR(SEARCH("(Varnish)",Production_Log!$D$3:$D$8963)))*Production_Log!$H$3:$H$8963)</f>
        <v/>
      </c>
      <c r="I56" s="297">
        <f>G56-H56</f>
        <v/>
      </c>
      <c r="J56" s="299">
        <f>IF(G56=0,"-",H56/G56)</f>
        <v/>
      </c>
      <c r="K56" s="298" t="n"/>
      <c r="L56" s="300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93" t="inlineStr">
        <is>
          <t>TUBE</t>
        </is>
      </c>
      <c r="C57" s="294" t="inlineStr">
        <is>
          <t>Adore</t>
        </is>
      </c>
      <c r="D57" s="295" t="inlineStr">
        <is>
          <t>ANVIL 45</t>
        </is>
      </c>
      <c r="E57" s="296" t="n">
        <v>35</v>
      </c>
      <c r="F57" s="297" t="n">
        <v>6021</v>
      </c>
      <c r="G57" s="297" t="n">
        <v>0</v>
      </c>
      <c r="H57" s="298">
        <f>SUMPRODUCT((Production_Log!$F$3:$F$8963=F57)*(LEFT(Production_Log!$B$3:$B$8963,5)="Print")*(ISERROR(SEARCH("(Varnish)",Production_Log!$D$3:$D$8963)))*Production_Log!$H$3:$H$8963)</f>
        <v/>
      </c>
      <c r="I57" s="297">
        <f>G57-H57</f>
        <v/>
      </c>
      <c r="J57" s="299">
        <f>IF(G57=0,"-",H57/G57)</f>
        <v/>
      </c>
      <c r="K57" s="298" t="n"/>
      <c r="L57" s="300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93" t="inlineStr">
        <is>
          <t>PET</t>
        </is>
      </c>
      <c r="C58" s="294" t="inlineStr">
        <is>
          <t>Samsol International Private Limited</t>
        </is>
      </c>
      <c r="D58" s="295" t="inlineStr">
        <is>
          <t>BLACK SMALL BOTTLE 120ML</t>
        </is>
      </c>
      <c r="E58" s="296" t="inlineStr">
        <is>
          <t>120 ml</t>
        </is>
      </c>
      <c r="F58" s="297" t="n">
        <v>8011</v>
      </c>
      <c r="G58" s="297" t="n">
        <v>0</v>
      </c>
      <c r="H58" s="298">
        <f>SUMPRODUCT((Production_Log!$F$3:$F$8963=F58)*Production_Log!$H$3:$H$8963)</f>
        <v/>
      </c>
      <c r="I58" s="297">
        <f>G58-H58</f>
        <v/>
      </c>
      <c r="J58" s="299">
        <f>IF(G58=0,"-",H58/G58)</f>
        <v/>
      </c>
      <c r="K58" s="298" t="n"/>
      <c r="L58" s="300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93" t="inlineStr">
        <is>
          <t>PET</t>
        </is>
      </c>
      <c r="C59" s="294" t="inlineStr">
        <is>
          <t>Samsol International Private Limited</t>
        </is>
      </c>
      <c r="D59" s="295" t="inlineStr">
        <is>
          <t>WHITE SMALL BOTTLE 120ML</t>
        </is>
      </c>
      <c r="E59" s="296" t="inlineStr">
        <is>
          <t>120 ml</t>
        </is>
      </c>
      <c r="F59" s="297" t="n">
        <v>8012</v>
      </c>
      <c r="G59" s="297" t="n">
        <v>0</v>
      </c>
      <c r="H59" s="298">
        <f>SUMPRODUCT((Production_Log!$F$3:$F$8963=F59)*Production_Log!$H$3:$H$8963)</f>
        <v/>
      </c>
      <c r="I59" s="297">
        <f>G59-H59</f>
        <v/>
      </c>
      <c r="J59" s="299">
        <f>IF(G59=0,"-",H59/G59)</f>
        <v/>
      </c>
      <c r="K59" s="298" t="n"/>
      <c r="L59" s="300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93" t="inlineStr">
        <is>
          <t>PET</t>
        </is>
      </c>
      <c r="C60" s="294" t="inlineStr">
        <is>
          <t>Alpha Labs PVT LTD</t>
        </is>
      </c>
      <c r="D60" s="295" t="inlineStr">
        <is>
          <t>PET BOTTLE SMALL (130ML) TRANSPARENT</t>
        </is>
      </c>
      <c r="E60" s="296" t="inlineStr">
        <is>
          <t>130 ml</t>
        </is>
      </c>
      <c r="F60" s="297" t="n">
        <v>8010</v>
      </c>
      <c r="G60" s="297" t="n">
        <v>0</v>
      </c>
      <c r="H60" s="298">
        <f>SUMPRODUCT((Production_Log!$F$3:$F$8963=F60)*Production_Log!$H$3:$H$8963)</f>
        <v/>
      </c>
      <c r="I60" s="297">
        <f>G60-H60</f>
        <v/>
      </c>
      <c r="J60" s="299">
        <f>IF(G60=0,"-",H60/G60)</f>
        <v/>
      </c>
      <c r="K60" s="298" t="n"/>
      <c r="L60" s="300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93" t="inlineStr">
        <is>
          <t>PET</t>
        </is>
      </c>
      <c r="C61" s="294" t="inlineStr">
        <is>
          <t>Samsol International Private Limited</t>
        </is>
      </c>
      <c r="D61" s="295" t="inlineStr">
        <is>
          <t>BLACK BOTTLE 200ML</t>
        </is>
      </c>
      <c r="E61" s="296" t="inlineStr">
        <is>
          <t>200 ml</t>
        </is>
      </c>
      <c r="F61" s="297" t="n">
        <v>8008</v>
      </c>
      <c r="G61" s="297" t="n">
        <v>0</v>
      </c>
      <c r="H61" s="298">
        <f>SUMPRODUCT((Production_Log!$F$3:$F$8963=F61)*Production_Log!$H$3:$H$8963)</f>
        <v/>
      </c>
      <c r="I61" s="297">
        <f>G61-H61</f>
        <v/>
      </c>
      <c r="J61" s="299">
        <f>IF(G61=0,"-",H61/G61)</f>
        <v/>
      </c>
      <c r="K61" s="298" t="n"/>
      <c r="L61" s="300" t="n"/>
    </row>
    <row r="62">
      <c r="B62" s="293" t="inlineStr">
        <is>
          <t>PET</t>
        </is>
      </c>
      <c r="C62" s="294" t="inlineStr">
        <is>
          <t>Mablay Beauty PVT LTD.</t>
        </is>
      </c>
      <c r="D62" s="295" t="inlineStr">
        <is>
          <t>TRANSPARENT BOTTLE 300ML</t>
        </is>
      </c>
      <c r="E62" s="296" t="inlineStr">
        <is>
          <t>300 ml</t>
        </is>
      </c>
      <c r="F62" s="297" t="n">
        <v>8009</v>
      </c>
      <c r="G62" s="297" t="n">
        <v>0</v>
      </c>
      <c r="H62" s="298">
        <f>SUMPRODUCT((Production_Log!$F$3:$F$8963=F62)*Production_Log!$H$3:$H$8963)</f>
        <v/>
      </c>
      <c r="I62" s="297">
        <f>G62-H62</f>
        <v/>
      </c>
      <c r="J62" s="299">
        <f>IF(G62=0,"-",H62/G62)</f>
        <v/>
      </c>
      <c r="K62" s="298" t="n"/>
      <c r="L62" s="300" t="n"/>
    </row>
    <row r="63">
      <c r="B63" s="293" t="inlineStr">
        <is>
          <t>PET</t>
        </is>
      </c>
      <c r="C63" s="294" t="inlineStr">
        <is>
          <t>Mablay Beauty PVT LTD.</t>
        </is>
      </c>
      <c r="D63" s="295" t="inlineStr">
        <is>
          <t>TRANSPARENT JAR 500ML</t>
        </is>
      </c>
      <c r="E63" s="296" t="inlineStr">
        <is>
          <t>500 ml</t>
        </is>
      </c>
      <c r="F63" s="297" t="n">
        <v>8013</v>
      </c>
      <c r="G63" s="297" t="n">
        <v>0</v>
      </c>
      <c r="H63" s="298">
        <f>SUMPRODUCT((Production_Log!$F$3:$F$8963=F63)*Production_Log!$H$3:$H$8963)</f>
        <v/>
      </c>
      <c r="I63" s="297">
        <f>G63-H63</f>
        <v/>
      </c>
      <c r="J63" s="299">
        <f>IF(G63=0,"-",H63/G63)</f>
        <v/>
      </c>
      <c r="K63" s="298" t="n"/>
      <c r="L63" s="300" t="n"/>
    </row>
    <row r="64"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</row>
    <row r="65"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</row>
    <row r="66"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</row>
    <row r="67" ht="15" customHeight="1" s="237"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</row>
    <row r="68" ht="15" customHeight="1" s="237"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</row>
    <row r="69" ht="15" customHeight="1" s="237"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</row>
    <row r="70" ht="15" customHeight="1" s="237"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abSelected="1" zoomScaleNormal="100" workbookViewId="0">
      <selection activeCell="E23" sqref="E23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 t="inlineStr">
        <is>
          <t>100kg Shortage (16k tubes WIP)</t>
        </is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34" t="n"/>
      <c r="C97" s="234" t="n"/>
      <c r="D97" s="234" t="n"/>
      <c r="E97" s="234" t="n"/>
      <c r="F97" s="234" t="n"/>
      <c r="G97" s="188" t="n"/>
      <c r="H97" s="234" t="n"/>
      <c r="I97" s="235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34" t="n"/>
      <c r="C105" s="234" t="n"/>
      <c r="D105" s="234" t="n"/>
      <c r="E105" s="234" t="n"/>
      <c r="F105" s="234" t="n"/>
      <c r="G105" s="188" t="n"/>
      <c r="H105" s="234" t="n"/>
      <c r="I105" s="234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33" t="n">
        <v>2267</v>
      </c>
      <c r="B111" s="234" t="n"/>
      <c r="C111" s="234" t="n"/>
      <c r="D111" s="234" t="n"/>
      <c r="E111" s="234" t="n"/>
      <c r="F111" s="234" t="n"/>
      <c r="G111" s="234" t="n"/>
      <c r="H111" s="234" t="n"/>
      <c r="I111" s="235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34" t="n"/>
      <c r="C115" s="234" t="n"/>
      <c r="D115" s="234" t="n"/>
      <c r="E115" s="234" t="n"/>
      <c r="F115" s="234" t="n"/>
      <c r="G115" s="188" t="n"/>
      <c r="H115" s="234" t="n"/>
      <c r="I115" s="235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9"/>
        <filter val="188"/>
        <filter val="194"/>
        <filter val="2"/>
        <filter val="232"/>
        <filter val="25,500"/>
        <filter val="3"/>
        <filter val="30"/>
        <filter val="36,006"/>
        <filter val="460"/>
        <filter val="69"/>
        <filter val="74,214"/>
        <filter val="8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G9" sqref="G9:G76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37">
      <c r="A3" s="267" t="n">
        <v>46174</v>
      </c>
      <c r="B3" s="264" t="inlineStr">
        <is>
          <t>Lacquer-02</t>
        </is>
      </c>
      <c r="C3" s="264" t="inlineStr">
        <is>
          <t>Samsol International Private Limited</t>
        </is>
      </c>
      <c r="D3" s="264" t="inlineStr">
        <is>
          <t>S-45</t>
        </is>
      </c>
      <c r="E3" s="264" t="n">
        <v>25</v>
      </c>
      <c r="F3" s="264" t="n">
        <v>5389</v>
      </c>
      <c r="G3" s="265" t="n">
        <v>14000</v>
      </c>
      <c r="H3" s="265" t="n">
        <v>13770</v>
      </c>
      <c r="I3" s="265" t="n">
        <v>230</v>
      </c>
      <c r="J3" s="266">
        <f>IFERROR(I3/(H3+I3),"")</f>
        <v/>
      </c>
      <c r="K3" s="264" t="n"/>
      <c r="L3" s="264" t="n"/>
      <c r="M3" s="264" t="n">
        <v>120</v>
      </c>
      <c r="N3" s="264" t="n"/>
      <c r="O3" s="264" t="n"/>
      <c r="P3" s="264" t="n"/>
      <c r="Q3" s="264" t="n"/>
      <c r="R3" s="264" t="n"/>
      <c r="S3" s="264" t="n"/>
    </row>
    <row r="4" hidden="1" ht="15" customHeight="1" s="237">
      <c r="A4" s="267" t="n">
        <v>46174</v>
      </c>
      <c r="B4" s="264" t="inlineStr">
        <is>
          <t>Lacquer-04</t>
        </is>
      </c>
      <c r="C4" s="264" t="inlineStr">
        <is>
          <t>Golden Pearl Cosmetics (PVT) LTD</t>
        </is>
      </c>
      <c r="D4" s="264" t="inlineStr">
        <is>
          <t>HELLO HAIR COLOR</t>
        </is>
      </c>
      <c r="E4" s="264" t="n">
        <v>30</v>
      </c>
      <c r="F4" s="264" t="n">
        <v>6206</v>
      </c>
      <c r="G4" s="265" t="n">
        <v>3000</v>
      </c>
      <c r="H4" s="265" t="n">
        <v>2940</v>
      </c>
      <c r="I4" s="265" t="n">
        <v>60</v>
      </c>
      <c r="J4" s="266">
        <f>IFERROR(I4/(H4+I4),"")</f>
        <v/>
      </c>
      <c r="K4" s="264" t="n"/>
      <c r="L4" s="264" t="n"/>
      <c r="M4" s="264" t="n"/>
      <c r="N4" s="264" t="n"/>
      <c r="O4" s="264" t="n"/>
      <c r="P4" s="264" t="n"/>
      <c r="Q4" s="264" t="n"/>
      <c r="R4" s="264" t="n"/>
      <c r="S4" s="264" t="n"/>
    </row>
    <row r="5" hidden="1" ht="15" customHeight="1" s="237">
      <c r="A5" s="267" t="n">
        <v>46174</v>
      </c>
      <c r="B5" s="264" t="inlineStr">
        <is>
          <t>Latex-01</t>
        </is>
      </c>
      <c r="C5" s="264" t="inlineStr">
        <is>
          <t>Golden Pearl Cosmetics (PVT) LTD</t>
        </is>
      </c>
      <c r="D5" s="264" t="inlineStr">
        <is>
          <t>HELLO HAIR COLOR</t>
        </is>
      </c>
      <c r="E5" s="264" t="n">
        <v>30</v>
      </c>
      <c r="F5" s="264" t="n">
        <v>6206</v>
      </c>
      <c r="G5" s="265" t="n">
        <v>26000</v>
      </c>
      <c r="H5" s="265" t="n">
        <v>25990</v>
      </c>
      <c r="I5" s="265" t="n">
        <v>10</v>
      </c>
      <c r="J5" s="266">
        <f>IFERROR(I5/(H5+I5),"")</f>
        <v/>
      </c>
      <c r="K5" s="264" t="n"/>
      <c r="L5" s="264" t="n"/>
      <c r="M5" s="264" t="n"/>
      <c r="N5" s="264" t="n"/>
      <c r="O5" s="264" t="n"/>
      <c r="P5" s="264" t="n"/>
      <c r="Q5" s="264" t="n"/>
      <c r="R5" s="264" t="n"/>
      <c r="S5" s="264" t="n"/>
    </row>
    <row r="6" hidden="1" ht="15" customHeight="1" s="237">
      <c r="A6" s="267" t="n">
        <v>46174</v>
      </c>
      <c r="B6" s="264" t="inlineStr">
        <is>
          <t>PF Machine</t>
        </is>
      </c>
      <c r="C6" s="264" t="inlineStr">
        <is>
          <t>Alpha Labs PVT LTD</t>
        </is>
      </c>
      <c r="D6" s="264" t="inlineStr">
        <is>
          <t>TRANSPARENT BOTTLE 150ML</t>
        </is>
      </c>
      <c r="E6" s="264" t="inlineStr">
        <is>
          <t>150 ml</t>
        </is>
      </c>
      <c r="F6" s="264" t="n">
        <v>8001</v>
      </c>
      <c r="G6" s="265" t="n">
        <v>0</v>
      </c>
      <c r="H6" s="265" t="n">
        <v>0</v>
      </c>
      <c r="I6" s="265" t="n">
        <v>0</v>
      </c>
      <c r="J6" s="266">
        <f>IFERROR(I6/(H6+I6),"")</f>
        <v/>
      </c>
      <c r="K6" s="264" t="n"/>
      <c r="L6" s="264" t="n"/>
      <c r="M6" s="264" t="n"/>
      <c r="N6" s="264" t="n"/>
      <c r="O6" s="264" t="n">
        <v>480</v>
      </c>
      <c r="P6" s="264" t="n"/>
      <c r="Q6" s="264" t="n"/>
      <c r="R6" s="264" t="n"/>
      <c r="S6" s="264" t="n"/>
    </row>
    <row r="7" hidden="1" ht="15" customHeight="1" s="237">
      <c r="A7" s="267" t="n">
        <v>46174</v>
      </c>
      <c r="B7" s="264" t="inlineStr">
        <is>
          <t>Press-04</t>
        </is>
      </c>
      <c r="C7" s="264" t="inlineStr">
        <is>
          <t>Mablay Beauty PVT LTD.</t>
        </is>
      </c>
      <c r="D7" s="264" t="inlineStr">
        <is>
          <t>VINCE NURTURAL</t>
        </is>
      </c>
      <c r="E7" s="264" t="n">
        <v>30</v>
      </c>
      <c r="F7" s="264" t="n">
        <v>5814</v>
      </c>
      <c r="G7" s="265" t="n">
        <v>0</v>
      </c>
      <c r="H7" s="265" t="n">
        <v>0</v>
      </c>
      <c r="I7" s="265" t="n">
        <v>0</v>
      </c>
      <c r="J7" s="266">
        <f>IFERROR(I7/(H7+I7),"")</f>
        <v/>
      </c>
      <c r="K7" s="264" t="n"/>
      <c r="L7" s="264" t="n"/>
      <c r="M7" s="264" t="n"/>
      <c r="N7" s="264" t="n"/>
      <c r="O7" s="264" t="n"/>
      <c r="P7" s="264" t="n"/>
      <c r="Q7" s="264" t="n"/>
      <c r="R7" s="264" t="n"/>
      <c r="S7" s="264" t="n"/>
    </row>
    <row r="8" hidden="1" ht="15" customHeight="1" s="237">
      <c r="A8" s="267" t="n">
        <v>46174</v>
      </c>
      <c r="B8" s="264" t="inlineStr">
        <is>
          <t>Press-06</t>
        </is>
      </c>
      <c r="C8" s="264" t="inlineStr">
        <is>
          <t>Samsol International Private Limited</t>
        </is>
      </c>
      <c r="D8" s="264" t="inlineStr">
        <is>
          <t>S-45</t>
        </is>
      </c>
      <c r="E8" s="264" t="n">
        <v>25</v>
      </c>
      <c r="F8" s="264" t="n">
        <v>5389</v>
      </c>
      <c r="G8" s="265" t="n">
        <v>20000</v>
      </c>
      <c r="H8" s="265" t="n">
        <v>19890</v>
      </c>
      <c r="I8" s="265" t="n">
        <v>110</v>
      </c>
      <c r="J8" s="266">
        <f>IFERROR(I8/(H8+I8),"")</f>
        <v/>
      </c>
      <c r="K8" s="264" t="n"/>
      <c r="L8" s="264" t="n"/>
      <c r="M8" s="264" t="n"/>
      <c r="N8" s="264" t="n"/>
      <c r="O8" s="264" t="n"/>
      <c r="P8" s="264" t="n"/>
      <c r="Q8" s="264" t="n"/>
      <c r="R8" s="264" t="n"/>
      <c r="S8" s="264" t="n"/>
    </row>
    <row r="9" ht="15" customHeight="1" s="237">
      <c r="A9" s="267" t="n">
        <v>46174</v>
      </c>
      <c r="B9" s="264" t="inlineStr">
        <is>
          <t>Printing-03</t>
        </is>
      </c>
      <c r="C9" s="264" t="inlineStr">
        <is>
          <t>Samsol International Private Limited</t>
        </is>
      </c>
      <c r="D9" s="264" t="inlineStr">
        <is>
          <t>S-45</t>
        </is>
      </c>
      <c r="E9" s="264" t="n">
        <v>25</v>
      </c>
      <c r="F9" s="264" t="n">
        <v>5389</v>
      </c>
      <c r="G9" s="265" t="n">
        <v>9999</v>
      </c>
      <c r="H9" s="265" t="n">
        <v>9744</v>
      </c>
      <c r="I9" s="265" t="n">
        <v>255</v>
      </c>
      <c r="J9" s="266">
        <f>IFERROR(I9/(H9+I9),"")</f>
        <v/>
      </c>
      <c r="K9" s="264" t="n"/>
      <c r="L9" s="264" t="n">
        <v>60</v>
      </c>
      <c r="M9" s="264" t="n">
        <v>180</v>
      </c>
      <c r="N9" s="264" t="n"/>
      <c r="O9" s="264" t="n"/>
      <c r="P9" s="264" t="n"/>
      <c r="Q9" s="264" t="n"/>
      <c r="R9" s="264" t="n"/>
      <c r="S9" s="264" t="n"/>
    </row>
    <row r="10" hidden="1" ht="15" customHeight="1" s="237">
      <c r="A10" s="267" t="n">
        <v>46174</v>
      </c>
      <c r="B10" s="264" t="inlineStr">
        <is>
          <t>Printing-04</t>
        </is>
      </c>
      <c r="C10" s="264" t="inlineStr">
        <is>
          <t>Golden Pearl Cosmetics (PVT) LTD</t>
        </is>
      </c>
      <c r="D10" s="264" t="inlineStr">
        <is>
          <t>HELLO HAIR COLOR</t>
        </is>
      </c>
      <c r="E10" s="264" t="n">
        <v>30</v>
      </c>
      <c r="F10" s="264" t="n">
        <v>6206</v>
      </c>
      <c r="G10" s="265" t="n">
        <v>2728</v>
      </c>
      <c r="H10" s="265" t="n">
        <v>2618</v>
      </c>
      <c r="I10" s="265" t="n">
        <v>110</v>
      </c>
      <c r="J10" s="266">
        <f>IFERROR(I10/(H10+I10),"")</f>
        <v/>
      </c>
      <c r="K10" s="264" t="n"/>
      <c r="L10" s="264" t="n"/>
      <c r="M10" s="264" t="n"/>
      <c r="N10" s="264" t="n"/>
      <c r="O10" s="264" t="n"/>
      <c r="P10" s="264" t="n"/>
      <c r="Q10" s="264" t="n"/>
      <c r="R10" s="264" t="n"/>
      <c r="S10" s="264" t="n"/>
    </row>
    <row r="11" hidden="1" ht="15" customHeight="1" s="237">
      <c r="A11" s="267" t="n">
        <v>46175</v>
      </c>
      <c r="B11" s="264" t="inlineStr">
        <is>
          <t>Lacquer-02</t>
        </is>
      </c>
      <c r="C11" s="264" t="inlineStr">
        <is>
          <t>Samsol International Private Limited</t>
        </is>
      </c>
      <c r="D11" s="264" t="inlineStr">
        <is>
          <t>S-45</t>
        </is>
      </c>
      <c r="E11" s="264" t="n">
        <v>25</v>
      </c>
      <c r="F11" s="264" t="n">
        <v>5389</v>
      </c>
      <c r="G11" s="265" t="n">
        <v>8000</v>
      </c>
      <c r="H11" s="265" t="n">
        <v>7880</v>
      </c>
      <c r="I11" s="265" t="n">
        <v>120</v>
      </c>
      <c r="J11" s="266">
        <f>IFERROR(I11/(H11+I11),"")</f>
        <v/>
      </c>
      <c r="K11" s="264" t="n"/>
      <c r="L11" s="264" t="n"/>
      <c r="M11" s="264" t="n"/>
      <c r="N11" s="264" t="n"/>
      <c r="O11" s="264" t="n"/>
      <c r="P11" s="264" t="n">
        <v>60</v>
      </c>
      <c r="Q11" s="264" t="n"/>
      <c r="R11" s="264" t="n"/>
      <c r="S11" s="264" t="n"/>
    </row>
    <row r="12" hidden="1" ht="15" customHeight="1" s="237">
      <c r="A12" s="267" t="n">
        <v>46175</v>
      </c>
      <c r="B12" s="264" t="inlineStr">
        <is>
          <t>Lacquer-04</t>
        </is>
      </c>
      <c r="C12" s="264" t="inlineStr">
        <is>
          <t>Golden Pearl Cosmetics (PVT) LTD</t>
        </is>
      </c>
      <c r="D12" s="264" t="inlineStr">
        <is>
          <t>HELLO HAIR COLOR</t>
        </is>
      </c>
      <c r="E12" s="264" t="n">
        <v>30</v>
      </c>
      <c r="F12" s="264" t="n">
        <v>6206</v>
      </c>
      <c r="G12" s="265" t="n">
        <v>4000</v>
      </c>
      <c r="H12" s="265" t="n">
        <v>3905</v>
      </c>
      <c r="I12" s="265" t="n">
        <v>95</v>
      </c>
      <c r="J12" s="266">
        <f>IFERROR(I12/(H12+I12),"")</f>
        <v/>
      </c>
      <c r="K12" s="264" t="n"/>
      <c r="L12" s="264" t="n"/>
      <c r="M12" s="264" t="n"/>
      <c r="N12" s="264" t="n"/>
      <c r="O12" s="264" t="n"/>
      <c r="P12" s="264" t="n"/>
      <c r="Q12" s="264" t="n"/>
      <c r="R12" s="264" t="n"/>
      <c r="S12" s="264" t="n"/>
    </row>
    <row r="13" hidden="1" ht="15" customHeight="1" s="237">
      <c r="A13" s="267" t="n">
        <v>46175</v>
      </c>
      <c r="B13" s="264" t="inlineStr">
        <is>
          <t>Latex-01</t>
        </is>
      </c>
      <c r="C13" s="264" t="inlineStr">
        <is>
          <t>Golden Pearl Cosmetics (PVT) LTD</t>
        </is>
      </c>
      <c r="D13" s="264" t="inlineStr">
        <is>
          <t>HELLO HAIR COLOR</t>
        </is>
      </c>
      <c r="E13" s="264" t="n">
        <v>30</v>
      </c>
      <c r="F13" s="264" t="n">
        <v>6206</v>
      </c>
      <c r="G13" s="265" t="n">
        <v>22134</v>
      </c>
      <c r="H13" s="265" t="n">
        <v>22124</v>
      </c>
      <c r="I13" s="265" t="n">
        <v>10</v>
      </c>
      <c r="J13" s="266">
        <f>IFERROR(I13/(H13+I13),"")</f>
        <v/>
      </c>
      <c r="K13" s="264" t="n"/>
      <c r="L13" s="264" t="n"/>
      <c r="M13" s="264" t="n"/>
      <c r="N13" s="264" t="n"/>
      <c r="O13" s="264" t="n"/>
      <c r="P13" s="264" t="n">
        <v>60</v>
      </c>
      <c r="Q13" s="264" t="n"/>
      <c r="R13" s="264" t="n"/>
      <c r="S13" s="264" t="n"/>
    </row>
    <row r="14" hidden="1" ht="15" customHeight="1" s="237">
      <c r="A14" s="267" t="n">
        <v>46175</v>
      </c>
      <c r="B14" s="264" t="inlineStr">
        <is>
          <t>PF Machine</t>
        </is>
      </c>
      <c r="C14" s="264" t="inlineStr">
        <is>
          <t>Alpha Labs PVT LTD</t>
        </is>
      </c>
      <c r="D14" s="264" t="inlineStr">
        <is>
          <t>TRANSPARENT BOTTLE 150ML</t>
        </is>
      </c>
      <c r="E14" s="264" t="inlineStr">
        <is>
          <t>150 ml</t>
        </is>
      </c>
      <c r="F14" s="264" t="n">
        <v>8001</v>
      </c>
      <c r="G14" s="265" t="n">
        <v>0</v>
      </c>
      <c r="H14" s="265" t="n">
        <v>0</v>
      </c>
      <c r="I14" s="265" t="n">
        <v>0</v>
      </c>
      <c r="J14" s="266">
        <f>IFERROR(I14/(H14+I14),"")</f>
        <v/>
      </c>
      <c r="K14" s="264" t="n"/>
      <c r="L14" s="264" t="n"/>
      <c r="M14" s="264" t="n"/>
      <c r="N14" s="264" t="n"/>
      <c r="O14" s="264" t="n">
        <v>480</v>
      </c>
      <c r="P14" s="264" t="n"/>
      <c r="Q14" s="264" t="n"/>
      <c r="R14" s="264" t="n"/>
      <c r="S14" s="264" t="n"/>
    </row>
    <row r="15" hidden="1" ht="15" customHeight="1" s="237">
      <c r="A15" s="267" t="n">
        <v>46175</v>
      </c>
      <c r="B15" s="264" t="inlineStr">
        <is>
          <t>Press-04</t>
        </is>
      </c>
      <c r="C15" s="264" t="inlineStr">
        <is>
          <t>Mablay Beauty PVT LTD.</t>
        </is>
      </c>
      <c r="D15" s="264" t="inlineStr">
        <is>
          <t>VINCE NURTURAL</t>
        </is>
      </c>
      <c r="E15" s="264" t="n">
        <v>30</v>
      </c>
      <c r="F15" s="264" t="n">
        <v>5814</v>
      </c>
      <c r="G15" s="265" t="n">
        <v>0</v>
      </c>
      <c r="H15" s="265" t="n">
        <v>0</v>
      </c>
      <c r="I15" s="265" t="n">
        <v>0</v>
      </c>
      <c r="J15" s="266">
        <f>IFERROR(I15/(H15+I15),"")</f>
        <v/>
      </c>
      <c r="K15" s="264" t="n"/>
      <c r="L15" s="264" t="n"/>
      <c r="M15" s="264" t="n"/>
      <c r="N15" s="264" t="n"/>
      <c r="O15" s="264" t="n"/>
      <c r="P15" s="264" t="n"/>
      <c r="Q15" s="264" t="n"/>
      <c r="R15" s="264" t="n"/>
      <c r="S15" s="264" t="n"/>
    </row>
    <row r="16" hidden="1" ht="15" customHeight="1" s="237">
      <c r="A16" s="267" t="n">
        <v>46175</v>
      </c>
      <c r="B16" s="264" t="inlineStr">
        <is>
          <t>Press-06</t>
        </is>
      </c>
      <c r="C16" s="264" t="inlineStr">
        <is>
          <t>Samsol International Private Limited</t>
        </is>
      </c>
      <c r="D16" s="264" t="inlineStr">
        <is>
          <t>S-45</t>
        </is>
      </c>
      <c r="E16" s="264" t="n">
        <v>25</v>
      </c>
      <c r="F16" s="264" t="n">
        <v>5389</v>
      </c>
      <c r="G16" s="265" t="n">
        <v>1000</v>
      </c>
      <c r="H16" s="265" t="n">
        <v>980</v>
      </c>
      <c r="I16" s="265" t="n">
        <v>20</v>
      </c>
      <c r="J16" s="266">
        <f>IFERROR(I16/(H16+I16),"")</f>
        <v/>
      </c>
      <c r="K16" s="264" t="n"/>
      <c r="L16" s="264" t="n"/>
      <c r="M16" s="264" t="n"/>
      <c r="N16" s="264" t="n"/>
      <c r="O16" s="264" t="n"/>
      <c r="P16" s="264" t="n"/>
      <c r="Q16" s="264" t="n"/>
      <c r="R16" s="264" t="n"/>
      <c r="S16" s="264" t="n"/>
    </row>
    <row r="17" ht="15" customHeight="1" s="237">
      <c r="A17" s="267" t="n">
        <v>46175</v>
      </c>
      <c r="B17" s="264" t="inlineStr">
        <is>
          <t>Printing-03</t>
        </is>
      </c>
      <c r="C17" s="264" t="inlineStr">
        <is>
          <t>Samsol International Private Limited</t>
        </is>
      </c>
      <c r="D17" s="264" t="inlineStr">
        <is>
          <t>S-45</t>
        </is>
      </c>
      <c r="E17" s="264" t="n">
        <v>25</v>
      </c>
      <c r="F17" s="264" t="n">
        <v>5389</v>
      </c>
      <c r="G17" s="265" t="n">
        <v>12687</v>
      </c>
      <c r="H17" s="265" t="n">
        <v>12432</v>
      </c>
      <c r="I17" s="265" t="n">
        <v>255</v>
      </c>
      <c r="J17" s="266">
        <f>IFERROR(I17/(H17+I17),"")</f>
        <v/>
      </c>
      <c r="K17" s="264" t="n"/>
      <c r="L17" s="264" t="n"/>
      <c r="M17" s="264" t="n"/>
      <c r="N17" s="264" t="n"/>
      <c r="O17" s="264" t="n"/>
      <c r="P17" s="264" t="n">
        <v>60</v>
      </c>
      <c r="Q17" s="264" t="n"/>
      <c r="R17" s="264" t="n"/>
      <c r="S17" s="264" t="n"/>
    </row>
    <row r="18" hidden="1" ht="15" customHeight="1" s="237">
      <c r="A18" s="267" t="n">
        <v>46175</v>
      </c>
      <c r="B18" s="264" t="inlineStr">
        <is>
          <t>Printing-04</t>
        </is>
      </c>
      <c r="C18" s="264" t="inlineStr">
        <is>
          <t>Golden Pearl Cosmetics (PVT) LTD</t>
        </is>
      </c>
      <c r="D18" s="264" t="inlineStr">
        <is>
          <t>HELLO HAIR COLOR</t>
        </is>
      </c>
      <c r="E18" s="264" t="n">
        <v>30</v>
      </c>
      <c r="F18" s="264" t="n">
        <v>6206</v>
      </c>
      <c r="G18" s="265" t="n">
        <v>0</v>
      </c>
      <c r="H18" s="265" t="n">
        <v>0</v>
      </c>
      <c r="I18" s="265" t="n">
        <v>0</v>
      </c>
      <c r="J18" s="266">
        <f>IFERROR(I18/(H18+I18),"")</f>
        <v/>
      </c>
      <c r="K18" s="264" t="n"/>
      <c r="L18" s="264" t="n"/>
      <c r="M18" s="264" t="n"/>
      <c r="N18" s="264" t="n"/>
      <c r="O18" s="264" t="n"/>
      <c r="P18" s="264" t="n"/>
      <c r="Q18" s="264" t="n"/>
      <c r="R18" s="264" t="n"/>
      <c r="S18" s="264" t="n"/>
    </row>
    <row r="19" hidden="1" ht="15" customHeight="1" s="237">
      <c r="A19" s="267" t="n">
        <v>46177</v>
      </c>
      <c r="B19" s="264" t="inlineStr">
        <is>
          <t>Lacquer-02</t>
        </is>
      </c>
      <c r="C19" s="264" t="inlineStr"/>
      <c r="D19" s="264" t="inlineStr"/>
      <c r="E19" s="264" t="inlineStr"/>
      <c r="F19" s="264" t="n"/>
      <c r="G19" s="265" t="n">
        <v>0</v>
      </c>
      <c r="H19" s="265" t="n">
        <v>0</v>
      </c>
      <c r="I19" s="265" t="n">
        <v>0</v>
      </c>
      <c r="J19" s="266">
        <f>IFERROR(I19/(H19+I19),"")</f>
        <v/>
      </c>
      <c r="K19" s="264" t="n"/>
      <c r="L19" s="264" t="n"/>
      <c r="M19" s="264" t="n"/>
      <c r="N19" s="264" t="n"/>
      <c r="O19" s="264" t="n"/>
      <c r="P19" s="264" t="n"/>
      <c r="Q19" s="264" t="n"/>
      <c r="R19" s="264" t="n"/>
      <c r="S19" s="264" t="n"/>
    </row>
    <row r="20" hidden="1" ht="15" customHeight="1" s="237">
      <c r="A20" s="267" t="n">
        <v>46177</v>
      </c>
      <c r="B20" s="264" t="inlineStr">
        <is>
          <t>Lacquer-04</t>
        </is>
      </c>
      <c r="C20" s="264" t="inlineStr"/>
      <c r="D20" s="264" t="inlineStr"/>
      <c r="E20" s="264" t="inlineStr"/>
      <c r="F20" s="264" t="n"/>
      <c r="G20" s="265" t="n">
        <v>0</v>
      </c>
      <c r="H20" s="265" t="n">
        <v>0</v>
      </c>
      <c r="I20" s="265" t="n">
        <v>0</v>
      </c>
      <c r="J20" s="266">
        <f>IFERROR(I20/(H20+I20),"")</f>
        <v/>
      </c>
      <c r="K20" s="264" t="n"/>
      <c r="L20" s="264" t="n"/>
      <c r="M20" s="264" t="n"/>
      <c r="N20" s="264" t="n"/>
      <c r="O20" s="264" t="n"/>
      <c r="P20" s="264" t="n"/>
      <c r="Q20" s="264" t="n"/>
      <c r="R20" s="264" t="n"/>
      <c r="S20" s="264" t="n"/>
    </row>
    <row r="21" hidden="1" ht="15" customHeight="1" s="237">
      <c r="A21" s="267" t="n">
        <v>46177</v>
      </c>
      <c r="B21" s="264" t="inlineStr">
        <is>
          <t>Latex-01</t>
        </is>
      </c>
      <c r="C21" s="264" t="inlineStr"/>
      <c r="D21" s="264" t="inlineStr"/>
      <c r="E21" s="264" t="inlineStr"/>
      <c r="F21" s="264" t="n"/>
      <c r="G21" s="265" t="n">
        <v>0</v>
      </c>
      <c r="H21" s="265" t="n">
        <v>0</v>
      </c>
      <c r="I21" s="265" t="n">
        <v>0</v>
      </c>
      <c r="J21" s="266">
        <f>IFERROR(I21/(H21+I21),"")</f>
        <v/>
      </c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</row>
    <row r="22" hidden="1" ht="15" customHeight="1" s="237">
      <c r="A22" s="267" t="n">
        <v>46177</v>
      </c>
      <c r="B22" s="264" t="inlineStr">
        <is>
          <t>PF Machine</t>
        </is>
      </c>
      <c r="C22" s="264" t="inlineStr">
        <is>
          <t>Alpha Labs PVT LTD</t>
        </is>
      </c>
      <c r="D22" s="264" t="inlineStr">
        <is>
          <t>TRANSPARENT BOTTLE 150ML</t>
        </is>
      </c>
      <c r="E22" s="264" t="inlineStr">
        <is>
          <t>150 ml</t>
        </is>
      </c>
      <c r="F22" s="264" t="n">
        <v>8001</v>
      </c>
      <c r="G22" s="265" t="n">
        <v>4525</v>
      </c>
      <c r="H22" s="265" t="n">
        <v>4025</v>
      </c>
      <c r="I22" s="265" t="n">
        <v>500</v>
      </c>
      <c r="J22" s="266">
        <f>IFERROR(I22/(H22+I22),"")</f>
        <v/>
      </c>
      <c r="K22" s="264" t="n"/>
      <c r="L22" s="264" t="n">
        <v>580</v>
      </c>
      <c r="M22" s="264" t="n"/>
      <c r="N22" s="264" t="n"/>
      <c r="O22" s="264" t="n"/>
      <c r="P22" s="264" t="n">
        <v>80</v>
      </c>
      <c r="Q22" s="264" t="n"/>
      <c r="R22" s="264" t="n"/>
      <c r="S22" s="264" t="n"/>
    </row>
    <row r="23" hidden="1" ht="15" customHeight="1" s="237">
      <c r="A23" s="267" t="n">
        <v>46177</v>
      </c>
      <c r="B23" s="264" t="inlineStr">
        <is>
          <t>Press-04</t>
        </is>
      </c>
      <c r="C23" s="264" t="inlineStr"/>
      <c r="D23" s="264" t="inlineStr"/>
      <c r="E23" s="264" t="inlineStr"/>
      <c r="F23" s="264" t="n"/>
      <c r="G23" s="265" t="n">
        <v>0</v>
      </c>
      <c r="H23" s="265" t="n">
        <v>0</v>
      </c>
      <c r="I23" s="265" t="n">
        <v>0</v>
      </c>
      <c r="J23" s="266">
        <f>IFERROR(I23/(H23+I23),"")</f>
        <v/>
      </c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</row>
    <row r="24" hidden="1" ht="15" customHeight="1" s="237">
      <c r="A24" s="267" t="n">
        <v>46177</v>
      </c>
      <c r="B24" s="264" t="inlineStr">
        <is>
          <t>Press-06</t>
        </is>
      </c>
      <c r="C24" s="264" t="inlineStr"/>
      <c r="D24" s="264" t="inlineStr"/>
      <c r="E24" s="264" t="inlineStr"/>
      <c r="F24" s="264" t="n"/>
      <c r="G24" s="265" t="n">
        <v>0</v>
      </c>
      <c r="H24" s="265" t="n">
        <v>0</v>
      </c>
      <c r="I24" s="265" t="n">
        <v>0</v>
      </c>
      <c r="J24" s="266">
        <f>IFERROR(I24/(H24+I24),"")</f>
        <v/>
      </c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</row>
    <row r="25" hidden="1" ht="15" customHeight="1" s="237">
      <c r="A25" s="267" t="n">
        <v>46177</v>
      </c>
      <c r="B25" s="264" t="inlineStr">
        <is>
          <t>Printing-03</t>
        </is>
      </c>
      <c r="C25" s="264" t="inlineStr"/>
      <c r="D25" s="264" t="inlineStr"/>
      <c r="E25" s="264" t="inlineStr"/>
      <c r="F25" s="264" t="n"/>
      <c r="G25" s="265" t="n">
        <v>0</v>
      </c>
      <c r="H25" s="265" t="n">
        <v>0</v>
      </c>
      <c r="I25" s="265" t="n">
        <v>0</v>
      </c>
      <c r="J25" s="266">
        <f>IFERROR(I25/(H25+I25),"")</f>
        <v/>
      </c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</row>
    <row r="26" hidden="1" ht="15" customHeight="1" s="237">
      <c r="A26" s="267" t="n">
        <v>46177</v>
      </c>
      <c r="B26" s="264" t="inlineStr">
        <is>
          <t>Printing-04</t>
        </is>
      </c>
      <c r="C26" s="264" t="inlineStr"/>
      <c r="D26" s="264" t="inlineStr"/>
      <c r="E26" s="264" t="inlineStr"/>
      <c r="F26" s="264" t="n"/>
      <c r="G26" s="265" t="n">
        <v>0</v>
      </c>
      <c r="H26" s="265" t="n">
        <v>0</v>
      </c>
      <c r="I26" s="265" t="n">
        <v>0</v>
      </c>
      <c r="J26" s="266">
        <f>IFERROR(I26/(H26+I26),"")</f>
        <v/>
      </c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</row>
    <row r="27" hidden="1" ht="15" customHeight="1" s="237">
      <c r="A27" s="267" t="n">
        <v>46178</v>
      </c>
      <c r="B27" s="264" t="inlineStr">
        <is>
          <t>Lacquer-02</t>
        </is>
      </c>
      <c r="C27" s="264" t="inlineStr"/>
      <c r="D27" s="264" t="inlineStr"/>
      <c r="E27" s="264" t="inlineStr"/>
      <c r="F27" s="264" t="n"/>
      <c r="G27" s="265" t="n">
        <v>0</v>
      </c>
      <c r="H27" s="265" t="n">
        <v>0</v>
      </c>
      <c r="I27" s="265" t="n">
        <v>0</v>
      </c>
      <c r="J27" s="266">
        <f>IFERROR(I27/(H27+I27),"")</f>
        <v/>
      </c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</row>
    <row r="28" hidden="1" ht="15" customHeight="1" s="237">
      <c r="A28" s="267" t="n">
        <v>46178</v>
      </c>
      <c r="B28" s="264" t="inlineStr">
        <is>
          <t>Lacquer-04</t>
        </is>
      </c>
      <c r="C28" s="264" t="inlineStr"/>
      <c r="D28" s="264" t="inlineStr"/>
      <c r="E28" s="264" t="inlineStr"/>
      <c r="F28" s="264" t="n"/>
      <c r="G28" s="265" t="n">
        <v>0</v>
      </c>
      <c r="H28" s="265" t="n">
        <v>0</v>
      </c>
      <c r="I28" s="265" t="n">
        <v>0</v>
      </c>
      <c r="J28" s="266">
        <f>IFERROR(I28/(H28+I28),"")</f>
        <v/>
      </c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</row>
    <row r="29" hidden="1" ht="15" customHeight="1" s="237">
      <c r="A29" s="267" t="n">
        <v>46178</v>
      </c>
      <c r="B29" s="264" t="inlineStr">
        <is>
          <t>Latex-01</t>
        </is>
      </c>
      <c r="C29" s="264" t="inlineStr"/>
      <c r="D29" s="264" t="inlineStr"/>
      <c r="E29" s="264" t="inlineStr"/>
      <c r="F29" s="264" t="n"/>
      <c r="G29" s="265" t="n">
        <v>0</v>
      </c>
      <c r="H29" s="265" t="n">
        <v>0</v>
      </c>
      <c r="I29" s="265" t="n">
        <v>0</v>
      </c>
      <c r="J29" s="266">
        <f>IFERROR(I29/(H29+I29),"")</f>
        <v/>
      </c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</row>
    <row r="30" hidden="1" ht="15" customHeight="1" s="237">
      <c r="A30" s="267" t="n">
        <v>46178</v>
      </c>
      <c r="B30" s="264" t="inlineStr">
        <is>
          <t>PF Machine</t>
        </is>
      </c>
      <c r="C30" s="264" t="inlineStr">
        <is>
          <t>Alpha Labs PVT LTD</t>
        </is>
      </c>
      <c r="D30" s="264" t="inlineStr">
        <is>
          <t>TRANSPARENT BOTTLE 150ML</t>
        </is>
      </c>
      <c r="E30" s="264" t="inlineStr">
        <is>
          <t>150 ml</t>
        </is>
      </c>
      <c r="F30" s="264" t="n">
        <v>8001</v>
      </c>
      <c r="G30" s="265" t="n">
        <v>14005</v>
      </c>
      <c r="H30" s="265" t="n">
        <v>12535</v>
      </c>
      <c r="I30" s="265" t="n">
        <v>1470</v>
      </c>
      <c r="J30" s="266">
        <f>IFERROR(I30/(H30+I30),"")</f>
        <v/>
      </c>
      <c r="K30" s="264" t="n">
        <v>140</v>
      </c>
      <c r="L30" s="264" t="n"/>
      <c r="M30" s="264" t="n"/>
      <c r="N30" s="264" t="n"/>
      <c r="O30" s="264" t="n"/>
      <c r="P30" s="264" t="n">
        <v>80</v>
      </c>
      <c r="Q30" s="264" t="n"/>
      <c r="R30" s="264" t="n"/>
      <c r="S30" s="264" t="n"/>
    </row>
    <row r="31" hidden="1" ht="15" customHeight="1" s="237">
      <c r="A31" s="267" t="n">
        <v>46178</v>
      </c>
      <c r="B31" s="264" t="inlineStr">
        <is>
          <t>Press-04</t>
        </is>
      </c>
      <c r="C31" s="264" t="inlineStr"/>
      <c r="D31" s="264" t="inlineStr"/>
      <c r="E31" s="264" t="inlineStr"/>
      <c r="F31" s="264" t="n"/>
      <c r="G31" s="265" t="n">
        <v>0</v>
      </c>
      <c r="H31" s="265" t="n">
        <v>0</v>
      </c>
      <c r="I31" s="265" t="n">
        <v>0</v>
      </c>
      <c r="J31" s="266">
        <f>IFERROR(I31/(H31+I31),"")</f>
        <v/>
      </c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</row>
    <row r="32" hidden="1" ht="15" customHeight="1" s="237">
      <c r="A32" s="267" t="n">
        <v>46178</v>
      </c>
      <c r="B32" s="264" t="inlineStr">
        <is>
          <t>Press-06</t>
        </is>
      </c>
      <c r="C32" s="264" t="inlineStr"/>
      <c r="D32" s="264" t="inlineStr"/>
      <c r="E32" s="264" t="inlineStr"/>
      <c r="F32" s="264" t="n"/>
      <c r="G32" s="265" t="n">
        <v>0</v>
      </c>
      <c r="H32" s="265" t="n">
        <v>0</v>
      </c>
      <c r="I32" s="265" t="n">
        <v>0</v>
      </c>
      <c r="J32" s="266">
        <f>IFERROR(I32/(H32+I32),"")</f>
        <v/>
      </c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</row>
    <row r="33" hidden="1" ht="15" customHeight="1" s="237">
      <c r="A33" s="267" t="n">
        <v>46178</v>
      </c>
      <c r="B33" s="264" t="inlineStr">
        <is>
          <t>Printing-03</t>
        </is>
      </c>
      <c r="C33" s="264" t="inlineStr"/>
      <c r="D33" s="264" t="inlineStr"/>
      <c r="E33" s="264" t="inlineStr"/>
      <c r="F33" s="264" t="n"/>
      <c r="G33" s="265" t="n">
        <v>0</v>
      </c>
      <c r="H33" s="265" t="n">
        <v>0</v>
      </c>
      <c r="I33" s="265" t="n">
        <v>0</v>
      </c>
      <c r="J33" s="266">
        <f>IFERROR(I33/(H33+I33),"")</f>
        <v/>
      </c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</row>
    <row r="34" hidden="1" ht="15" customHeight="1" s="237">
      <c r="A34" s="267" t="n">
        <v>46178</v>
      </c>
      <c r="B34" s="264" t="inlineStr">
        <is>
          <t>Printing-04</t>
        </is>
      </c>
      <c r="C34" s="264" t="inlineStr"/>
      <c r="D34" s="264" t="inlineStr"/>
      <c r="E34" s="264" t="inlineStr"/>
      <c r="F34" s="264" t="n"/>
      <c r="G34" s="265" t="n">
        <v>0</v>
      </c>
      <c r="H34" s="265" t="n">
        <v>0</v>
      </c>
      <c r="I34" s="265" t="n">
        <v>0</v>
      </c>
      <c r="J34" s="266">
        <f>IFERROR(I34/(H34+I34),"")</f>
        <v/>
      </c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</row>
    <row r="35" hidden="1" ht="15" customHeight="1" s="237">
      <c r="A35" s="267" t="n">
        <v>46179</v>
      </c>
      <c r="B35" s="264" t="inlineStr">
        <is>
          <t>Lacquer-02</t>
        </is>
      </c>
      <c r="C35" s="264" t="inlineStr"/>
      <c r="D35" s="264" t="inlineStr"/>
      <c r="E35" s="264" t="inlineStr"/>
      <c r="F35" s="264" t="n"/>
      <c r="G35" s="265" t="n">
        <v>0</v>
      </c>
      <c r="H35" s="265" t="n">
        <v>0</v>
      </c>
      <c r="I35" s="265" t="n">
        <v>0</v>
      </c>
      <c r="J35" s="266">
        <f>IFERROR(I35/(H35+I35),"")</f>
        <v/>
      </c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</row>
    <row r="36" hidden="1" ht="15" customHeight="1" s="237">
      <c r="A36" s="267" t="n">
        <v>46179</v>
      </c>
      <c r="B36" s="264" t="inlineStr">
        <is>
          <t>Lacquer-04</t>
        </is>
      </c>
      <c r="C36" s="264" t="inlineStr"/>
      <c r="D36" s="264" t="inlineStr"/>
      <c r="E36" s="264" t="inlineStr"/>
      <c r="F36" s="264" t="n"/>
      <c r="G36" s="265" t="n">
        <v>0</v>
      </c>
      <c r="H36" s="265" t="n">
        <v>0</v>
      </c>
      <c r="I36" s="265" t="n">
        <v>0</v>
      </c>
      <c r="J36" s="266">
        <f>IFERROR(I36/(H36+I36),"")</f>
        <v/>
      </c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</row>
    <row r="37" hidden="1" ht="15" customHeight="1" s="237">
      <c r="A37" s="267" t="n">
        <v>46179</v>
      </c>
      <c r="B37" s="264" t="inlineStr">
        <is>
          <t>Latex-01</t>
        </is>
      </c>
      <c r="C37" s="264" t="inlineStr"/>
      <c r="D37" s="264" t="inlineStr"/>
      <c r="E37" s="264" t="inlineStr"/>
      <c r="F37" s="264" t="n"/>
      <c r="G37" s="265" t="n">
        <v>0</v>
      </c>
      <c r="H37" s="265" t="n">
        <v>0</v>
      </c>
      <c r="I37" s="265" t="n">
        <v>0</v>
      </c>
      <c r="J37" s="266">
        <f>IFERROR(I37/(H37+I37),"")</f>
        <v/>
      </c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</row>
    <row r="38" hidden="1" ht="15" customHeight="1" s="237">
      <c r="A38" s="267" t="n">
        <v>46179</v>
      </c>
      <c r="B38" s="264" t="inlineStr">
        <is>
          <t>PF Machine</t>
        </is>
      </c>
      <c r="C38" s="264" t="inlineStr">
        <is>
          <t>Alpha Labs PVT LTD</t>
        </is>
      </c>
      <c r="D38" s="264" t="inlineStr">
        <is>
          <t>TRANSPARENT BOTTLE 150ML</t>
        </is>
      </c>
      <c r="E38" s="264" t="inlineStr">
        <is>
          <t>150 ml</t>
        </is>
      </c>
      <c r="F38" s="264" t="n">
        <v>8001</v>
      </c>
      <c r="G38" s="265" t="n">
        <v>12550</v>
      </c>
      <c r="H38" s="265" t="n">
        <v>11500</v>
      </c>
      <c r="I38" s="265" t="n">
        <v>1050</v>
      </c>
      <c r="J38" s="266">
        <f>IFERROR(I38/(H38+I38),"")</f>
        <v/>
      </c>
      <c r="K38" s="264" t="n">
        <v>70</v>
      </c>
      <c r="L38" s="264" t="n">
        <v>180</v>
      </c>
      <c r="M38" s="264" t="n"/>
      <c r="N38" s="264" t="n"/>
      <c r="O38" s="264" t="n"/>
      <c r="P38" s="264" t="n">
        <v>50</v>
      </c>
      <c r="Q38" s="264" t="n"/>
      <c r="R38" s="264" t="n"/>
      <c r="S38" s="264" t="n"/>
    </row>
    <row r="39" hidden="1" ht="15" customHeight="1" s="237">
      <c r="A39" s="267" t="n">
        <v>46179</v>
      </c>
      <c r="B39" s="264" t="inlineStr">
        <is>
          <t>Press-04</t>
        </is>
      </c>
      <c r="C39" s="264" t="inlineStr"/>
      <c r="D39" s="264" t="inlineStr"/>
      <c r="E39" s="264" t="inlineStr"/>
      <c r="F39" s="264" t="n"/>
      <c r="G39" s="265" t="n">
        <v>0</v>
      </c>
      <c r="H39" s="265" t="n">
        <v>0</v>
      </c>
      <c r="I39" s="265" t="n">
        <v>0</v>
      </c>
      <c r="J39" s="266">
        <f>IFERROR(I39/(H39+I39),"")</f>
        <v/>
      </c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</row>
    <row r="40" hidden="1" ht="15" customHeight="1" s="237">
      <c r="A40" s="267" t="n">
        <v>46179</v>
      </c>
      <c r="B40" s="264" t="inlineStr">
        <is>
          <t>Press-06</t>
        </is>
      </c>
      <c r="C40" s="264" t="inlineStr"/>
      <c r="D40" s="264" t="inlineStr"/>
      <c r="E40" s="264" t="inlineStr"/>
      <c r="F40" s="264" t="n"/>
      <c r="G40" s="265" t="n">
        <v>0</v>
      </c>
      <c r="H40" s="265" t="n">
        <v>0</v>
      </c>
      <c r="I40" s="265" t="n">
        <v>0</v>
      </c>
      <c r="J40" s="266">
        <f>IFERROR(I40/(H40+I40),"")</f>
        <v/>
      </c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</row>
    <row r="41" hidden="1" ht="15" customHeight="1" s="237">
      <c r="A41" s="267" t="n">
        <v>46179</v>
      </c>
      <c r="B41" s="264" t="inlineStr">
        <is>
          <t>Printing-03</t>
        </is>
      </c>
      <c r="C41" s="264" t="inlineStr"/>
      <c r="D41" s="264" t="inlineStr"/>
      <c r="E41" s="264" t="inlineStr"/>
      <c r="F41" s="264" t="n"/>
      <c r="G41" s="265" t="n">
        <v>0</v>
      </c>
      <c r="H41" s="265" t="n">
        <v>0</v>
      </c>
      <c r="I41" s="265" t="n">
        <v>0</v>
      </c>
      <c r="J41" s="266">
        <f>IFERROR(I41/(H41+I41),"")</f>
        <v/>
      </c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</row>
    <row r="42" hidden="1" ht="15" customHeight="1" s="237">
      <c r="A42" s="267" t="n">
        <v>46179</v>
      </c>
      <c r="B42" s="264" t="inlineStr">
        <is>
          <t>Printing-04</t>
        </is>
      </c>
      <c r="C42" s="264" t="inlineStr"/>
      <c r="D42" s="264" t="inlineStr"/>
      <c r="E42" s="264" t="inlineStr"/>
      <c r="F42" s="264" t="n"/>
      <c r="G42" s="265" t="n">
        <v>0</v>
      </c>
      <c r="H42" s="265" t="n">
        <v>0</v>
      </c>
      <c r="I42" s="265" t="n">
        <v>0</v>
      </c>
      <c r="J42" s="266">
        <f>IFERROR(I42/(H42+I42),"")</f>
        <v/>
      </c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</row>
    <row r="43" hidden="1" ht="15" customHeight="1" s="237">
      <c r="A43" s="267" t="n">
        <v>46181</v>
      </c>
      <c r="B43" s="264" t="inlineStr">
        <is>
          <t>Lacquer-02</t>
        </is>
      </c>
      <c r="C43" s="264" t="inlineStr"/>
      <c r="D43" s="264" t="inlineStr"/>
      <c r="E43" s="264" t="inlineStr"/>
      <c r="F43" s="264" t="n"/>
      <c r="G43" s="265" t="n">
        <v>0</v>
      </c>
      <c r="H43" s="265" t="n">
        <v>0</v>
      </c>
      <c r="I43" s="265" t="n">
        <v>0</v>
      </c>
      <c r="J43" s="266">
        <f>IFERROR(I43/(H43+I43),"")</f>
        <v/>
      </c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</row>
    <row r="44" hidden="1" ht="15" customHeight="1" s="237">
      <c r="A44" s="267" t="n">
        <v>46181</v>
      </c>
      <c r="B44" s="264" t="inlineStr">
        <is>
          <t>Lacquer-04</t>
        </is>
      </c>
      <c r="C44" s="264" t="inlineStr">
        <is>
          <t>Samsol International Private Limited</t>
        </is>
      </c>
      <c r="D44" s="264" t="inlineStr">
        <is>
          <t>TUBES COMMON RED</t>
        </is>
      </c>
      <c r="E44" s="264" t="n">
        <v>25</v>
      </c>
      <c r="F44" s="264" t="n">
        <v>6470</v>
      </c>
      <c r="G44" s="265" t="n">
        <v>21000</v>
      </c>
      <c r="H44" s="265" t="n">
        <v>20735</v>
      </c>
      <c r="I44" s="265" t="n">
        <v>265</v>
      </c>
      <c r="J44" s="266">
        <f>IFERROR(I44/(H44+I44),"")</f>
        <v/>
      </c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</row>
    <row r="45" hidden="1" ht="15" customHeight="1" s="237">
      <c r="A45" s="267" t="n">
        <v>46181</v>
      </c>
      <c r="B45" s="264" t="inlineStr">
        <is>
          <t>Latex-01</t>
        </is>
      </c>
      <c r="C45" s="264" t="inlineStr"/>
      <c r="D45" s="264" t="inlineStr"/>
      <c r="E45" s="264" t="inlineStr"/>
      <c r="F45" s="264" t="n"/>
      <c r="G45" s="265" t="n">
        <v>0</v>
      </c>
      <c r="H45" s="265" t="n">
        <v>0</v>
      </c>
      <c r="I45" s="265" t="n">
        <v>0</v>
      </c>
      <c r="J45" s="266">
        <f>IFERROR(I45/(H45+I45),"")</f>
        <v/>
      </c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</row>
    <row r="46" hidden="1" ht="15" customHeight="1" s="237">
      <c r="A46" s="267" t="n">
        <v>46181</v>
      </c>
      <c r="B46" s="264" t="inlineStr">
        <is>
          <t>PF Machine</t>
        </is>
      </c>
      <c r="C46" s="264" t="inlineStr">
        <is>
          <t>Alpha Labs PVT LTD</t>
        </is>
      </c>
      <c r="D46" s="264" t="inlineStr">
        <is>
          <t>TRANSPARENT BOTTLE 150ML</t>
        </is>
      </c>
      <c r="E46" s="264" t="inlineStr">
        <is>
          <t>150 ml</t>
        </is>
      </c>
      <c r="F46" s="264" t="n">
        <v>8001</v>
      </c>
      <c r="G46" s="265" t="n">
        <v>4080</v>
      </c>
      <c r="H46" s="265" t="n">
        <v>3680</v>
      </c>
      <c r="I46" s="265" t="n">
        <v>400</v>
      </c>
      <c r="J46" s="266">
        <f>IFERROR(I46/(H46+I46),"")</f>
        <v/>
      </c>
      <c r="K46" s="264" t="n">
        <v>150</v>
      </c>
      <c r="L46" s="264" t="n">
        <v>210</v>
      </c>
      <c r="M46" s="264" t="n"/>
      <c r="N46" s="264" t="n"/>
      <c r="O46" s="264" t="n"/>
      <c r="P46" s="264" t="n"/>
      <c r="Q46" s="264" t="n"/>
      <c r="R46" s="264" t="n"/>
      <c r="S46" s="264" t="n"/>
    </row>
    <row r="47" hidden="1" ht="15" customHeight="1" s="237">
      <c r="A47" s="267" t="n">
        <v>46181</v>
      </c>
      <c r="B47" s="264" t="inlineStr">
        <is>
          <t>Press-04</t>
        </is>
      </c>
      <c r="C47" s="264" t="inlineStr"/>
      <c r="D47" s="264" t="inlineStr"/>
      <c r="E47" s="264" t="inlineStr"/>
      <c r="F47" s="264" t="n"/>
      <c r="G47" s="265" t="n">
        <v>0</v>
      </c>
      <c r="H47" s="265" t="n">
        <v>0</v>
      </c>
      <c r="I47" s="265" t="n">
        <v>0</v>
      </c>
      <c r="J47" s="266">
        <f>IFERROR(I47/(H47+I47),"")</f>
        <v/>
      </c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</row>
    <row r="48" hidden="1" ht="15" customHeight="1" s="237">
      <c r="A48" s="267" t="n">
        <v>46181</v>
      </c>
      <c r="B48" s="264" t="inlineStr">
        <is>
          <t>Press-06</t>
        </is>
      </c>
      <c r="C48" s="264" t="inlineStr">
        <is>
          <t>Samsol International Private Limited</t>
        </is>
      </c>
      <c r="D48" s="264" t="inlineStr">
        <is>
          <t>TUBES COMMON RED</t>
        </is>
      </c>
      <c r="E48" s="264" t="n">
        <v>25</v>
      </c>
      <c r="F48" s="264" t="n">
        <v>6470</v>
      </c>
      <c r="G48" s="265" t="n">
        <v>24000</v>
      </c>
      <c r="H48" s="265" t="n">
        <v>23850</v>
      </c>
      <c r="I48" s="265" t="n">
        <v>150</v>
      </c>
      <c r="J48" s="266">
        <f>IFERROR(I48/(H48+I48),"")</f>
        <v/>
      </c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</row>
    <row r="49" ht="15" customHeight="1" s="237">
      <c r="A49" s="267" t="n">
        <v>46181</v>
      </c>
      <c r="B49" s="264" t="inlineStr">
        <is>
          <t>Printing-03</t>
        </is>
      </c>
      <c r="C49" s="264" t="inlineStr">
        <is>
          <t>Samsol International Private Limited</t>
        </is>
      </c>
      <c r="D49" s="264" t="inlineStr">
        <is>
          <t>TUBES COMMON RED</t>
        </is>
      </c>
      <c r="E49" s="264" t="n">
        <v>25</v>
      </c>
      <c r="F49" s="264" t="n">
        <v>6470</v>
      </c>
      <c r="G49" s="265" t="n">
        <v>15816</v>
      </c>
      <c r="H49" s="265" t="n">
        <v>15456</v>
      </c>
      <c r="I49" s="265" t="n">
        <v>360</v>
      </c>
      <c r="J49" s="266">
        <f>IFERROR(I49/(H49+I49),"")</f>
        <v/>
      </c>
      <c r="K49" s="264" t="n"/>
      <c r="L49" s="264" t="n"/>
      <c r="M49" s="264" t="n">
        <v>120</v>
      </c>
      <c r="N49" s="264" t="n"/>
      <c r="O49" s="264" t="n"/>
      <c r="P49" s="264" t="n"/>
      <c r="Q49" s="264" t="n"/>
      <c r="R49" s="264" t="n"/>
      <c r="S49" s="264" t="n"/>
    </row>
    <row r="50" hidden="1" ht="15" customHeight="1" s="237">
      <c r="A50" s="267" t="n">
        <v>46181</v>
      </c>
      <c r="B50" s="264" t="inlineStr">
        <is>
          <t>Printing-04</t>
        </is>
      </c>
      <c r="C50" s="264" t="inlineStr"/>
      <c r="D50" s="264" t="inlineStr"/>
      <c r="E50" s="264" t="inlineStr"/>
      <c r="F50" s="264" t="n"/>
      <c r="G50" s="265" t="n">
        <v>0</v>
      </c>
      <c r="H50" s="265" t="n">
        <v>0</v>
      </c>
      <c r="I50" s="265" t="n">
        <v>0</v>
      </c>
      <c r="J50" s="266">
        <f>IFERROR(I50/(H50+I50),"")</f>
        <v/>
      </c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</row>
    <row r="51" hidden="1" ht="15" customHeight="1" s="237">
      <c r="A51" s="267" t="n">
        <v>46182</v>
      </c>
      <c r="B51" s="264" t="inlineStr">
        <is>
          <t>Lacquer-02</t>
        </is>
      </c>
      <c r="C51" s="264" t="inlineStr"/>
      <c r="D51" s="264" t="inlineStr"/>
      <c r="E51" s="264" t="inlineStr"/>
      <c r="F51" s="264" t="n"/>
      <c r="G51" s="265" t="n">
        <v>0</v>
      </c>
      <c r="H51" s="265" t="n">
        <v>0</v>
      </c>
      <c r="I51" s="265" t="n">
        <v>0</v>
      </c>
      <c r="J51" s="266">
        <f>IFERROR(I51/(H51+I51),"")</f>
        <v/>
      </c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</row>
    <row r="52" hidden="1" ht="15" customHeight="1" s="237">
      <c r="A52" s="267" t="n">
        <v>46182</v>
      </c>
      <c r="B52" s="264" t="inlineStr">
        <is>
          <t>Lacquer-04</t>
        </is>
      </c>
      <c r="C52" s="264" t="inlineStr">
        <is>
          <t>Samsol International Private Limited</t>
        </is>
      </c>
      <c r="D52" s="264" t="inlineStr">
        <is>
          <t>TUBES COMMON RED</t>
        </is>
      </c>
      <c r="E52" s="264" t="n">
        <v>25</v>
      </c>
      <c r="F52" s="264" t="n">
        <v>6470</v>
      </c>
      <c r="G52" s="265" t="n">
        <v>21000</v>
      </c>
      <c r="H52" s="265" t="n">
        <v>20690</v>
      </c>
      <c r="I52" s="265" t="n">
        <v>310</v>
      </c>
      <c r="J52" s="266">
        <f>IFERROR(I52/(H52+I52),"")</f>
        <v/>
      </c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</row>
    <row r="53" hidden="1" ht="15" customHeight="1" s="237">
      <c r="A53" s="267" t="n">
        <v>46182</v>
      </c>
      <c r="B53" s="264" t="inlineStr">
        <is>
          <t>Latex-01</t>
        </is>
      </c>
      <c r="C53" s="264" t="inlineStr"/>
      <c r="D53" s="264" t="inlineStr"/>
      <c r="E53" s="264" t="inlineStr"/>
      <c r="F53" s="264" t="n"/>
      <c r="G53" s="265" t="n">
        <v>0</v>
      </c>
      <c r="H53" s="265" t="n">
        <v>0</v>
      </c>
      <c r="I53" s="265" t="n">
        <v>0</v>
      </c>
      <c r="J53" s="266">
        <f>IFERROR(I53/(H53+I53),"")</f>
        <v/>
      </c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</row>
    <row r="54" hidden="1" ht="15" customHeight="1" s="237">
      <c r="A54" s="267" t="n">
        <v>46182</v>
      </c>
      <c r="B54" s="264" t="inlineStr">
        <is>
          <t>PF Machine</t>
        </is>
      </c>
      <c r="C54" s="264" t="inlineStr">
        <is>
          <t>Alpha Labs PVT LTD</t>
        </is>
      </c>
      <c r="D54" s="264" t="inlineStr">
        <is>
          <t>TRANSPARENT BOTTLE 150ML</t>
        </is>
      </c>
      <c r="E54" s="264" t="inlineStr">
        <is>
          <t>150 ml</t>
        </is>
      </c>
      <c r="F54" s="264" t="n">
        <v>8001</v>
      </c>
      <c r="G54" s="265" t="n">
        <v>10900</v>
      </c>
      <c r="H54" s="265" t="n">
        <v>10120</v>
      </c>
      <c r="I54" s="265" t="n">
        <v>780</v>
      </c>
      <c r="J54" s="266">
        <f>IFERROR(I54/(H54+I54),"")</f>
        <v/>
      </c>
      <c r="K54" s="264" t="n">
        <v>40</v>
      </c>
      <c r="L54" s="264" t="n"/>
      <c r="M54" s="264" t="n"/>
      <c r="N54" s="264" t="n"/>
      <c r="O54" s="264" t="n"/>
      <c r="P54" s="264" t="n">
        <v>80</v>
      </c>
      <c r="Q54" s="264" t="n"/>
      <c r="R54" s="264" t="n"/>
      <c r="S54" s="264" t="n"/>
    </row>
    <row r="55" hidden="1" ht="15" customHeight="1" s="237">
      <c r="A55" s="267" t="n">
        <v>46182</v>
      </c>
      <c r="B55" s="264" t="inlineStr">
        <is>
          <t>Press-04</t>
        </is>
      </c>
      <c r="C55" s="264" t="inlineStr"/>
      <c r="D55" s="264" t="inlineStr"/>
      <c r="E55" s="264" t="inlineStr"/>
      <c r="F55" s="264" t="n"/>
      <c r="G55" s="265" t="n">
        <v>0</v>
      </c>
      <c r="H55" s="265" t="n">
        <v>0</v>
      </c>
      <c r="I55" s="265" t="n">
        <v>0</v>
      </c>
      <c r="J55" s="266">
        <f>IFERROR(I55/(H55+I55),"")</f>
        <v/>
      </c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</row>
    <row r="56" hidden="1" ht="15" customHeight="1" s="237">
      <c r="A56" s="267" t="n">
        <v>46182</v>
      </c>
      <c r="B56" s="264" t="inlineStr">
        <is>
          <t>Press-06</t>
        </is>
      </c>
      <c r="C56" s="264" t="inlineStr">
        <is>
          <t>Samsol International Private Limited</t>
        </is>
      </c>
      <c r="D56" s="264" t="inlineStr">
        <is>
          <t>TUBES COMMON RED</t>
        </is>
      </c>
      <c r="E56" s="264" t="n">
        <v>25</v>
      </c>
      <c r="F56" s="264" t="n">
        <v>6470</v>
      </c>
      <c r="G56" s="265" t="n">
        <v>23000</v>
      </c>
      <c r="H56" s="265" t="n">
        <v>22835</v>
      </c>
      <c r="I56" s="265" t="n">
        <v>165</v>
      </c>
      <c r="J56" s="266">
        <f>IFERROR(I56/(H56+I56),"")</f>
        <v/>
      </c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</row>
    <row r="57" ht="15" customHeight="1" s="237">
      <c r="A57" s="267" t="n">
        <v>46182</v>
      </c>
      <c r="B57" s="264" t="inlineStr">
        <is>
          <t>Printing-03</t>
        </is>
      </c>
      <c r="C57" s="264" t="inlineStr">
        <is>
          <t>Samsol International Private Limited</t>
        </is>
      </c>
      <c r="D57" s="264" t="inlineStr">
        <is>
          <t>TUBES COMMON RED</t>
        </is>
      </c>
      <c r="E57" s="264" t="n">
        <v>25</v>
      </c>
      <c r="F57" s="264" t="n">
        <v>6470</v>
      </c>
      <c r="G57" s="265" t="n">
        <v>22556</v>
      </c>
      <c r="H57" s="265" t="n">
        <v>22176</v>
      </c>
      <c r="I57" s="265" t="n">
        <v>380</v>
      </c>
      <c r="J57" s="266">
        <f>IFERROR(I57/(H57+I57),"")</f>
        <v/>
      </c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</row>
    <row r="58" hidden="1" ht="15" customHeight="1" s="237">
      <c r="A58" s="267" t="n">
        <v>46182</v>
      </c>
      <c r="B58" s="264" t="inlineStr">
        <is>
          <t>Printing-04</t>
        </is>
      </c>
      <c r="C58" s="264" t="inlineStr"/>
      <c r="D58" s="264" t="inlineStr"/>
      <c r="E58" s="264" t="inlineStr"/>
      <c r="F58" s="264" t="n"/>
      <c r="G58" s="265" t="n">
        <v>0</v>
      </c>
      <c r="H58" s="265" t="n">
        <v>0</v>
      </c>
      <c r="I58" s="265" t="n">
        <v>0</v>
      </c>
      <c r="J58" s="266">
        <f>IFERROR(I58/(H58+I58),"")</f>
        <v/>
      </c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</row>
    <row r="59" hidden="1" ht="15" customHeight="1" s="237">
      <c r="A59" s="267" t="n">
        <v>46183</v>
      </c>
      <c r="B59" s="264" t="inlineStr">
        <is>
          <t>Lacquer-02</t>
        </is>
      </c>
      <c r="C59" s="264" t="inlineStr"/>
      <c r="D59" s="264" t="inlineStr"/>
      <c r="E59" s="264" t="inlineStr"/>
      <c r="F59" s="264" t="n"/>
      <c r="G59" s="265" t="n">
        <v>0</v>
      </c>
      <c r="H59" s="265" t="n">
        <v>0</v>
      </c>
      <c r="I59" s="265" t="n">
        <v>0</v>
      </c>
      <c r="J59" s="266">
        <f>IFERROR(I59/(H59+I59),"")</f>
        <v/>
      </c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</row>
    <row r="60" hidden="1" ht="15" customHeight="1" s="237">
      <c r="A60" s="267" t="n">
        <v>46183</v>
      </c>
      <c r="B60" s="264" t="inlineStr">
        <is>
          <t>Lacquer-04</t>
        </is>
      </c>
      <c r="C60" s="264" t="inlineStr">
        <is>
          <t>Samsol International Private Limited</t>
        </is>
      </c>
      <c r="D60" s="264" t="inlineStr">
        <is>
          <t>TUBES COMMON RED</t>
        </is>
      </c>
      <c r="E60" s="264" t="n">
        <v>25</v>
      </c>
      <c r="F60" s="264" t="n">
        <v>6470</v>
      </c>
      <c r="G60" s="265" t="n">
        <v>22000</v>
      </c>
      <c r="H60" s="265" t="n">
        <v>21650</v>
      </c>
      <c r="I60" s="265" t="n">
        <v>350</v>
      </c>
      <c r="J60" s="266">
        <f>IFERROR(I60/(H60+I60),"")</f>
        <v/>
      </c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</row>
    <row r="61" hidden="1" ht="15" customHeight="1" s="237">
      <c r="A61" s="267" t="n">
        <v>46183</v>
      </c>
      <c r="B61" s="264" t="inlineStr">
        <is>
          <t>Latex-01</t>
        </is>
      </c>
      <c r="C61" s="264" t="inlineStr"/>
      <c r="D61" s="264" t="inlineStr"/>
      <c r="E61" s="264" t="inlineStr"/>
      <c r="F61" s="264" t="n"/>
      <c r="G61" s="265" t="n">
        <v>0</v>
      </c>
      <c r="H61" s="265" t="n">
        <v>0</v>
      </c>
      <c r="I61" s="265" t="n">
        <v>0</v>
      </c>
      <c r="J61" s="266">
        <f>IFERROR(I61/(H61+I61),"")</f>
        <v/>
      </c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</row>
    <row r="62" hidden="1" ht="15" customHeight="1" s="237">
      <c r="A62" s="267" t="n">
        <v>46183</v>
      </c>
      <c r="B62" s="264" t="inlineStr">
        <is>
          <t>PF Machine</t>
        </is>
      </c>
      <c r="C62" s="264" t="inlineStr">
        <is>
          <t>Alpha Labs PVT LTD</t>
        </is>
      </c>
      <c r="D62" s="264" t="inlineStr">
        <is>
          <t>TRANSPARENT BOTTLE 150ML</t>
        </is>
      </c>
      <c r="E62" s="264" t="inlineStr">
        <is>
          <t>150 ml</t>
        </is>
      </c>
      <c r="F62" s="264" t="n">
        <v>8001</v>
      </c>
      <c r="G62" s="265" t="n">
        <v>0</v>
      </c>
      <c r="H62" s="265" t="n">
        <v>0</v>
      </c>
      <c r="I62" s="265" t="n">
        <v>0</v>
      </c>
      <c r="J62" s="266">
        <f>IFERROR(I62/(H62+I62),"")</f>
        <v/>
      </c>
      <c r="K62" s="264" t="n"/>
      <c r="L62" s="264" t="n"/>
      <c r="M62" s="264" t="n"/>
      <c r="N62" s="264" t="n"/>
      <c r="O62" s="264" t="n">
        <v>480</v>
      </c>
      <c r="P62" s="264" t="n"/>
      <c r="Q62" s="264" t="n"/>
      <c r="R62" s="264" t="n"/>
      <c r="S62" s="264" t="n"/>
    </row>
    <row r="63" hidden="1" ht="15" customHeight="1" s="237">
      <c r="A63" s="267" t="n">
        <v>46183</v>
      </c>
      <c r="B63" s="264" t="inlineStr">
        <is>
          <t>Press-04</t>
        </is>
      </c>
      <c r="C63" s="264" t="inlineStr"/>
      <c r="D63" s="264" t="inlineStr"/>
      <c r="E63" s="264" t="inlineStr"/>
      <c r="F63" s="264" t="n"/>
      <c r="G63" s="265" t="n">
        <v>0</v>
      </c>
      <c r="H63" s="265" t="n">
        <v>0</v>
      </c>
      <c r="I63" s="265" t="n">
        <v>0</v>
      </c>
      <c r="J63" s="266">
        <f>IFERROR(I63/(H63+I63),"")</f>
        <v/>
      </c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</row>
    <row r="64" hidden="1" ht="15" customHeight="1" s="237">
      <c r="A64" s="267" t="n">
        <v>46183</v>
      </c>
      <c r="B64" s="264" t="inlineStr">
        <is>
          <t>Press-06</t>
        </is>
      </c>
      <c r="C64" s="264" t="inlineStr">
        <is>
          <t>Samsol International Private Limited</t>
        </is>
      </c>
      <c r="D64" s="264" t="inlineStr">
        <is>
          <t>TUBES COMMON RED</t>
        </is>
      </c>
      <c r="E64" s="264" t="n">
        <v>25</v>
      </c>
      <c r="F64" s="264" t="n">
        <v>6470</v>
      </c>
      <c r="G64" s="265" t="n">
        <v>26000</v>
      </c>
      <c r="H64" s="265" t="n">
        <v>25830</v>
      </c>
      <c r="I64" s="265" t="n">
        <v>170</v>
      </c>
      <c r="J64" s="266">
        <f>IFERROR(I64/(H64+I64),"")</f>
        <v/>
      </c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</row>
    <row r="65" ht="15" customHeight="1" s="237">
      <c r="A65" s="267" t="n">
        <v>46183</v>
      </c>
      <c r="B65" s="264" t="inlineStr">
        <is>
          <t>Printing-03</t>
        </is>
      </c>
      <c r="C65" s="264" t="inlineStr">
        <is>
          <t>Samsol International Private Limited</t>
        </is>
      </c>
      <c r="D65" s="264" t="inlineStr">
        <is>
          <t>TUBES COMMON RED</t>
        </is>
      </c>
      <c r="E65" s="264" t="n">
        <v>25</v>
      </c>
      <c r="F65" s="264" t="n">
        <v>6470</v>
      </c>
      <c r="G65" s="265" t="n">
        <v>22571</v>
      </c>
      <c r="H65" s="265" t="n">
        <v>22176</v>
      </c>
      <c r="I65" s="265" t="n">
        <v>395</v>
      </c>
      <c r="J65" s="266">
        <f>IFERROR(I65/(H65+I65),"")</f>
        <v/>
      </c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</row>
    <row r="66" hidden="1" ht="15" customHeight="1" s="237">
      <c r="A66" s="267" t="n">
        <v>46183</v>
      </c>
      <c r="B66" s="264" t="inlineStr">
        <is>
          <t>Printing-04</t>
        </is>
      </c>
      <c r="C66" s="264" t="inlineStr"/>
      <c r="D66" s="264" t="inlineStr"/>
      <c r="E66" s="264" t="inlineStr"/>
      <c r="F66" s="264" t="n"/>
      <c r="G66" s="265" t="n">
        <v>0</v>
      </c>
      <c r="H66" s="265" t="n">
        <v>0</v>
      </c>
      <c r="I66" s="265" t="n">
        <v>0</v>
      </c>
      <c r="J66" s="266">
        <f>IFERROR(I66/(H66+I66),"")</f>
        <v/>
      </c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</row>
    <row r="67" hidden="1" ht="15" customHeight="1" s="237">
      <c r="A67" s="267" t="n">
        <v>46184</v>
      </c>
      <c r="B67" s="264" t="inlineStr">
        <is>
          <t>Lacquer-02</t>
        </is>
      </c>
      <c r="C67" s="264" t="inlineStr"/>
      <c r="D67" s="264" t="inlineStr"/>
      <c r="E67" s="264" t="inlineStr"/>
      <c r="F67" s="264" t="n"/>
      <c r="G67" s="265" t="n">
        <v>0</v>
      </c>
      <c r="H67" s="265" t="n">
        <v>0</v>
      </c>
      <c r="I67" s="265" t="n">
        <v>0</v>
      </c>
      <c r="J67" s="266">
        <f>IFERROR(I67/(H67+I67),"")</f>
        <v/>
      </c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</row>
    <row r="68" hidden="1" ht="15" customHeight="1" s="237">
      <c r="A68" s="267" t="n">
        <v>46184</v>
      </c>
      <c r="B68" s="264" t="inlineStr">
        <is>
          <t>Lacquer-04</t>
        </is>
      </c>
      <c r="C68" s="264" t="inlineStr">
        <is>
          <t>Samsol International Private Limited</t>
        </is>
      </c>
      <c r="D68" s="264" t="inlineStr">
        <is>
          <t>TUBE COMMON PURPLE</t>
        </is>
      </c>
      <c r="E68" s="264" t="n">
        <v>25</v>
      </c>
      <c r="F68" s="264" t="n">
        <v>6532</v>
      </c>
      <c r="G68" s="265" t="n">
        <v>20000</v>
      </c>
      <c r="H68" s="265" t="n">
        <v>19715</v>
      </c>
      <c r="I68" s="265" t="n">
        <v>285</v>
      </c>
      <c r="J68" s="266">
        <f>IFERROR(I68/(H68+I68),"")</f>
        <v/>
      </c>
      <c r="K68" s="264" t="n"/>
      <c r="L68" s="264" t="n"/>
      <c r="M68" s="264" t="n"/>
      <c r="N68" s="264" t="n"/>
      <c r="O68" s="264" t="n"/>
      <c r="P68" s="264" t="n">
        <v>80</v>
      </c>
      <c r="Q68" s="264" t="n"/>
      <c r="R68" s="264" t="n"/>
      <c r="S68" s="264" t="n"/>
    </row>
    <row r="69" hidden="1" ht="15" customHeight="1" s="237">
      <c r="A69" s="267" t="n">
        <v>46184</v>
      </c>
      <c r="B69" s="264" t="inlineStr">
        <is>
          <t>Latex-01</t>
        </is>
      </c>
      <c r="C69" s="264" t="inlineStr"/>
      <c r="D69" s="264" t="inlineStr"/>
      <c r="E69" s="264" t="inlineStr"/>
      <c r="F69" s="264" t="n"/>
      <c r="G69" s="265" t="n">
        <v>0</v>
      </c>
      <c r="H69" s="265" t="n">
        <v>0</v>
      </c>
      <c r="I69" s="265" t="n">
        <v>0</v>
      </c>
      <c r="J69" s="266">
        <f>IFERROR(I69/(H69+I69),"")</f>
        <v/>
      </c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</row>
    <row r="70" hidden="1" ht="15" customHeight="1" s="237">
      <c r="A70" s="267" t="n">
        <v>46184</v>
      </c>
      <c r="B70" s="264" t="inlineStr">
        <is>
          <t>PF Machine</t>
        </is>
      </c>
      <c r="C70" s="264" t="inlineStr">
        <is>
          <t>Alpha Labs PVT LTD</t>
        </is>
      </c>
      <c r="D70" s="264" t="inlineStr">
        <is>
          <t>TRANSPARENT BOTTLE 150ML</t>
        </is>
      </c>
      <c r="E70" s="264" t="inlineStr">
        <is>
          <t>150 ml</t>
        </is>
      </c>
      <c r="F70" s="264" t="n">
        <v>8001</v>
      </c>
      <c r="G70" s="265" t="n">
        <v>0</v>
      </c>
      <c r="H70" s="265" t="n">
        <v>0</v>
      </c>
      <c r="I70" s="265" t="n">
        <v>0</v>
      </c>
      <c r="J70" s="266">
        <f>IFERROR(I70/(H70+I70),"")</f>
        <v/>
      </c>
      <c r="K70" s="264" t="n"/>
      <c r="L70" s="264" t="n"/>
      <c r="M70" s="264" t="n"/>
      <c r="N70" s="264" t="n"/>
      <c r="O70" s="264" t="n"/>
      <c r="P70" s="264" t="n">
        <v>480</v>
      </c>
      <c r="Q70" s="264" t="n"/>
      <c r="R70" s="264" t="n"/>
      <c r="S70" s="264" t="n"/>
    </row>
    <row r="71" hidden="1" ht="15" customHeight="1" s="237">
      <c r="A71" s="267" t="n">
        <v>46184</v>
      </c>
      <c r="B71" s="264" t="inlineStr">
        <is>
          <t>Press-04</t>
        </is>
      </c>
      <c r="C71" s="264" t="inlineStr"/>
      <c r="D71" s="264" t="inlineStr"/>
      <c r="E71" s="264" t="inlineStr"/>
      <c r="F71" s="264" t="n"/>
      <c r="G71" s="265" t="n">
        <v>0</v>
      </c>
      <c r="H71" s="265" t="n">
        <v>0</v>
      </c>
      <c r="I71" s="265" t="n">
        <v>0</v>
      </c>
      <c r="J71" s="266">
        <f>IFERROR(I71/(H71+I71),"")</f>
        <v/>
      </c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</row>
    <row r="72" hidden="1" ht="15" customHeight="1" s="237">
      <c r="A72" s="267" t="n">
        <v>46184</v>
      </c>
      <c r="B72" s="264" t="inlineStr">
        <is>
          <t>Press-06</t>
        </is>
      </c>
      <c r="C72" s="264" t="inlineStr">
        <is>
          <t>Samsol International Private Limited</t>
        </is>
      </c>
      <c r="D72" s="264" t="inlineStr">
        <is>
          <t>TUBE COMMON PURPLE</t>
        </is>
      </c>
      <c r="E72" s="264" t="n">
        <v>25</v>
      </c>
      <c r="F72" s="264" t="n">
        <v>6532</v>
      </c>
      <c r="G72" s="265" t="n">
        <v>22000</v>
      </c>
      <c r="H72" s="265" t="n">
        <v>21845</v>
      </c>
      <c r="I72" s="265" t="n">
        <v>155</v>
      </c>
      <c r="J72" s="266">
        <f>IFERROR(I72/(H72+I72),"")</f>
        <v/>
      </c>
      <c r="K72" s="264" t="n"/>
      <c r="L72" s="264" t="n"/>
      <c r="M72" s="264" t="n"/>
      <c r="N72" s="264" t="n"/>
      <c r="O72" s="264" t="n"/>
      <c r="P72" s="264" t="n">
        <v>80</v>
      </c>
      <c r="Q72" s="264" t="n"/>
      <c r="R72" s="264" t="n"/>
      <c r="S72" s="264" t="n"/>
    </row>
    <row r="73" ht="15" customHeight="1" s="237">
      <c r="A73" s="267" t="n">
        <v>46184</v>
      </c>
      <c r="B73" s="264" t="inlineStr">
        <is>
          <t>Printing-03</t>
        </is>
      </c>
      <c r="C73" s="264" t="inlineStr">
        <is>
          <t>Samsol International Private Limited</t>
        </is>
      </c>
      <c r="D73" s="264" t="inlineStr">
        <is>
          <t>TUBE COMMON PURPLE</t>
        </is>
      </c>
      <c r="E73" s="264" t="n">
        <v>25</v>
      </c>
      <c r="F73" s="264" t="n">
        <v>6532</v>
      </c>
      <c r="G73" s="265" t="n">
        <v>15149</v>
      </c>
      <c r="H73" s="265" t="n">
        <v>14784</v>
      </c>
      <c r="I73" s="265" t="n">
        <v>365</v>
      </c>
      <c r="J73" s="266">
        <f>IFERROR(I73/(H73+I73),"")</f>
        <v/>
      </c>
      <c r="K73" s="264" t="n"/>
      <c r="L73" s="264" t="n"/>
      <c r="M73" s="264" t="n"/>
      <c r="N73" s="264" t="n"/>
      <c r="O73" s="264" t="n"/>
      <c r="P73" s="264" t="n">
        <v>80</v>
      </c>
      <c r="Q73" s="264" t="n"/>
      <c r="R73" s="264" t="n"/>
      <c r="S73" s="264" t="n"/>
    </row>
    <row r="74" ht="15" customHeight="1" s="237">
      <c r="A74" s="267" t="n">
        <v>46184</v>
      </c>
      <c r="B74" s="264" t="inlineStr">
        <is>
          <t>Printing-04</t>
        </is>
      </c>
      <c r="C74" s="264" t="inlineStr">
        <is>
          <t>Samsol International Private Limited</t>
        </is>
      </c>
      <c r="D74" s="264" t="inlineStr">
        <is>
          <t>TUBES COMMON RED</t>
        </is>
      </c>
      <c r="E74" s="264" t="n">
        <v>25</v>
      </c>
      <c r="F74" s="264" t="n">
        <v>6470</v>
      </c>
      <c r="G74" s="265" t="n">
        <v>2783</v>
      </c>
      <c r="H74" s="265" t="n">
        <v>2688</v>
      </c>
      <c r="I74" s="265" t="n">
        <v>95</v>
      </c>
      <c r="J74" s="266">
        <f>IFERROR(I74/(H74+I74),"")</f>
        <v/>
      </c>
      <c r="K74" s="264" t="n"/>
      <c r="L74" s="264" t="n"/>
      <c r="M74" s="264" t="n"/>
      <c r="N74" s="264" t="n">
        <v>30</v>
      </c>
      <c r="O74" s="264" t="n"/>
      <c r="P74" s="264" t="n"/>
      <c r="Q74" s="264" t="n"/>
      <c r="R74" s="264" t="n"/>
      <c r="S74" s="264" t="n"/>
    </row>
    <row r="75" hidden="1" ht="15" customHeight="1" s="237">
      <c r="A75" s="267" t="n">
        <v>46184</v>
      </c>
      <c r="B75" s="264" t="inlineStr">
        <is>
          <t>Printing-04</t>
        </is>
      </c>
      <c r="C75" s="264" t="inlineStr"/>
      <c r="D75" s="264" t="inlineStr"/>
      <c r="E75" s="264" t="inlineStr"/>
      <c r="F75" s="264" t="n"/>
      <c r="G75" s="265" t="n">
        <v>0</v>
      </c>
      <c r="H75" s="265" t="n">
        <v>0</v>
      </c>
      <c r="I75" s="265" t="n">
        <v>0</v>
      </c>
      <c r="J75" s="266">
        <f>IFERROR(I75/(H75+I75),"")</f>
        <v/>
      </c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</row>
    <row r="76" ht="15" customHeight="1" s="237">
      <c r="A76" s="267" t="n">
        <v>46185</v>
      </c>
      <c r="B76" s="264" t="inlineStr">
        <is>
          <t>Lacquer-02</t>
        </is>
      </c>
      <c r="C76" s="264" t="inlineStr"/>
      <c r="D76" s="264" t="inlineStr"/>
      <c r="E76" s="264" t="inlineStr"/>
      <c r="F76" s="264" t="n"/>
      <c r="G76" s="265" t="n">
        <v>0</v>
      </c>
      <c r="H76" s="265" t="n">
        <v>0</v>
      </c>
      <c r="I76" s="265" t="n">
        <v>0</v>
      </c>
      <c r="J76" s="266">
        <f>IFERROR(I76/(H76+I76),"")</f>
        <v/>
      </c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</row>
    <row r="77" ht="15" customHeight="1" s="237">
      <c r="A77" s="267" t="n">
        <v>46185</v>
      </c>
      <c r="B77" s="264" t="inlineStr">
        <is>
          <t>Lacquer-04</t>
        </is>
      </c>
      <c r="C77" s="264" t="inlineStr">
        <is>
          <t>Samsol International Private Limited</t>
        </is>
      </c>
      <c r="D77" s="264" t="inlineStr">
        <is>
          <t>TUBE COMMON PURPLE</t>
        </is>
      </c>
      <c r="E77" s="264" t="n">
        <v>25</v>
      </c>
      <c r="F77" s="264" t="n">
        <v>6532</v>
      </c>
      <c r="G77" s="265" t="n">
        <v>15000</v>
      </c>
      <c r="H77" s="265" t="n">
        <v>14735</v>
      </c>
      <c r="I77" s="265" t="n">
        <v>265</v>
      </c>
      <c r="J77" s="266">
        <f>IFERROR(I77/(H77+I77),"")</f>
        <v/>
      </c>
      <c r="K77" s="264" t="n"/>
      <c r="L77" s="264" t="n"/>
      <c r="M77" s="264" t="n"/>
      <c r="N77" s="264" t="n"/>
      <c r="O77" s="264" t="n"/>
      <c r="P77" s="264" t="n">
        <v>180</v>
      </c>
      <c r="Q77" s="264" t="n"/>
      <c r="R77" s="264" t="n"/>
      <c r="S77" s="264" t="n"/>
    </row>
    <row r="78" ht="15" customHeight="1" s="237">
      <c r="A78" s="267" t="n">
        <v>46185</v>
      </c>
      <c r="B78" s="264" t="inlineStr">
        <is>
          <t>Latex-01</t>
        </is>
      </c>
      <c r="C78" s="264" t="inlineStr"/>
      <c r="D78" s="264" t="inlineStr"/>
      <c r="E78" s="264" t="inlineStr"/>
      <c r="F78" s="264" t="n"/>
      <c r="G78" s="265" t="n">
        <v>0</v>
      </c>
      <c r="H78" s="265" t="n">
        <v>0</v>
      </c>
      <c r="I78" s="265" t="n">
        <v>0</v>
      </c>
      <c r="J78" s="266">
        <f>IFERROR(I78/(H78+I78),"")</f>
        <v/>
      </c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</row>
    <row r="79" ht="15" customHeight="1" s="237">
      <c r="A79" s="267" t="n">
        <v>46185</v>
      </c>
      <c r="B79" s="264" t="inlineStr">
        <is>
          <t>PF Machine</t>
        </is>
      </c>
      <c r="C79" s="264" t="inlineStr">
        <is>
          <t>Alpha Labs PVT LTD</t>
        </is>
      </c>
      <c r="D79" s="264" t="inlineStr">
        <is>
          <t>TRANSPARENT BOTTLE 150ML</t>
        </is>
      </c>
      <c r="E79" s="264" t="inlineStr">
        <is>
          <t>150 ml</t>
        </is>
      </c>
      <c r="F79" s="264" t="n">
        <v>8001</v>
      </c>
      <c r="G79" s="265" t="n">
        <v>0</v>
      </c>
      <c r="H79" s="265" t="n">
        <v>0</v>
      </c>
      <c r="I79" s="265" t="n">
        <v>0</v>
      </c>
      <c r="J79" s="266">
        <f>IFERROR(I79/(H79+I79),"")</f>
        <v/>
      </c>
      <c r="K79" s="264" t="n"/>
      <c r="L79" s="264" t="n"/>
      <c r="M79" s="264" t="n"/>
      <c r="N79" s="264" t="n"/>
      <c r="O79" s="264" t="n"/>
      <c r="P79" s="264" t="n">
        <v>480</v>
      </c>
      <c r="Q79" s="264" t="n"/>
      <c r="R79" s="264" t="n"/>
      <c r="S79" s="264" t="n"/>
    </row>
    <row r="80" ht="15" customHeight="1" s="237">
      <c r="A80" s="267" t="n">
        <v>46185</v>
      </c>
      <c r="B80" s="264" t="inlineStr">
        <is>
          <t>Press-04</t>
        </is>
      </c>
      <c r="C80" s="264" t="inlineStr"/>
      <c r="D80" s="264" t="inlineStr"/>
      <c r="E80" s="264" t="inlineStr"/>
      <c r="F80" s="264" t="n"/>
      <c r="G80" s="265" t="n">
        <v>0</v>
      </c>
      <c r="H80" s="265" t="n">
        <v>0</v>
      </c>
      <c r="I80" s="265" t="n">
        <v>0</v>
      </c>
      <c r="J80" s="266">
        <f>IFERROR(I80/(H80+I80),"")</f>
        <v/>
      </c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</row>
    <row r="81" ht="15" customHeight="1" s="237">
      <c r="A81" s="267" t="n">
        <v>46185</v>
      </c>
      <c r="B81" s="264" t="inlineStr">
        <is>
          <t>Press-06</t>
        </is>
      </c>
      <c r="C81" s="264" t="inlineStr">
        <is>
          <t>Samsol International Private Limited</t>
        </is>
      </c>
      <c r="D81" s="264" t="inlineStr">
        <is>
          <t>TUBE COMMON PURPLE</t>
        </is>
      </c>
      <c r="E81" s="264" t="n">
        <v>25</v>
      </c>
      <c r="F81" s="264" t="n">
        <v>6532</v>
      </c>
      <c r="G81" s="265" t="n">
        <v>11500</v>
      </c>
      <c r="H81" s="265" t="n">
        <v>11360</v>
      </c>
      <c r="I81" s="265" t="n">
        <v>140</v>
      </c>
      <c r="J81" s="266">
        <f>IFERROR(I81/(H81+I81),"")</f>
        <v/>
      </c>
      <c r="K81" s="264" t="n"/>
      <c r="L81" s="264" t="n"/>
      <c r="M81" s="264" t="n"/>
      <c r="N81" s="264" t="n"/>
      <c r="O81" s="264" t="n"/>
      <c r="P81" s="264" t="n">
        <v>180</v>
      </c>
      <c r="Q81" s="264" t="n"/>
      <c r="R81" s="264" t="n"/>
      <c r="S81" s="264" t="n"/>
    </row>
    <row r="82" ht="15" customHeight="1" s="237">
      <c r="A82" s="267" t="n">
        <v>46185</v>
      </c>
      <c r="B82" s="264" t="inlineStr">
        <is>
          <t>Printing-03</t>
        </is>
      </c>
      <c r="C82" s="264" t="inlineStr">
        <is>
          <t>Samsol International Private Limited</t>
        </is>
      </c>
      <c r="D82" s="264" t="inlineStr">
        <is>
          <t>TUBE COMMON PURPLE</t>
        </is>
      </c>
      <c r="E82" s="264" t="n">
        <v>25</v>
      </c>
      <c r="F82" s="264" t="n">
        <v>6532</v>
      </c>
      <c r="G82" s="265" t="n">
        <v>15134</v>
      </c>
      <c r="H82" s="265" t="n">
        <v>14784</v>
      </c>
      <c r="I82" s="265" t="n">
        <v>350</v>
      </c>
      <c r="J82" s="266">
        <f>IFERROR(I82/(H82+I82),"")</f>
        <v/>
      </c>
      <c r="K82" s="264" t="n"/>
      <c r="L82" s="264" t="n"/>
      <c r="M82" s="264" t="n"/>
      <c r="N82" s="264" t="n"/>
      <c r="O82" s="264" t="n"/>
      <c r="P82" s="264" t="n">
        <v>180</v>
      </c>
      <c r="Q82" s="264" t="n"/>
      <c r="R82" s="264" t="n"/>
      <c r="S82" s="264" t="n"/>
    </row>
    <row r="83" ht="15" customHeight="1" s="237">
      <c r="A83" s="267" t="n">
        <v>46185</v>
      </c>
      <c r="B83" s="264" t="inlineStr">
        <is>
          <t>Printing-04</t>
        </is>
      </c>
      <c r="C83" s="264" t="inlineStr">
        <is>
          <t>Samsol International Private Limited</t>
        </is>
      </c>
      <c r="D83" s="264" t="inlineStr"/>
      <c r="E83" s="264" t="inlineStr"/>
      <c r="F83" s="264" t="n"/>
      <c r="G83" s="265" t="n">
        <v>0</v>
      </c>
      <c r="H83" s="265" t="n">
        <v>0</v>
      </c>
      <c r="I83" s="265" t="n">
        <v>0</v>
      </c>
      <c r="J83" s="266">
        <f>IFERROR(I83/(H83+I83),"")</f>
        <v/>
      </c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</row>
    <row r="84" ht="15" customHeight="1" s="237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t="15" customHeight="1" s="237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t="15" customHeight="1" s="237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t="15" customHeight="1" s="237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37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t="15" customHeight="1" s="237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t="15" customHeight="1" s="237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t="15" customHeight="1" s="237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t="15" customHeight="1" s="237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75">
    <filterColumn colId="1" hiddenButton="0" showButton="1">
      <filters>
        <filter val="Printing-03"/>
        <filter val="Printing-04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105" activePane="bottomLeft" state="frozen"/>
      <selection activeCell="C1" sqref="C1"/>
      <selection pane="bottomLeft" activeCell="D311" sqref="D311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6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idden="1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idden="1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idden="1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idden="1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idden="1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idden="1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idden="1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idden="1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idden="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idden="1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idden="1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idden="1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idden="1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idden="1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idden="1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idden="1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idden="1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idden="1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idden="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idden="1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idden="1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idden="1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idden="1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idden="1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idden="1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idden="1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idden="1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idden="1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idden="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idden="1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idden="1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idden="1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idden="1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idden="1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idden="1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idden="1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idden="1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idden="1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idden="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idden="1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idden="1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idden="1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idden="1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idden="1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idden="1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idden="1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idden="1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idden="1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idden="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idden="1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idden="1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idden="1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idden="1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idden="1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idden="1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idden="1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idden="1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idden="1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idden="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idden="1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idden="1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idden="1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idden="1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idden="1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idden="1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idden="1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idden="1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idden="1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idden="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idden="1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idden="1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idden="1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idden="1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idden="1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idden="1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idden="1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idden="1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idden="1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idden="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idden="1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idden="1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idden="1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idden="1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idden="1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idden="1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idden="1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idden="1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idden="1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idden="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idden="1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idden="1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idden="1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idden="1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idden="1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idden="1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idden="1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idden="1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idden="1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idden="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idden="1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idden="1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idden="1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idden="1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idden="1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idden="1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idden="1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idden="1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idden="1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idden="1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idden="1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idden="1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idden="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idden="1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idden="1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idden="1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idden="1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idden="1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idden="1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idden="1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idden="1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idden="1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idden="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idden="1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idden="1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idden="1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idden="1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idden="1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idden="1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idden="1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idden="1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idden="1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idden="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idden="1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idden="1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idden="1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idden="1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idden="1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idden="1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idden="1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idden="1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idden="1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idden="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idden="1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idden="1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idden="1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idden="1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idden="1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idden="1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idden="1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idden="1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idden="1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idden="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idden="1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idden="1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idden="1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idden="1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idden="1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idden="1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idden="1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idden="1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idden="1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idden="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idden="1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idden="1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idden="1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idden="1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idden="1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idden="1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idden="1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idden="1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idden="1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idden="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idden="1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idden="1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idden="1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idden="1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idden="1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idden="1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idden="1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idden="1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idden="1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idden="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idden="1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idden="1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idden="1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idden="1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idden="1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idden="1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idden="1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idden="1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idden="1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idden="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idden="1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idden="1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idden="1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idden="1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idden="1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idden="1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idden="1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idden="1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idden="1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idden="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idden="1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idden="1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idden="1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idden="1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idden="1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idden="1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idden="1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idden="1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idden="1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idden="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idden="1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idden="1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idden="1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idden="1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idden="1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idden="1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idden="1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idden="1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idden="1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idden="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idden="1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idden="1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idden="1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idden="1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idden="1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idden="1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idden="1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idden="1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idden="1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idden="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idden="1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idden="1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idden="1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idden="1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idden="1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idden="1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idden="1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idden="1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idden="1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idden="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idden="1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idden="1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idden="1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idden="1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idden="1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idden="1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idden="1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idden="1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idden="1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idden="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idden="1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idden="1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idden="1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idden="1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idden="1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idden="1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idden="1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idden="1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BT-200 ML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idden="1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BT-200 ML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idden="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BT-200 ML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idden="1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BT-200 ML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idden="1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idden="1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idden="1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idden="1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idden="1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idden="1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idden="1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idden="1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idden="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idden="1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idden="1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idden="1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idden="1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idden="1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idden="1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idden="1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idden="1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idden="1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idden="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idden="1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idden="1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idden="1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idden="1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idden="1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idden="1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idden="1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idden="1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idden="1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idden="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idden="1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idden="1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idden="1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idden="1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idden="1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idden="1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idden="1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idden="1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idden="1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idden="1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idden="1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idden="1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idden="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idden="1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idden="1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idden="1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idden="1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idden="1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idden="1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idden="1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idden="1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idden="1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idden="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idden="1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idden="1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idden="1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idden="1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idden="1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idden="1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61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31.2851562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32" t="n"/>
      <c r="C1" s="232" t="n"/>
      <c r="D1" s="232" t="n"/>
      <c r="E1" s="232" t="n"/>
      <c r="F1" s="232" t="n"/>
      <c r="G1" s="232" t="n"/>
      <c r="H1" s="232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1050</v>
      </c>
      <c r="H7" s="38">
        <f>E7+F7-G7</f>
        <v/>
      </c>
      <c r="I7" s="37" t="n">
        <v>75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90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1400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0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52" sqref="C52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idden="1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idden="1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idden="1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idden="1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idden="1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idden="1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idden="1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idden="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idden="1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idden="1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idden="1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idden="1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idden="1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/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idden="1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idden="1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idden="1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idden="1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idden="1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idden="1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idden="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idden="1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idden="1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idden="1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idden="1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idden="1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idden="1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idden="1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idden="1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idden="1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idden="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idden="1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 hidden="1" ht="10.5" customHeight="1" s="237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idden="1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BT-200 ML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idden="1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idden="1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idden="1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idden="1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idden="1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idden="1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idden="1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7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7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7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7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7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7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7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7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7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8" t="inlineStr">
        <is>
          <t>FG STOCK IN HAND — Last Updated: 13-Jun-2026</t>
        </is>
      </c>
    </row>
    <row r="2" ht="15.75" customHeight="1" s="237">
      <c r="A2" s="259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87" t="n">
        <v>1</v>
      </c>
      <c r="B4" s="287" t="n">
        <v>8001</v>
      </c>
      <c r="C4" s="288" t="inlineStr">
        <is>
          <t>Alpha Labs PVT LTD</t>
        </is>
      </c>
      <c r="D4" s="288" t="inlineStr">
        <is>
          <t>TRANSPARENT BOTTLE 150ML</t>
        </is>
      </c>
      <c r="E4" s="287" t="inlineStr">
        <is>
          <t>150ml</t>
        </is>
      </c>
      <c r="F4" s="289" t="n">
        <v>10580</v>
      </c>
      <c r="G4" s="287" t="inlineStr">
        <is>
          <t>OK</t>
        </is>
      </c>
      <c r="H4" s="271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87" t="n">
        <v>2</v>
      </c>
      <c r="B5" s="287" t="n">
        <v>5699</v>
      </c>
      <c r="C5" s="288" t="inlineStr">
        <is>
          <t>Samsol International Private Limited</t>
        </is>
      </c>
      <c r="D5" s="288" t="inlineStr">
        <is>
          <t>S-43 DIA 20.5</t>
        </is>
      </c>
      <c r="E5" s="287" t="inlineStr">
        <is>
          <t>20.5</t>
        </is>
      </c>
      <c r="F5" s="289" t="n">
        <v>14790</v>
      </c>
      <c r="G5" s="287" t="inlineStr">
        <is>
          <t>OK</t>
        </is>
      </c>
      <c r="H5" s="271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87" t="n">
        <v>3</v>
      </c>
      <c r="B6" s="287" t="n">
        <v>5731</v>
      </c>
      <c r="C6" s="288" t="inlineStr">
        <is>
          <t>Samsol International Private Limited</t>
        </is>
      </c>
      <c r="D6" s="288" t="inlineStr">
        <is>
          <t>SAMSOL HAIR COLOR 45 DIA 20.5 MM</t>
        </is>
      </c>
      <c r="E6" s="287" t="inlineStr">
        <is>
          <t>20.5</t>
        </is>
      </c>
      <c r="F6" s="289" t="n">
        <v>13770</v>
      </c>
      <c r="G6" s="287" t="inlineStr">
        <is>
          <t>OK</t>
        </is>
      </c>
      <c r="H6" s="271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87" t="n">
        <v>4</v>
      </c>
      <c r="B7" s="287" t="n">
        <v>4050</v>
      </c>
      <c r="C7" s="288" t="inlineStr">
        <is>
          <t>Professional Beauty Solution (PVT) LTD.Pakistan</t>
        </is>
      </c>
      <c r="D7" s="288" t="inlineStr">
        <is>
          <t>EAZICOLOR PREMIUM HAIR COLOUR 60ML</t>
        </is>
      </c>
      <c r="E7" s="287" t="inlineStr">
        <is>
          <t>30</t>
        </is>
      </c>
      <c r="F7" s="289" t="n">
        <v>9450</v>
      </c>
      <c r="G7" s="287" t="inlineStr">
        <is>
          <t>OK</t>
        </is>
      </c>
      <c r="H7" s="271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87" t="n">
        <v>5</v>
      </c>
      <c r="B8" s="287" t="n">
        <v>6337</v>
      </c>
      <c r="C8" s="288" t="inlineStr">
        <is>
          <t>Al-Rehman Group</t>
        </is>
      </c>
      <c r="D8" s="288" t="inlineStr">
        <is>
          <t>ACTIVE PRO HAIR COLOR CREAM 60ML</t>
        </is>
      </c>
      <c r="E8" s="287" t="inlineStr">
        <is>
          <t>30</t>
        </is>
      </c>
      <c r="F8" s="289" t="n">
        <v>15680</v>
      </c>
      <c r="G8" s="287" t="inlineStr">
        <is>
          <t>OK</t>
        </is>
      </c>
      <c r="H8" s="271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87" t="n">
        <v>6</v>
      </c>
      <c r="B9" s="287" t="n">
        <v>6416</v>
      </c>
      <c r="C9" s="288" t="inlineStr">
        <is>
          <t>Al-Rehman Group</t>
        </is>
      </c>
      <c r="D9" s="288" t="inlineStr">
        <is>
          <t>SIGNATURE HAIR COLOR CREAM 60ML</t>
        </is>
      </c>
      <c r="E9" s="287" t="inlineStr">
        <is>
          <t>30</t>
        </is>
      </c>
      <c r="F9" s="289" t="n">
        <v>15435</v>
      </c>
      <c r="G9" s="287" t="inlineStr">
        <is>
          <t>OK</t>
        </is>
      </c>
      <c r="H9" s="271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87" t="n">
        <v>7</v>
      </c>
      <c r="B10" s="287" t="n">
        <v>5782</v>
      </c>
      <c r="C10" s="288" t="inlineStr">
        <is>
          <t>Mega Grey</t>
        </is>
      </c>
      <c r="D10" s="288" t="inlineStr">
        <is>
          <t>M.G</t>
        </is>
      </c>
      <c r="E10" s="287" t="inlineStr">
        <is>
          <t>32</t>
        </is>
      </c>
      <c r="F10" s="289" t="n">
        <v>63648</v>
      </c>
      <c r="G10" s="287" t="inlineStr">
        <is>
          <t>OK</t>
        </is>
      </c>
      <c r="H10" s="271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87" t="n">
        <v>8</v>
      </c>
      <c r="B11" s="287" t="n">
        <v>6531</v>
      </c>
      <c r="C11" s="288" t="inlineStr">
        <is>
          <t>Adore</t>
        </is>
      </c>
      <c r="D11" s="288" t="inlineStr">
        <is>
          <t>V-HC BLACK</t>
        </is>
      </c>
      <c r="E11" s="287" t="inlineStr">
        <is>
          <t>35</t>
        </is>
      </c>
      <c r="F11" s="289" t="n">
        <v>4380</v>
      </c>
      <c r="G11" s="287" t="inlineStr">
        <is>
          <t>OK</t>
        </is>
      </c>
      <c r="H11" s="271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87" t="n">
        <v>9</v>
      </c>
      <c r="B12" s="287" t="n">
        <v>6532</v>
      </c>
      <c r="C12" s="288" t="inlineStr">
        <is>
          <t>Samsol International Private Limited</t>
        </is>
      </c>
      <c r="D12" s="288" t="inlineStr">
        <is>
          <t>TUBE COMMON PURPLE</t>
        </is>
      </c>
      <c r="E12" s="287" t="inlineStr">
        <is>
          <t>25</t>
        </is>
      </c>
      <c r="F12" s="289" t="n">
        <v>31248</v>
      </c>
      <c r="G12" s="287" t="inlineStr">
        <is>
          <t>OK</t>
        </is>
      </c>
      <c r="H12" s="271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87" t="n">
        <v>10</v>
      </c>
      <c r="B13" s="287" t="n">
        <v>6206</v>
      </c>
      <c r="C13" s="288" t="inlineStr">
        <is>
          <t>Golden Pearl Cosmetics (PVT) LTD</t>
        </is>
      </c>
      <c r="D13" s="288" t="inlineStr">
        <is>
          <t>HELLO HAIR COLOR</t>
        </is>
      </c>
      <c r="E13" s="287" t="inlineStr">
        <is>
          <t>30</t>
        </is>
      </c>
      <c r="F13" s="289" t="n">
        <v>100674</v>
      </c>
      <c r="G13" s="287" t="inlineStr">
        <is>
          <t>OK</t>
        </is>
      </c>
      <c r="H13" s="271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90" t="n">
        <v>11</v>
      </c>
      <c r="B14" s="290" t="n">
        <v>6470</v>
      </c>
      <c r="C14" s="291" t="inlineStr">
        <is>
          <t>Samsol International Private Limited</t>
        </is>
      </c>
      <c r="D14" s="291" t="inlineStr">
        <is>
          <t>TUBES COMMON RED</t>
        </is>
      </c>
      <c r="E14" s="290" t="inlineStr">
        <is>
          <t>25</t>
        </is>
      </c>
      <c r="F14" s="292" t="n">
        <v>7632</v>
      </c>
      <c r="G14" s="290" t="inlineStr">
        <is>
          <t>Not Ready</t>
        </is>
      </c>
      <c r="H14" s="275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90" t="n">
        <v>12</v>
      </c>
      <c r="B15" s="290" t="n">
        <v>6515</v>
      </c>
      <c r="C15" s="291" t="inlineStr">
        <is>
          <t>Samsol International Private Limited</t>
        </is>
      </c>
      <c r="D15" s="291" t="inlineStr">
        <is>
          <t>H.H 100GM</t>
        </is>
      </c>
      <c r="E15" s="290" t="inlineStr">
        <is>
          <t>32</t>
        </is>
      </c>
      <c r="F15" s="292" t="n">
        <v>38896</v>
      </c>
      <c r="G15" s="290" t="inlineStr">
        <is>
          <t>Not Ready</t>
        </is>
      </c>
      <c r="H15" s="275" t="inlineStr">
        <is>
          <t>To be dispatch after packing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90" t="n">
        <v>13</v>
      </c>
      <c r="B16" s="290" t="n">
        <v>6530</v>
      </c>
      <c r="C16" s="291" t="inlineStr">
        <is>
          <t>Adore</t>
        </is>
      </c>
      <c r="D16" s="291" t="inlineStr">
        <is>
          <t>V- HC BROWN</t>
        </is>
      </c>
      <c r="E16" s="290" t="inlineStr">
        <is>
          <t>35</t>
        </is>
      </c>
      <c r="F16" s="292" t="n">
        <v>15000</v>
      </c>
      <c r="G16" s="290" t="inlineStr">
        <is>
          <t>Not Ready</t>
        </is>
      </c>
      <c r="H16" s="275" t="inlineStr">
        <is>
          <t>To be dispatch after packing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90" t="n">
        <v>14</v>
      </c>
      <c r="B17" s="290" t="n">
        <v>5782</v>
      </c>
      <c r="C17" s="291" t="inlineStr">
        <is>
          <t>Mega Grey</t>
        </is>
      </c>
      <c r="D17" s="291" t="inlineStr">
        <is>
          <t>M.G</t>
        </is>
      </c>
      <c r="E17" s="290" t="inlineStr">
        <is>
          <t>32</t>
        </is>
      </c>
      <c r="F17" s="292" t="n">
        <v>10500</v>
      </c>
      <c r="G17" s="290" t="inlineStr">
        <is>
          <t>Not Ready</t>
        </is>
      </c>
      <c r="H17" s="275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90" t="n">
        <v>15</v>
      </c>
      <c r="B18" s="290" t="n">
        <v>6624</v>
      </c>
      <c r="C18" s="291" t="inlineStr">
        <is>
          <t>Samsol International Private Limited</t>
        </is>
      </c>
      <c r="D18" s="291" t="inlineStr">
        <is>
          <t>S-45 DIA 19MM</t>
        </is>
      </c>
      <c r="E18" s="290" t="inlineStr">
        <is>
          <t>19</t>
        </is>
      </c>
      <c r="F18" s="292" t="n">
        <v>15288</v>
      </c>
      <c r="G18" s="290" t="inlineStr">
        <is>
          <t>Not Ready</t>
        </is>
      </c>
      <c r="H18" s="275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90" t="n">
        <v>16</v>
      </c>
      <c r="B19" s="290" t="n">
        <v>5731</v>
      </c>
      <c r="C19" s="291" t="inlineStr">
        <is>
          <t>Samsol International Private Limited</t>
        </is>
      </c>
      <c r="D19" s="291" t="inlineStr">
        <is>
          <t>SAMSOL HAIR COLOR 45 DIA 20.5 MM</t>
        </is>
      </c>
      <c r="E19" s="290" t="inlineStr">
        <is>
          <t>20.5</t>
        </is>
      </c>
      <c r="F19" s="292" t="n">
        <v>37030</v>
      </c>
      <c r="G19" s="290" t="inlineStr">
        <is>
          <t>Not Ready</t>
        </is>
      </c>
      <c r="H19" s="275" t="inlineStr">
        <is>
          <t>Cap Not Available</t>
        </is>
      </c>
      <c r="I19" s="95">
        <f>IFERROR(SUMPRODUCT((TableBOM[Product ID]=B19)*(TableBOM[Material Category]="CAP")*TableBOM[Item ID]),0)</f>
        <v/>
      </c>
    </row>
    <row r="20" ht="15" customHeight="1" s="237">
      <c r="A20" s="276" t="n"/>
      <c r="B20" s="276" t="n"/>
      <c r="C20" s="277" t="n"/>
      <c r="D20" s="277" t="n"/>
      <c r="E20" s="276" t="n"/>
      <c r="F20" s="278" t="n"/>
      <c r="G20" s="276" t="n"/>
      <c r="H20" s="279" t="n"/>
      <c r="I20" s="95">
        <f>IFERROR(SUMPRODUCT((TableBOM[Product ID]=B20)*(TableBOM[Material Category]="CAP")*TableBOM[Item ID]),0)</f>
        <v/>
      </c>
    </row>
    <row r="21" ht="15" customHeight="1" s="237">
      <c r="A21" s="276" t="n"/>
      <c r="B21" s="276" t="n"/>
      <c r="C21" s="277" t="n"/>
      <c r="D21" s="277" t="n"/>
      <c r="E21" s="276" t="n"/>
      <c r="F21" s="278" t="n"/>
      <c r="G21" s="276" t="n"/>
      <c r="H21" s="279" t="n"/>
      <c r="I21" s="95">
        <f>IFERROR(SUMPRODUCT((TableBOM[Product ID]=B21)*(TableBOM[Material Category]="CAP")*TableBOM[Item ID]),0)</f>
        <v/>
      </c>
    </row>
    <row r="22" ht="15" customHeight="1" s="237">
      <c r="A22" s="276" t="n"/>
      <c r="B22" s="276" t="n"/>
      <c r="C22" s="277" t="n"/>
      <c r="D22" s="277" t="n"/>
      <c r="E22" s="276" t="n"/>
      <c r="F22" s="278" t="n"/>
      <c r="G22" s="276" t="n"/>
      <c r="H22" s="279" t="n"/>
      <c r="I22" s="95">
        <f>IFERROR(SUMPRODUCT((TableBOM[Product ID]=B22)*(TableBOM[Material Category]="CAP")*TableBOM[Item ID]),0)</f>
        <v/>
      </c>
    </row>
    <row r="23" ht="15" customHeight="1" s="237">
      <c r="A23" s="276" t="n"/>
      <c r="B23" s="276" t="n"/>
      <c r="C23" s="277" t="n"/>
      <c r="D23" s="277" t="n"/>
      <c r="E23" s="276" t="n"/>
      <c r="F23" s="278" t="n"/>
      <c r="G23" s="276" t="n"/>
      <c r="H23" s="279" t="n"/>
      <c r="I23" s="95">
        <f>IFERROR(SUMPRODUCT((TableBOM[Product ID]=B23)*(TableBOM[Material Category]="CAP")*TableBOM[Item ID]),0)</f>
        <v/>
      </c>
    </row>
    <row r="24" ht="15" customHeight="1" s="237">
      <c r="A24" s="276" t="n"/>
      <c r="B24" s="276" t="n"/>
      <c r="C24" s="277" t="n"/>
      <c r="D24" s="277" t="n"/>
      <c r="E24" s="276" t="n"/>
      <c r="F24" s="278" t="n"/>
      <c r="G24" s="276" t="n"/>
      <c r="H24" s="279" t="n"/>
      <c r="I24" s="95">
        <f>IFERROR(SUMPRODUCT((TableBOM[Product ID]=B24)*(TableBOM[Material Category]="CAP")*TableBOM[Item ID]),0)</f>
        <v/>
      </c>
    </row>
    <row r="25" ht="15" customHeight="1" s="237">
      <c r="A25" s="276" t="n"/>
      <c r="B25" s="276" t="n"/>
      <c r="C25" s="277" t="n"/>
      <c r="D25" s="277" t="n"/>
      <c r="E25" s="276" t="n"/>
      <c r="F25" s="278" t="n"/>
      <c r="G25" s="276" t="n"/>
      <c r="H25" s="279" t="n"/>
      <c r="I25" s="95">
        <f>IFERROR(SUMPRODUCT((TableBOM[Product ID]=B25)*(TableBOM[Material Category]="CAP")*TableBOM[Item ID]),0)</f>
        <v/>
      </c>
    </row>
    <row r="26" ht="15" customHeight="1" s="237">
      <c r="A26" s="276" t="n"/>
      <c r="B26" s="276" t="n"/>
      <c r="C26" s="277" t="n"/>
      <c r="D26" s="277" t="n"/>
      <c r="E26" s="276" t="n"/>
      <c r="F26" s="278" t="n"/>
      <c r="G26" s="276" t="n"/>
      <c r="H26" s="279" t="n"/>
      <c r="I26" s="95">
        <f>IFERROR(SUMPRODUCT((TableBOM[Product ID]=B26)*(TableBOM[Material Category]="CAP")*TableBOM[Item ID]),0)</f>
        <v/>
      </c>
    </row>
    <row r="27" ht="15" customHeight="1" s="237">
      <c r="A27" s="276" t="n"/>
      <c r="B27" s="276" t="n"/>
      <c r="C27" s="277" t="n"/>
      <c r="D27" s="277" t="n"/>
      <c r="E27" s="276" t="n"/>
      <c r="F27" s="278" t="n"/>
      <c r="G27" s="276" t="n"/>
      <c r="H27" s="279" t="n"/>
      <c r="I27" s="96">
        <f>IFERROR(SUMPRODUCT((TableBOM[Product ID]=B27)*(TableBOM[Material Category]="CAP")*TableBOM[Item ID]),0)</f>
        <v/>
      </c>
    </row>
    <row r="28" ht="15" customHeight="1" s="237">
      <c r="A28" s="280" t="n"/>
      <c r="B28" s="280" t="n"/>
      <c r="C28" s="280" t="n"/>
      <c r="D28" s="280" t="n"/>
      <c r="E28" s="280" t="n"/>
      <c r="F28" s="280" t="n"/>
      <c r="G28" s="280" t="n"/>
      <c r="H28" s="280" t="n"/>
      <c r="I28" s="97">
        <f>IFERROR(SUMPRODUCT((TableBOM[Product ID]=B28)*(TableBOM[Material Category]="CAP")*TableBOM[Item ID]),0)</f>
        <v/>
      </c>
    </row>
    <row r="29" ht="15" customHeight="1" s="237">
      <c r="A29" s="280" t="n"/>
      <c r="B29" s="280" t="n"/>
      <c r="C29" s="280" t="n"/>
      <c r="D29" s="280" t="n"/>
      <c r="E29" s="280" t="n"/>
      <c r="F29" s="280" t="n"/>
      <c r="G29" s="280" t="n"/>
      <c r="H29" s="280" t="n"/>
      <c r="I29" s="97">
        <f>IFERROR(SUMPRODUCT((TableBOM[Product ID]=B29)*(TableBOM[Material Category]="CAP")*TableBOM[Item ID]),0)</f>
        <v/>
      </c>
    </row>
    <row r="30" ht="15" customHeight="1" s="237">
      <c r="A30" s="280" t="n"/>
      <c r="B30" s="280" t="n"/>
      <c r="C30" s="280" t="n"/>
      <c r="D30" s="280" t="n"/>
      <c r="E30" s="280" t="n"/>
      <c r="F30" s="280" t="n"/>
      <c r="G30" s="280" t="n"/>
      <c r="H30" s="280" t="n"/>
      <c r="I30" s="97">
        <f>IFERROR(SUMPRODUCT((TableBOM[Product ID]=B30)*(TableBOM[Material Category]="CAP")*TableBOM[Item ID]),0)</f>
        <v/>
      </c>
    </row>
    <row r="31" ht="15" customHeight="1" s="237">
      <c r="A31" s="280" t="n"/>
      <c r="B31" s="280" t="n"/>
      <c r="C31" s="280" t="n"/>
      <c r="D31" s="280" t="n"/>
      <c r="E31" s="280" t="n"/>
      <c r="F31" s="280" t="n"/>
      <c r="G31" s="280" t="n"/>
      <c r="H31" s="280" t="n"/>
      <c r="I31" s="97">
        <f>IFERROR(SUMPRODUCT((TableBOM[Product ID]=B31)*(TableBOM[Material Category]="CAP")*TableBOM[Item ID]),0)</f>
        <v/>
      </c>
    </row>
    <row r="32" ht="15" customHeight="1" s="237">
      <c r="A32" s="280" t="n"/>
      <c r="B32" s="280" t="n"/>
      <c r="C32" s="280" t="n"/>
      <c r="D32" s="280" t="n"/>
      <c r="E32" s="280" t="n"/>
      <c r="F32" s="280" t="n"/>
      <c r="G32" s="280" t="n"/>
      <c r="H32" s="280" t="n"/>
      <c r="I32" s="97">
        <f>IFERROR(SUMPRODUCT((TableBOM[Product ID]=B32)*(TableBOM[Material Category]="CAP")*TableBOM[Item ID]),0)</f>
        <v/>
      </c>
    </row>
    <row r="33" ht="15" customHeight="1" s="237">
      <c r="A33" s="280" t="n"/>
      <c r="B33" s="280" t="n"/>
      <c r="C33" s="280" t="n"/>
      <c r="D33" s="280" t="n"/>
      <c r="E33" s="280" t="n"/>
      <c r="F33" s="280" t="n"/>
      <c r="G33" s="280" t="n"/>
      <c r="H33" s="280" t="n"/>
      <c r="I33" s="97">
        <f>IFERROR(SUMPRODUCT((TableBOM[Product ID]=B33)*(TableBOM[Material Category]="CAP")*TableBOM[Item ID]),0)</f>
        <v/>
      </c>
    </row>
    <row r="34" ht="15" customHeight="1" s="237">
      <c r="A34" s="280" t="n"/>
      <c r="B34" s="280" t="n"/>
      <c r="C34" s="280" t="n"/>
      <c r="D34" s="280" t="n"/>
      <c r="E34" s="280" t="n"/>
      <c r="F34" s="280" t="n"/>
      <c r="G34" s="280" t="n"/>
      <c r="H34" s="280" t="n"/>
      <c r="I34" s="97">
        <f>IFERROR(SUMPRODUCT((TableBOM[Product ID]=B34)*(TableBOM[Material Category]="CAP")*TableBOM[Item ID]),0)</f>
        <v/>
      </c>
    </row>
    <row r="35" ht="15" customHeight="1" s="237">
      <c r="A35" s="280" t="n"/>
      <c r="B35" s="280" t="n"/>
      <c r="C35" s="280" t="n"/>
      <c r="D35" s="280" t="n"/>
      <c r="E35" s="280" t="n"/>
      <c r="F35" s="280" t="n"/>
      <c r="G35" s="280" t="n"/>
      <c r="H35" s="280" t="n"/>
      <c r="I35" s="97">
        <f>IFERROR(SUMPRODUCT((TableBOM[Product ID]=B35)*(TableBOM[Material Category]="CAP")*TableBOM[Item ID]),0)</f>
        <v/>
      </c>
    </row>
    <row r="36" ht="15" customHeight="1" s="237">
      <c r="A36" s="280" t="n"/>
      <c r="B36" s="280" t="n"/>
      <c r="C36" s="280" t="n"/>
      <c r="D36" s="280" t="n"/>
      <c r="E36" s="280" t="n"/>
      <c r="F36" s="280" t="n"/>
      <c r="G36" s="280" t="n"/>
      <c r="H36" s="280" t="n"/>
      <c r="I36" s="97">
        <f>IFERROR(SUMPRODUCT((TableBOM[Product ID]=B36)*(TableBOM[Material Category]="CAP")*TableBOM[Item ID]),0)</f>
        <v/>
      </c>
    </row>
    <row r="37" ht="15" customHeight="1" s="237">
      <c r="A37" s="280" t="n"/>
      <c r="B37" s="280" t="n"/>
      <c r="C37" s="280" t="n"/>
      <c r="D37" s="280" t="n"/>
      <c r="E37" s="280" t="n"/>
      <c r="F37" s="280" t="n"/>
      <c r="G37" s="280" t="n"/>
      <c r="H37" s="280" t="n"/>
      <c r="I37" s="97">
        <f>IFERROR(SUMPRODUCT((TableBOM[Product ID]=B37)*(TableBOM[Material Category]="CAP")*TableBOM[Item ID]),0)</f>
        <v/>
      </c>
    </row>
    <row r="38" ht="15" customHeight="1" s="237">
      <c r="A38" s="280" t="n"/>
      <c r="B38" s="280" t="n"/>
      <c r="C38" s="280" t="n"/>
      <c r="D38" s="280" t="n"/>
      <c r="E38" s="280" t="n"/>
      <c r="F38" s="280" t="n"/>
      <c r="G38" s="280" t="n"/>
      <c r="H38" s="280" t="n"/>
      <c r="I38" s="97">
        <f>IFERROR(SUMPRODUCT((TableBOM[Product ID]=B38)*(TableBOM[Material Category]="CAP")*TableBOM[Item ID]),0)</f>
        <v/>
      </c>
    </row>
    <row r="39" ht="15" customHeight="1" s="237">
      <c r="A39" s="280" t="n"/>
      <c r="B39" s="280" t="n"/>
      <c r="C39" s="280" t="n"/>
      <c r="D39" s="280" t="n"/>
      <c r="E39" s="280" t="n"/>
      <c r="F39" s="280" t="n"/>
      <c r="G39" s="280" t="n"/>
      <c r="H39" s="280" t="n"/>
      <c r="I39" s="97">
        <f>IFERROR(SUMPRODUCT((TableBOM[Product ID]=B39)*(TableBOM[Material Category]="CAP")*TableBOM[Item ID]),0)</f>
        <v/>
      </c>
    </row>
    <row r="40" ht="15" customHeight="1" s="237">
      <c r="A40" s="280" t="n"/>
      <c r="B40" s="280" t="n"/>
      <c r="C40" s="280" t="n"/>
      <c r="D40" s="280" t="n"/>
      <c r="E40" s="280" t="n"/>
      <c r="F40" s="280" t="n"/>
      <c r="G40" s="280" t="n"/>
      <c r="H40" s="280" t="n"/>
      <c r="I40" s="97">
        <f>IFERROR(SUMPRODUCT((TableBOM[Product ID]=B40)*(TableBOM[Material Category]="CAP")*TableBOM[Item ID]),0)</f>
        <v/>
      </c>
    </row>
    <row r="41" ht="15" customHeight="1" s="237">
      <c r="A41" s="280" t="n"/>
      <c r="B41" s="280" t="n"/>
      <c r="C41" s="280" t="n"/>
      <c r="D41" s="280" t="n"/>
      <c r="E41" s="280" t="n"/>
      <c r="F41" s="280" t="n"/>
      <c r="G41" s="280" t="n"/>
      <c r="H41" s="280" t="n"/>
      <c r="I41" s="97">
        <f>IFERROR(SUMPRODUCT((TableBOM[Product ID]=B41)*(TableBOM[Material Category]="CAP")*TableBOM[Item ID]),0)</f>
        <v/>
      </c>
    </row>
    <row r="42" ht="15" customHeight="1" s="237">
      <c r="A42" s="280" t="n"/>
      <c r="B42" s="280" t="n"/>
      <c r="C42" s="280" t="n"/>
      <c r="D42" s="280" t="n"/>
      <c r="E42" s="280" t="n"/>
      <c r="F42" s="280" t="n"/>
      <c r="G42" s="280" t="n"/>
      <c r="H42" s="280" t="n"/>
      <c r="I42" s="97">
        <f>IFERROR(SUMPRODUCT((TableBOM[Product ID]=B42)*(TableBOM[Material Category]="CAP")*TableBOM[Item ID]),0)</f>
        <v/>
      </c>
    </row>
    <row r="43" ht="15" customHeight="1" s="237">
      <c r="A43" s="280" t="n"/>
      <c r="B43" s="280" t="n"/>
      <c r="C43" s="280" t="n"/>
      <c r="D43" s="280" t="n"/>
      <c r="E43" s="280" t="n"/>
      <c r="F43" s="280" t="n"/>
      <c r="G43" s="280" t="n"/>
      <c r="H43" s="280" t="n"/>
      <c r="I43" s="97">
        <f>IFERROR(SUMPRODUCT((TableBOM[Product ID]=B43)*(TableBOM[Material Category]="CAP")*TableBOM[Item ID]),0)</f>
        <v/>
      </c>
    </row>
    <row r="44" ht="15" customHeight="1" s="237">
      <c r="A44" s="280" t="n"/>
      <c r="B44" s="280" t="n"/>
      <c r="C44" s="280" t="n"/>
      <c r="D44" s="280" t="n"/>
      <c r="E44" s="280" t="n"/>
      <c r="F44" s="280" t="n"/>
      <c r="G44" s="280" t="n"/>
      <c r="H44" s="280" t="n"/>
      <c r="I44" s="97">
        <f>IFERROR(SUMPRODUCT((TableBOM[Product ID]=B44)*(TableBOM[Material Category]="CAP")*TableBOM[Item ID]),0)</f>
        <v/>
      </c>
    </row>
    <row r="45" ht="15" customHeight="1" s="237">
      <c r="A45" s="280" t="n"/>
      <c r="B45" s="280" t="n"/>
      <c r="C45" s="280" t="n"/>
      <c r="D45" s="280" t="n"/>
      <c r="E45" s="280" t="n"/>
      <c r="F45" s="280" t="n"/>
      <c r="G45" s="280" t="n"/>
      <c r="H45" s="280" t="n"/>
      <c r="I45" s="97">
        <f>IFERROR(SUMPRODUCT((TableBOM[Product ID]=B45)*(TableBOM[Material Category]="CAP")*TableBOM[Item ID]),0)</f>
        <v/>
      </c>
    </row>
    <row r="46" ht="15" customHeight="1" s="237">
      <c r="A46" s="280" t="n"/>
      <c r="B46" s="280" t="n"/>
      <c r="C46" s="280" t="n"/>
      <c r="D46" s="280" t="n"/>
      <c r="E46" s="280" t="n"/>
      <c r="F46" s="280" t="n"/>
      <c r="G46" s="280" t="n"/>
      <c r="H46" s="280" t="n"/>
      <c r="I46" s="97">
        <f>IFERROR(SUMPRODUCT((TableBOM[Product ID]=B46)*(TableBOM[Material Category]="CAP")*TableBOM[Item ID]),0)</f>
        <v/>
      </c>
    </row>
    <row r="47" ht="15" customHeight="1" s="237">
      <c r="A47" s="280" t="n"/>
      <c r="B47" s="280" t="n"/>
      <c r="C47" s="280" t="n"/>
      <c r="D47" s="280" t="n"/>
      <c r="E47" s="280" t="n"/>
      <c r="F47" s="280" t="n"/>
      <c r="G47" s="280" t="n"/>
      <c r="H47" s="280" t="n"/>
      <c r="I47" s="97">
        <f>IFERROR(SUMPRODUCT((TableBOM[Product ID]=B47)*(TableBOM[Material Category]="CAP")*TableBOM[Item ID]),0)</f>
        <v/>
      </c>
    </row>
    <row r="48" ht="15" customHeight="1" s="237">
      <c r="A48" s="280" t="n"/>
      <c r="B48" s="280" t="n"/>
      <c r="C48" s="280" t="n"/>
      <c r="D48" s="280" t="n"/>
      <c r="E48" s="280" t="n"/>
      <c r="F48" s="280" t="n"/>
      <c r="G48" s="280" t="n"/>
      <c r="H48" s="280" t="n"/>
      <c r="I48" s="97">
        <f>IFERROR(SUMPRODUCT((TableBOM[Product ID]=B48)*(TableBOM[Material Category]="CAP")*TableBOM[Item ID]),0)</f>
        <v/>
      </c>
    </row>
    <row r="49" ht="15" customHeight="1" s="237">
      <c r="A49" s="280" t="n"/>
      <c r="B49" s="280" t="n"/>
      <c r="C49" s="280" t="n"/>
      <c r="D49" s="280" t="n"/>
      <c r="E49" s="280" t="n"/>
      <c r="F49" s="280" t="n"/>
      <c r="G49" s="280" t="n"/>
      <c r="H49" s="280" t="n"/>
      <c r="I49" s="97">
        <f>IFERROR(SUMPRODUCT((TableBOM[Product ID]=B49)*(TableBOM[Material Category]="CAP")*TableBOM[Item ID]),0)</f>
        <v/>
      </c>
    </row>
    <row r="50" ht="15" customHeight="1" s="237">
      <c r="A50" s="280" t="n"/>
      <c r="B50" s="280" t="n"/>
      <c r="C50" s="280" t="n"/>
      <c r="D50" s="280" t="n"/>
      <c r="E50" s="280" t="n"/>
      <c r="F50" s="280" t="n"/>
      <c r="G50" s="280" t="n"/>
      <c r="H50" s="280" t="n"/>
      <c r="I50" s="97">
        <f>IFERROR(SUMPRODUCT((TableBOM[Product ID]=B50)*(TableBOM[Material Category]="CAP")*TableBOM[Item ID]),0)</f>
        <v/>
      </c>
    </row>
    <row r="51" ht="15" customHeight="1" s="237">
      <c r="A51" s="280" t="n"/>
      <c r="B51" s="280" t="n"/>
      <c r="C51" s="280" t="n"/>
      <c r="D51" s="280" t="n"/>
      <c r="E51" s="280" t="n"/>
      <c r="F51" s="280" t="n"/>
      <c r="G51" s="280" t="n"/>
      <c r="H51" s="280" t="n"/>
      <c r="I51" s="97">
        <f>IFERROR(SUMPRODUCT((TableBOM[Product ID]=B51)*(TableBOM[Material Category]="CAP")*TableBOM[Item ID]),0)</f>
        <v/>
      </c>
    </row>
    <row r="52" ht="15" customHeight="1" s="237">
      <c r="A52" s="280" t="n"/>
      <c r="B52" s="280" t="n"/>
      <c r="C52" s="280" t="n"/>
      <c r="D52" s="280" t="n"/>
      <c r="E52" s="280" t="n"/>
      <c r="F52" s="280" t="n"/>
      <c r="G52" s="280" t="n"/>
      <c r="H52" s="280" t="n"/>
      <c r="I52" s="97">
        <f>IFERROR(SUMPRODUCT((TableBOM[Product ID]=B52)*(TableBOM[Material Category]="CAP")*TableBOM[Item ID]),0)</f>
        <v/>
      </c>
    </row>
    <row r="53" ht="15" customHeight="1" s="237">
      <c r="A53" s="280" t="n"/>
      <c r="B53" s="280" t="n"/>
      <c r="C53" s="280" t="n"/>
      <c r="D53" s="280" t="n"/>
      <c r="E53" s="280" t="n"/>
      <c r="F53" s="280" t="n"/>
      <c r="G53" s="280" t="n"/>
      <c r="H53" s="280" t="n"/>
      <c r="I53" s="97">
        <f>IFERROR(SUMPRODUCT((TableBOM[Product ID]=B53)*(TableBOM[Material Category]="CAP")*TableBOM[Item ID]),0)</f>
        <v/>
      </c>
    </row>
    <row r="54" ht="15" customHeight="1" s="237">
      <c r="A54" s="280" t="n"/>
      <c r="B54" s="280" t="n"/>
      <c r="C54" s="280" t="n"/>
      <c r="D54" s="280" t="n"/>
      <c r="E54" s="280" t="n"/>
      <c r="F54" s="280" t="n"/>
      <c r="G54" s="280" t="n"/>
      <c r="H54" s="280" t="n"/>
      <c r="I54" s="97">
        <f>IFERROR(SUMPRODUCT((TableBOM[Product ID]=B54)*(TableBOM[Material Category]="CAP")*TableBOM[Item ID]),0)</f>
        <v/>
      </c>
    </row>
    <row r="55" ht="15" customHeight="1" s="237">
      <c r="A55" s="280" t="n"/>
      <c r="B55" s="280" t="n"/>
      <c r="C55" s="280" t="n"/>
      <c r="D55" s="280" t="n"/>
      <c r="E55" s="280" t="n"/>
      <c r="F55" s="280" t="n"/>
      <c r="G55" s="280" t="n"/>
      <c r="H55" s="280" t="n"/>
      <c r="I55" s="97">
        <f>IFERROR(SUMPRODUCT((TableBOM[Product ID]=B55)*(TableBOM[Material Category]="CAP")*TableBOM[Item ID]),0)</f>
        <v/>
      </c>
    </row>
    <row r="56" ht="15" customHeight="1" s="237">
      <c r="A56" s="280" t="n"/>
      <c r="B56" s="280" t="n"/>
      <c r="C56" s="280" t="n"/>
      <c r="D56" s="280" t="n"/>
      <c r="E56" s="280" t="n"/>
      <c r="F56" s="280" t="n"/>
      <c r="G56" s="280" t="n"/>
      <c r="H56" s="280" t="n"/>
      <c r="I56" s="97">
        <f>IFERROR(SUMPRODUCT((TableBOM[Product ID]=B56)*(TableBOM[Material Category]="CAP")*TableBOM[Item ID]),0)</f>
        <v/>
      </c>
    </row>
    <row r="57" ht="15" customHeight="1" s="237">
      <c r="A57" s="280" t="n"/>
      <c r="B57" s="280" t="n"/>
      <c r="C57" s="280" t="n"/>
      <c r="D57" s="280" t="n"/>
      <c r="E57" s="280" t="n"/>
      <c r="F57" s="280" t="n"/>
      <c r="G57" s="280" t="n"/>
      <c r="H57" s="280" t="n"/>
      <c r="I57" s="97">
        <f>IFERROR(SUMPRODUCT((TableBOM[Product ID]=B57)*(TableBOM[Material Category]="CAP")*TableBOM[Item ID]),0)</f>
        <v/>
      </c>
    </row>
    <row r="58" ht="15" customHeight="1" s="237">
      <c r="A58" s="280" t="n"/>
      <c r="B58" s="280" t="n"/>
      <c r="C58" s="280" t="n"/>
      <c r="D58" s="280" t="n"/>
      <c r="E58" s="280" t="n"/>
      <c r="F58" s="280" t="n"/>
      <c r="G58" s="280" t="n"/>
      <c r="H58" s="280" t="n"/>
      <c r="I58" s="97">
        <f>IFERROR(SUMPRODUCT((TableBOM[Product ID]=B58)*(TableBOM[Material Category]="CAP")*TableBOM[Item ID]),0)</f>
        <v/>
      </c>
    </row>
    <row r="59" ht="15" customHeight="1" s="237">
      <c r="A59" s="280" t="n"/>
      <c r="B59" s="280" t="n"/>
      <c r="C59" s="280" t="n"/>
      <c r="D59" s="280" t="n"/>
      <c r="E59" s="280" t="n"/>
      <c r="F59" s="280" t="n"/>
      <c r="G59" s="280" t="n"/>
      <c r="H59" s="280" t="n"/>
      <c r="I59" s="97">
        <f>IFERROR(SUMPRODUCT((TableBOM[Product ID]=B59)*(TableBOM[Material Category]="CAP")*TableBOM[Item ID]),0)</f>
        <v/>
      </c>
    </row>
    <row r="60" ht="15" customHeight="1" s="237">
      <c r="A60" s="280" t="n"/>
      <c r="B60" s="280" t="n"/>
      <c r="C60" s="280" t="n"/>
      <c r="D60" s="280" t="n"/>
      <c r="E60" s="280" t="n"/>
      <c r="F60" s="280" t="n"/>
      <c r="G60" s="280" t="n"/>
      <c r="H60" s="280" t="n"/>
      <c r="I60" s="97">
        <f>IFERROR(SUMPRODUCT((TableBOM[Product ID]=B60)*(TableBOM[Material Category]="CAP")*TableBOM[Item ID]),0)</f>
        <v/>
      </c>
    </row>
    <row r="61" ht="15" customHeight="1" s="237">
      <c r="A61" s="280" t="n"/>
      <c r="B61" s="280" t="n"/>
      <c r="C61" s="280" t="n"/>
      <c r="D61" s="280" t="n"/>
      <c r="E61" s="280" t="n"/>
      <c r="F61" s="280" t="n"/>
      <c r="G61" s="280" t="n"/>
      <c r="H61" s="280" t="n"/>
      <c r="I61" s="97">
        <f>IFERROR(SUMPRODUCT((TableBOM[Product ID]=B61)*(TableBOM[Material Category]="CAP")*TableBOM[Item ID]),0)</f>
        <v/>
      </c>
    </row>
    <row r="62" ht="15" customHeight="1" s="237">
      <c r="A62" s="280" t="n"/>
      <c r="B62" s="280" t="n"/>
      <c r="C62" s="280" t="n"/>
      <c r="D62" s="280" t="n"/>
      <c r="E62" s="280" t="n"/>
      <c r="F62" s="280" t="n"/>
      <c r="G62" s="280" t="n"/>
      <c r="H62" s="280" t="n"/>
      <c r="I62" s="97">
        <f>IFERROR(SUMPRODUCT((TableBOM[Product ID]=B62)*(TableBOM[Material Category]="CAP")*TableBOM[Item ID]),0)</f>
        <v/>
      </c>
    </row>
    <row r="63" ht="15" customHeight="1" s="237">
      <c r="A63" s="280" t="n"/>
      <c r="B63" s="280" t="n"/>
      <c r="C63" s="280" t="n"/>
      <c r="D63" s="280" t="n"/>
      <c r="E63" s="280" t="n"/>
      <c r="F63" s="280" t="n"/>
      <c r="G63" s="280" t="n"/>
      <c r="H63" s="280" t="n"/>
      <c r="I63" s="97">
        <f>IFERROR(SUMPRODUCT((TableBOM[Product ID]=B63)*(TableBOM[Material Category]="CAP")*TableBOM[Item ID]),0)</f>
        <v/>
      </c>
    </row>
    <row r="64" ht="15" customHeight="1" s="237">
      <c r="A64" s="280" t="n"/>
      <c r="B64" s="280" t="n"/>
      <c r="C64" s="280" t="n"/>
      <c r="D64" s="280" t="n"/>
      <c r="E64" s="280" t="n"/>
      <c r="F64" s="280" t="n"/>
      <c r="G64" s="280" t="n"/>
      <c r="H64" s="280" t="n"/>
      <c r="I64" s="97">
        <f>IFERROR(SUMPRODUCT((TableBOM[Product ID]=B64)*(TableBOM[Material Category]="CAP")*TableBOM[Item ID]),0)</f>
        <v/>
      </c>
    </row>
    <row r="65" ht="15" customHeight="1" s="237">
      <c r="A65" s="280" t="n"/>
      <c r="B65" s="280" t="n"/>
      <c r="C65" s="280" t="n"/>
      <c r="D65" s="280" t="n"/>
      <c r="E65" s="280" t="n"/>
      <c r="F65" s="280" t="n"/>
      <c r="G65" s="280" t="n"/>
      <c r="H65" s="280" t="n"/>
      <c r="I65" s="97">
        <f>IFERROR(SUMPRODUCT((TableBOM[Product ID]=B65)*(TableBOM[Material Category]="CAP")*TableBOM[Item ID]),0)</f>
        <v/>
      </c>
    </row>
    <row r="66" ht="15" customHeight="1" s="237">
      <c r="A66" s="280" t="n"/>
      <c r="B66" s="280" t="n"/>
      <c r="C66" s="280" t="n"/>
      <c r="D66" s="280" t="n"/>
      <c r="E66" s="280" t="n"/>
      <c r="F66" s="280" t="n"/>
      <c r="G66" s="280" t="n"/>
      <c r="H66" s="280" t="n"/>
      <c r="I66" s="97">
        <f>IFERROR(SUMPRODUCT((TableBOM[Product ID]=B66)*(TableBOM[Material Category]="CAP")*TableBOM[Item ID]),0)</f>
        <v/>
      </c>
    </row>
    <row r="67" ht="15" customHeight="1" s="237">
      <c r="A67" s="280" t="n"/>
      <c r="B67" s="280" t="n"/>
      <c r="C67" s="280" t="n"/>
      <c r="D67" s="280" t="n"/>
      <c r="E67" s="280" t="n"/>
      <c r="F67" s="280" t="n"/>
      <c r="G67" s="280" t="n"/>
      <c r="H67" s="280" t="n"/>
      <c r="I67" s="97">
        <f>IFERROR(SUMPRODUCT((TableBOM[Product ID]=B67)*(TableBOM[Material Category]="CAP")*TableBOM[Item ID]),0)</f>
        <v/>
      </c>
    </row>
    <row r="68" ht="15" customHeight="1" s="237">
      <c r="A68" s="280" t="n"/>
      <c r="B68" s="280" t="n"/>
      <c r="C68" s="280" t="n"/>
      <c r="D68" s="280" t="n"/>
      <c r="E68" s="280" t="n"/>
      <c r="F68" s="280" t="n"/>
      <c r="G68" s="280" t="n"/>
      <c r="H68" s="280" t="n"/>
      <c r="I68" s="97">
        <f>IFERROR(SUMPRODUCT((TableBOM[Product ID]=B68)*(TableBOM[Material Category]="CAP")*TableBOM[Item ID]),0)</f>
        <v/>
      </c>
    </row>
    <row r="69" ht="15" customHeight="1" s="237">
      <c r="A69" s="280" t="n"/>
      <c r="B69" s="280" t="n"/>
      <c r="C69" s="280" t="n"/>
      <c r="D69" s="280" t="n"/>
      <c r="E69" s="280" t="n"/>
      <c r="F69" s="280" t="n"/>
      <c r="G69" s="280" t="n"/>
      <c r="H69" s="280" t="n"/>
      <c r="I69" s="97">
        <f>IFERROR(SUMPRODUCT((TableBOM[Product ID]=B69)*(TableBOM[Material Category]="CAP")*TableBOM[Item ID]),0)</f>
        <v/>
      </c>
    </row>
    <row r="70" ht="15" customHeight="1" s="237">
      <c r="A70" s="280" t="n"/>
      <c r="B70" s="280" t="n"/>
      <c r="C70" s="280" t="n"/>
      <c r="D70" s="280" t="n"/>
      <c r="E70" s="280" t="n"/>
      <c r="F70" s="280" t="n"/>
      <c r="G70" s="280" t="n"/>
      <c r="H70" s="280" t="n"/>
      <c r="I70" s="97">
        <f>IFERROR(SUMPRODUCT((TableBOM[Product ID]=B70)*(TableBOM[Material Category]="CAP")*TableBOM[Item ID]),0)</f>
        <v/>
      </c>
    </row>
    <row r="71" ht="15" customHeight="1" s="237">
      <c r="A71" s="280" t="n"/>
      <c r="B71" s="280" t="n"/>
      <c r="C71" s="280" t="n"/>
      <c r="D71" s="280" t="n"/>
      <c r="E71" s="280" t="n"/>
      <c r="F71" s="280" t="n"/>
      <c r="G71" s="280" t="n"/>
      <c r="H71" s="280" t="n"/>
      <c r="I71" s="97">
        <f>IFERROR(SUMPRODUCT((TableBOM[Product ID]=B71)*(TableBOM[Material Category]="CAP")*TableBOM[Item ID]),0)</f>
        <v/>
      </c>
    </row>
    <row r="72" ht="15" customHeight="1" s="237">
      <c r="A72" s="280" t="n"/>
      <c r="B72" s="280" t="n"/>
      <c r="C72" s="280" t="n"/>
      <c r="D72" s="280" t="n"/>
      <c r="E72" s="280" t="n"/>
      <c r="F72" s="280" t="n"/>
      <c r="G72" s="280" t="n"/>
      <c r="H72" s="280" t="n"/>
      <c r="I72" s="97">
        <f>IFERROR(SUMPRODUCT((TableBOM[Product ID]=B72)*(TableBOM[Material Category]="CAP")*TableBOM[Item ID]),0)</f>
        <v/>
      </c>
    </row>
    <row r="73" ht="15" customHeight="1" s="237">
      <c r="A73" s="280" t="n"/>
      <c r="B73" s="280" t="n"/>
      <c r="C73" s="280" t="n"/>
      <c r="D73" s="280" t="n"/>
      <c r="E73" s="280" t="n"/>
      <c r="F73" s="280" t="n"/>
      <c r="G73" s="280" t="n"/>
      <c r="H73" s="280" t="n"/>
      <c r="I73" s="97">
        <f>IFERROR(SUMPRODUCT((TableBOM[Product ID]=B73)*(TableBOM[Material Category]="CAP")*TableBOM[Item ID]),0)</f>
        <v/>
      </c>
    </row>
    <row r="74" ht="15" customHeight="1" s="237">
      <c r="A74" s="280" t="n"/>
      <c r="B74" s="280" t="n"/>
      <c r="C74" s="280" t="n"/>
      <c r="D74" s="280" t="n"/>
      <c r="E74" s="280" t="n"/>
      <c r="F74" s="280" t="n"/>
      <c r="G74" s="280" t="n"/>
      <c r="H74" s="280" t="n"/>
      <c r="I74" s="97">
        <f>IFERROR(SUMPRODUCT((TableBOM[Product ID]=B74)*(TableBOM[Material Category]="CAP")*TableBOM[Item ID]),0)</f>
        <v/>
      </c>
    </row>
    <row r="75" ht="15" customHeight="1" s="237">
      <c r="A75" s="280" t="n"/>
      <c r="B75" s="280" t="n"/>
      <c r="C75" s="280" t="n"/>
      <c r="D75" s="280" t="n"/>
      <c r="E75" s="280" t="n"/>
      <c r="F75" s="280" t="n"/>
      <c r="G75" s="280" t="n"/>
      <c r="H75" s="280" t="n"/>
      <c r="I75" s="97">
        <f>IFERROR(SUMPRODUCT((TableBOM[Product ID]=B75)*(TableBOM[Material Category]="CAP")*TableBOM[Item ID]),0)</f>
        <v/>
      </c>
    </row>
    <row r="76" ht="15" customHeight="1" s="237">
      <c r="A76" s="280" t="n"/>
      <c r="B76" s="280" t="n"/>
      <c r="C76" s="280" t="n"/>
      <c r="D76" s="280" t="n"/>
      <c r="E76" s="280" t="n"/>
      <c r="F76" s="280" t="n"/>
      <c r="G76" s="280" t="n"/>
      <c r="H76" s="280" t="n"/>
      <c r="I76" s="97">
        <f>IFERROR(SUMPRODUCT((TableBOM[Product ID]=B76)*(TableBOM[Material Category]="CAP")*TableBOM[Item ID]),0)</f>
        <v/>
      </c>
    </row>
    <row r="77" ht="15" customHeight="1" s="237">
      <c r="A77" s="280" t="n"/>
      <c r="B77" s="280" t="n"/>
      <c r="C77" s="280" t="n"/>
      <c r="D77" s="280" t="n"/>
      <c r="E77" s="280" t="n"/>
      <c r="F77" s="280" t="n"/>
      <c r="G77" s="280" t="n"/>
      <c r="H77" s="280" t="n"/>
      <c r="I77" s="97">
        <f>IFERROR(SUMPRODUCT((TableBOM[Product ID]=B77)*(TableBOM[Material Category]="CAP")*TableBOM[Item ID]),0)</f>
        <v/>
      </c>
    </row>
    <row r="78" ht="15" customHeight="1" s="237">
      <c r="A78" s="280" t="n"/>
      <c r="B78" s="280" t="n"/>
      <c r="C78" s="280" t="n"/>
      <c r="D78" s="280" t="n"/>
      <c r="E78" s="280" t="n"/>
      <c r="F78" s="280" t="n"/>
      <c r="G78" s="280" t="n"/>
      <c r="H78" s="280" t="n"/>
      <c r="I78" s="97">
        <f>IFERROR(SUMPRODUCT((TableBOM[Product ID]=B78)*(TableBOM[Material Category]="CAP")*TableBOM[Item ID]),0)</f>
        <v/>
      </c>
    </row>
    <row r="79" ht="15" customHeight="1" s="237">
      <c r="A79" s="280" t="n"/>
      <c r="B79" s="280" t="n"/>
      <c r="C79" s="280" t="n"/>
      <c r="D79" s="280" t="n"/>
      <c r="E79" s="280" t="n"/>
      <c r="F79" s="280" t="n"/>
      <c r="G79" s="280" t="n"/>
      <c r="H79" s="280" t="n"/>
      <c r="I79" s="97">
        <f>IFERROR(SUMPRODUCT((TableBOM[Product ID]=B79)*(TableBOM[Material Category]="CAP")*TableBOM[Item ID]),0)</f>
        <v/>
      </c>
    </row>
    <row r="80" ht="15" customHeight="1" s="237">
      <c r="A80" s="280" t="n"/>
      <c r="B80" s="280" t="n"/>
      <c r="C80" s="280" t="n"/>
      <c r="D80" s="280" t="n"/>
      <c r="E80" s="280" t="n"/>
      <c r="F80" s="280" t="n"/>
      <c r="G80" s="280" t="n"/>
      <c r="H80" s="280" t="n"/>
      <c r="I80" s="97">
        <f>IFERROR(SUMPRODUCT((TableBOM[Product ID]=B80)*(TableBOM[Material Category]="CAP")*TableBOM[Item ID]),0)</f>
        <v/>
      </c>
    </row>
    <row r="81" ht="15" customHeight="1" s="237">
      <c r="A81" s="280" t="n"/>
      <c r="B81" s="280" t="n"/>
      <c r="C81" s="280" t="n"/>
      <c r="D81" s="280" t="n"/>
      <c r="E81" s="280" t="n"/>
      <c r="F81" s="280" t="n"/>
      <c r="G81" s="280" t="n"/>
      <c r="H81" s="280" t="n"/>
      <c r="I81" s="97">
        <f>IFERROR(SUMPRODUCT((TableBOM[Product ID]=B81)*(TableBOM[Material Category]="CAP")*TableBOM[Item ID]),0)</f>
        <v/>
      </c>
    </row>
    <row r="82" ht="15" customHeight="1" s="237">
      <c r="A82" s="280" t="n"/>
      <c r="B82" s="280" t="n"/>
      <c r="C82" s="280" t="n"/>
      <c r="D82" s="280" t="n"/>
      <c r="E82" s="280" t="n"/>
      <c r="F82" s="280" t="n"/>
      <c r="G82" s="280" t="n"/>
      <c r="H82" s="280" t="n"/>
      <c r="I82" s="97">
        <f>IFERROR(SUMPRODUCT((TableBOM[Product ID]=B82)*(TableBOM[Material Category]="CAP")*TableBOM[Item ID]),0)</f>
        <v/>
      </c>
    </row>
    <row r="83" ht="15" customHeight="1" s="237">
      <c r="A83" s="280" t="n"/>
      <c r="B83" s="280" t="n"/>
      <c r="C83" s="280" t="n"/>
      <c r="D83" s="280" t="n"/>
      <c r="E83" s="280" t="n"/>
      <c r="F83" s="280" t="n"/>
      <c r="G83" s="280" t="n"/>
      <c r="H83" s="280" t="n"/>
      <c r="I83" s="97">
        <f>IFERROR(SUMPRODUCT((TableBOM[Product ID]=B83)*(TableBOM[Material Category]="CAP")*TableBOM[Item ID]),0)</f>
        <v/>
      </c>
    </row>
    <row r="84" ht="15" customHeight="1" s="237">
      <c r="A84" s="280" t="n"/>
      <c r="B84" s="280" t="n"/>
      <c r="C84" s="280" t="n"/>
      <c r="D84" s="280" t="n"/>
      <c r="E84" s="280" t="n"/>
      <c r="F84" s="280" t="n"/>
      <c r="G84" s="280" t="n"/>
      <c r="H84" s="280" t="n"/>
      <c r="I84" s="97">
        <f>IFERROR(SUMPRODUCT((TableBOM[Product ID]=B84)*(TableBOM[Material Category]="CAP")*TableBOM[Item ID]),0)</f>
        <v/>
      </c>
    </row>
    <row r="85" ht="15" customHeight="1" s="237">
      <c r="A85" s="280" t="n"/>
      <c r="B85" s="280" t="n"/>
      <c r="C85" s="280" t="n"/>
      <c r="D85" s="280" t="n"/>
      <c r="E85" s="280" t="n"/>
      <c r="F85" s="280" t="n"/>
      <c r="G85" s="280" t="n"/>
      <c r="H85" s="280" t="n"/>
      <c r="I85" s="97">
        <f>IFERROR(SUMPRODUCT((TableBOM[Product ID]=B85)*(TableBOM[Material Category]="CAP")*TableBOM[Item ID]),0)</f>
        <v/>
      </c>
    </row>
    <row r="86" ht="15" customHeight="1" s="237">
      <c r="A86" s="280" t="n"/>
      <c r="B86" s="280" t="n"/>
      <c r="C86" s="280" t="n"/>
      <c r="D86" s="280" t="n"/>
      <c r="E86" s="280" t="n"/>
      <c r="F86" s="280" t="n"/>
      <c r="G86" s="280" t="n"/>
      <c r="H86" s="280" t="n"/>
      <c r="I86" s="97">
        <f>IFERROR(SUMPRODUCT((TableBOM[Product ID]=B86)*(TableBOM[Material Category]="CAP")*TableBOM[Item ID]),0)</f>
        <v/>
      </c>
    </row>
    <row r="87" ht="15" customHeight="1" s="237">
      <c r="A87" s="280" t="n"/>
      <c r="B87" s="280" t="n"/>
      <c r="C87" s="280" t="n"/>
      <c r="D87" s="280" t="n"/>
      <c r="E87" s="280" t="n"/>
      <c r="F87" s="280" t="n"/>
      <c r="G87" s="280" t="n"/>
      <c r="H87" s="280" t="n"/>
      <c r="I87" s="97">
        <f>IFERROR(SUMPRODUCT((TableBOM[Product ID]=B87)*(TableBOM[Material Category]="CAP")*TableBOM[Item ID]),0)</f>
        <v/>
      </c>
    </row>
    <row r="88" ht="15" customHeight="1" s="237">
      <c r="A88" s="280" t="n"/>
      <c r="B88" s="280" t="n"/>
      <c r="C88" s="280" t="n"/>
      <c r="D88" s="280" t="n"/>
      <c r="E88" s="280" t="n"/>
      <c r="F88" s="280" t="n"/>
      <c r="G88" s="280" t="n"/>
      <c r="H88" s="280" t="n"/>
      <c r="I88" s="97">
        <f>IFERROR(SUMPRODUCT((TableBOM[Product ID]=B88)*(TableBOM[Material Category]="CAP")*TableBOM[Item ID]),0)</f>
        <v/>
      </c>
    </row>
    <row r="89" ht="15" customHeight="1" s="237">
      <c r="A89" s="280" t="n"/>
      <c r="B89" s="280" t="n"/>
      <c r="C89" s="280" t="n"/>
      <c r="D89" s="280" t="n"/>
      <c r="E89" s="280" t="n"/>
      <c r="F89" s="280" t="n"/>
      <c r="G89" s="280" t="n"/>
      <c r="H89" s="280" t="n"/>
      <c r="I89" s="97">
        <f>IFERROR(SUMPRODUCT((TableBOM[Product ID]=B89)*(TableBOM[Material Category]="CAP")*TableBOM[Item ID]),0)</f>
        <v/>
      </c>
    </row>
    <row r="90" ht="15" customHeight="1" s="237">
      <c r="A90" s="280" t="n"/>
      <c r="B90" s="280" t="n"/>
      <c r="C90" s="280" t="n"/>
      <c r="D90" s="280" t="n"/>
      <c r="E90" s="280" t="n"/>
      <c r="F90" s="280" t="n"/>
      <c r="G90" s="280" t="n"/>
      <c r="H90" s="280" t="n"/>
      <c r="I90" s="97">
        <f>IFERROR(SUMPRODUCT((TableBOM[Product ID]=B90)*(TableBOM[Material Category]="CAP")*TableBOM[Item ID]),0)</f>
        <v/>
      </c>
    </row>
    <row r="91" ht="15" customHeight="1" s="237">
      <c r="A91" s="280" t="n"/>
      <c r="B91" s="280" t="n"/>
      <c r="C91" s="280" t="n"/>
      <c r="D91" s="280" t="n"/>
      <c r="E91" s="280" t="n"/>
      <c r="F91" s="280" t="n"/>
      <c r="G91" s="280" t="n"/>
      <c r="H91" s="280" t="n"/>
      <c r="I91" s="97">
        <f>IFERROR(SUMPRODUCT((TableBOM[Product ID]=B91)*(TableBOM[Material Category]="CAP")*TableBOM[Item ID]),0)</f>
        <v/>
      </c>
    </row>
    <row r="92" ht="15" customHeight="1" s="237">
      <c r="A92" s="280" t="n"/>
      <c r="B92" s="280" t="n"/>
      <c r="C92" s="280" t="n"/>
      <c r="D92" s="280" t="n"/>
      <c r="E92" s="280" t="n"/>
      <c r="F92" s="280" t="n"/>
      <c r="G92" s="280" t="n"/>
      <c r="H92" s="280" t="n"/>
      <c r="I92" s="97">
        <f>IFERROR(SUMPRODUCT((TableBOM[Product ID]=B92)*(TableBOM[Material Category]="CAP")*TableBOM[Item ID]),0)</f>
        <v/>
      </c>
    </row>
    <row r="93" ht="15" customHeight="1" s="237">
      <c r="A93" s="280" t="n"/>
      <c r="B93" s="280" t="n"/>
      <c r="C93" s="280" t="n"/>
      <c r="D93" s="280" t="n"/>
      <c r="E93" s="280" t="n"/>
      <c r="F93" s="280" t="n"/>
      <c r="G93" s="280" t="n"/>
      <c r="H93" s="280" t="n"/>
      <c r="I93" s="97">
        <f>IFERROR(SUMPRODUCT((TableBOM[Product ID]=B93)*(TableBOM[Material Category]="CAP")*TableBOM[Item ID]),0)</f>
        <v/>
      </c>
    </row>
    <row r="94" ht="15" customHeight="1" s="237">
      <c r="A94" s="280" t="n"/>
      <c r="B94" s="280" t="n"/>
      <c r="C94" s="280" t="n"/>
      <c r="D94" s="280" t="n"/>
      <c r="E94" s="280" t="n"/>
      <c r="F94" s="280" t="n"/>
      <c r="G94" s="280" t="n"/>
      <c r="H94" s="280" t="n"/>
      <c r="I94" s="97">
        <f>IFERROR(SUMPRODUCT((TableBOM[Product ID]=B94)*(TableBOM[Material Category]="CAP")*TableBOM[Item ID]),0)</f>
        <v/>
      </c>
    </row>
    <row r="95" ht="15" customHeight="1" s="237">
      <c r="A95" s="280" t="n"/>
      <c r="B95" s="280" t="n"/>
      <c r="C95" s="280" t="n"/>
      <c r="D95" s="280" t="n"/>
      <c r="E95" s="280" t="n"/>
      <c r="F95" s="280" t="n"/>
      <c r="G95" s="280" t="n"/>
      <c r="H95" s="280" t="n"/>
      <c r="I95" s="97">
        <f>IFERROR(SUMPRODUCT((TableBOM[Product ID]=B95)*(TableBOM[Material Category]="CAP")*TableBOM[Item ID]),0)</f>
        <v/>
      </c>
    </row>
    <row r="96" ht="15" customHeight="1" s="237">
      <c r="A96" s="280" t="n"/>
      <c r="B96" s="280" t="n"/>
      <c r="C96" s="280" t="n"/>
      <c r="D96" s="280" t="n"/>
      <c r="E96" s="280" t="n"/>
      <c r="F96" s="280" t="n"/>
      <c r="G96" s="280" t="n"/>
      <c r="H96" s="280" t="n"/>
      <c r="I96" s="97">
        <f>IFERROR(SUMPRODUCT((TableBOM[Product ID]=B96)*(TableBOM[Material Category]="CAP")*TableBOM[Item ID]),0)</f>
        <v/>
      </c>
    </row>
    <row r="97" ht="15" customHeight="1" s="237">
      <c r="A97" s="280" t="n"/>
      <c r="B97" s="280" t="n"/>
      <c r="C97" s="280" t="n"/>
      <c r="D97" s="280" t="n"/>
      <c r="E97" s="280" t="n"/>
      <c r="F97" s="280" t="n"/>
      <c r="G97" s="280" t="n"/>
      <c r="H97" s="280" t="n"/>
      <c r="I97" s="97">
        <f>IFERROR(SUMPRODUCT((TableBOM[Product ID]=B97)*(TableBOM[Material Category]="CAP")*TableBOM[Item ID]),0)</f>
        <v/>
      </c>
    </row>
    <row r="98" ht="15" customHeight="1" s="237">
      <c r="A98" s="280" t="n"/>
      <c r="B98" s="280" t="n"/>
      <c r="C98" s="280" t="n"/>
      <c r="D98" s="280" t="n"/>
      <c r="E98" s="280" t="n"/>
      <c r="F98" s="280" t="n"/>
      <c r="G98" s="280" t="n"/>
      <c r="H98" s="280" t="n"/>
      <c r="I98" s="97">
        <f>IFERROR(SUMPRODUCT((TableBOM[Product ID]=B98)*(TableBOM[Material Category]="CAP")*TableBOM[Item ID]),0)</f>
        <v/>
      </c>
    </row>
    <row r="99" ht="15" customHeight="1" s="237">
      <c r="A99" s="280" t="n"/>
      <c r="B99" s="280" t="n"/>
      <c r="C99" s="280" t="n"/>
      <c r="D99" s="280" t="n"/>
      <c r="E99" s="280" t="n"/>
      <c r="F99" s="280" t="n"/>
      <c r="G99" s="280" t="n"/>
      <c r="H99" s="280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0" t="inlineStr">
        <is>
          <t>ALPHA CONTAINERS — PROJECT REFERENCE GUIDE</t>
        </is>
      </c>
    </row>
    <row r="2" ht="18" customHeight="1" s="237">
      <c r="A2" s="261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7" t="inlineStr">
        <is>
          <t>S0 — DAILY WORKFLOW</t>
        </is>
      </c>
    </row>
    <row r="5" ht="15.95" customHeight="1" s="237">
      <c r="A5" s="262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6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6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6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6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6">
      <c r="A17" s="128" t="n"/>
      <c r="B17" s="129" t="n"/>
      <c r="C17" s="129" t="n"/>
      <c r="D17" s="129" t="n"/>
      <c r="E17" s="125" t="n"/>
      <c r="F17" s="125" t="n"/>
    </row>
    <row r="18" ht="15.95" customFormat="1" customHeight="1" s="246">
      <c r="A18" s="262" t="inlineStr">
        <is>
          <t>Individual scripts: update_production.py also runs sort_dashboard automatically at the end.</t>
        </is>
      </c>
    </row>
    <row r="19" ht="15.95" customFormat="1" customHeight="1" s="246">
      <c r="A19" s="262" t="inlineStr">
        <is>
          <t>Safety: All scripts check if Excel file is open (lock guard) and warn if source files are stale (&gt;26 hours).</t>
        </is>
      </c>
    </row>
    <row r="20" ht="15.95" customFormat="1" customHeight="1" s="246">
      <c r="A20" s="262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7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7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7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7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7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7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7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7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7" t="inlineStr">
        <is>
          <t>S9 — INK MANAGEMENT (Historical Average Method)</t>
        </is>
      </c>
    </row>
    <row r="119" ht="15.95" customHeight="1" s="237">
      <c r="A119" s="262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7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7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7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2026-06-13T05:51:28Z</dcterms:modified>
  <cp:lastModifiedBy>Sikander Shahjahan</cp:lastModifiedBy>
  <cp:category>Operations</cp:category>
  <cp:revision>37</cp:revision>
  <cp:keywords>production inventory planning procurement</cp:keywords>
</cp:coreProperties>
</file>