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2" hidden="1">'Production_Log'!$A$2:$R$101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1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9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9" applyAlignment="1" pivotButton="0" quotePrefix="0" xfId="0">
      <alignment vertical="center"/>
    </xf>
    <xf numFmtId="3" fontId="36" fillId="5" borderId="19" applyAlignment="1" pivotButton="0" quotePrefix="0" xfId="0">
      <alignment horizontal="center" vertical="center"/>
    </xf>
    <xf numFmtId="0" fontId="37" fillId="3" borderId="19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6" fillId="12" borderId="19" applyAlignment="1" pivotButton="0" quotePrefix="0" xfId="0">
      <alignment horizontal="left" vertical="center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 wrapText="1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L19" sqref="L19"/>
    </sheetView>
  </sheetViews>
  <sheetFormatPr baseColWidth="8" defaultColWidth="8.7109375" defaultRowHeight="16.5"/>
  <cols>
    <col width="1.5703125" customWidth="1" style="233" min="1" max="1"/>
    <col width="7" customWidth="1" style="233" min="2" max="2"/>
    <col width="32.7109375" customWidth="1" style="233" min="3" max="3"/>
    <col width="38.7109375" customWidth="1" style="233" min="4" max="4"/>
    <col width="8.85546875" customWidth="1" style="234" min="5" max="5"/>
    <col width="9.140625" customWidth="1" style="233" min="6" max="6"/>
    <col width="11" customWidth="1" style="235" min="7" max="7"/>
    <col width="11.140625" customWidth="1" style="233" min="8" max="8"/>
    <col width="10.28515625" customWidth="1" style="233" min="9" max="9"/>
    <col width="10.5703125" customWidth="1" style="233" min="10" max="10"/>
    <col width="9.28515625" customWidth="1" style="233" min="11" max="11"/>
    <col width="35.140625" customWidth="1" style="233" min="12" max="12"/>
    <col width="14.7109375" customWidth="1" style="233" min="13" max="13"/>
    <col width="13.28515625" customWidth="1" style="233" min="14" max="14"/>
    <col width="9.5703125" customWidth="1" style="233" min="15" max="15"/>
    <col width="8.7109375" customWidth="1" style="233" min="16" max="58"/>
    <col width="8.7109375" customWidth="1" style="233" min="59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30" t="inlineStr">
        <is>
          <t>Summary of Production &amp; Dispatch - MTD</t>
        </is>
      </c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 t="n">
        <v>49056</v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400k Order, 100k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33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33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tabSelected="1" zoomScaleNormal="100" workbookViewId="0">
      <selection activeCell="H9" sqref="H9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49056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32592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62496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30000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>
        <f>400000-98056</f>
        <v/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400k Order, 100k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s="243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43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43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 hidden="1" s="243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 hidden="1" s="243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 t="inlineStr">
        <is>
          <t>100kg Shortage. 15k Tubes WIP</t>
        </is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 hidden="1" s="243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 hidden="1" s="24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43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43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 hidden="1" s="243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43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43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4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43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43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43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43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 hidden="1" s="243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 hidden="1" s="243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43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 hidden="1" s="243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 hidden="1" s="2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 hidden="1" s="243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Hold. 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 hidden="1" s="243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43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43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43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 hidden="1" s="243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 hidden="1" s="24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 hidden="1" s="243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 hidden="1" s="243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 hidden="1" s="243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 hidden="1" s="243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 hidden="1" s="243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 hidden="1" s="243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 hidden="1" s="243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 hidden="1" s="243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 hidden="1" s="24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 hidden="1" s="243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 hidden="1" s="243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 hidden="1" s="243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 hidden="1" s="243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 hidden="1" s="243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 hidden="1" s="243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 hidden="1" s="24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 hidden="1" s="243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 hidden="1" s="243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idden="1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idden="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idden="1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idden="1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idden="1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idden="1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idden="1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idden="1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idden="1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idden="1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idden="1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idden="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idden="1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idden="1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idden="1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idden="1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28" t="n"/>
      <c r="C98" s="228" t="n"/>
      <c r="D98" s="228" t="n"/>
      <c r="E98" s="228" t="n"/>
      <c r="F98" s="228" t="n"/>
      <c r="G98" s="188" t="n"/>
      <c r="H98" s="228" t="n"/>
      <c r="I98" s="229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28" t="n"/>
      <c r="C106" s="228" t="n"/>
      <c r="D106" s="228" t="n"/>
      <c r="E106" s="228" t="n"/>
      <c r="F106" s="228" t="n"/>
      <c r="G106" s="188" t="n"/>
      <c r="H106" s="228" t="n"/>
      <c r="I106" s="228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28" t="n"/>
      <c r="C111" s="228" t="n"/>
      <c r="D111" s="228" t="n"/>
      <c r="E111" s="228" t="n"/>
      <c r="F111" s="228" t="n"/>
      <c r="G111" s="228" t="n"/>
      <c r="H111" s="228" t="n"/>
      <c r="I111" s="229" t="n"/>
      <c r="K111" s="47">
        <f>IF(E106=0,"",MAX(0,E106-F106))</f>
        <v/>
      </c>
    </row>
    <row r="112" ht="30" customHeight="1" s="243">
      <c r="A112" s="196" t="n">
        <v>2267</v>
      </c>
      <c r="B112" s="228" t="n"/>
      <c r="C112" s="228" t="n"/>
      <c r="D112" s="228" t="n"/>
      <c r="E112" s="228" t="n"/>
      <c r="F112" s="228" t="n"/>
      <c r="G112" s="228" t="n"/>
      <c r="H112" s="228" t="n"/>
      <c r="I112" s="229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28" t="n"/>
      <c r="C116" s="228" t="n"/>
      <c r="D116" s="228" t="n"/>
      <c r="E116" s="228" t="n"/>
      <c r="F116" s="228" t="n"/>
      <c r="G116" s="188" t="n"/>
      <c r="H116" s="228" t="n"/>
      <c r="I116" s="229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3:K95">
    <filterColumn colId="4" hiddenButton="0" showButton="1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6" zoomScaleNormal="100" workbookViewId="0">
      <selection activeCell="H90" sqref="H90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idden="1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idden="1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idden="1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idden="1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idden="1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idden="1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idden="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idden="1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idden="1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idden="1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idden="1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idden="1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idden="1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idden="1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idden="1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idden="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idden="1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idden="1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idden="1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idden="1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idden="1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idden="1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idden="1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idden="1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idden="1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idden="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idden="1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idden="1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idden="1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idden="1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idden="1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idden="1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idden="1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idden="1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idden="1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idden="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idden="1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idden="1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idden="1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idden="1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idden="1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idden="1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idden="1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idden="1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idden="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idden="1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idden="1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idden="1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idden="1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idden="1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idden="1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idden="1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idden="1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idden="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idden="1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idden="1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idden="1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idden="1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idden="1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idden="1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idden="1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idden="1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idden="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idden="1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idden="1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idden="1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idden="1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idden="1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idden="1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idden="1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idden="1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idden="1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idden="1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idden="1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idden="1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idden="1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idden="1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idden="1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idden="1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idden="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idden="1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idden="1" ht="15" customHeight="1" s="243">
      <c r="A93" s="274" t="n">
        <v>46188</v>
      </c>
      <c r="B93" s="271" t="inlineStr">
        <is>
          <t>Lacquer-02</t>
        </is>
      </c>
      <c r="C93" s="271" t="inlineStr"/>
      <c r="D93" s="271" t="inlineStr"/>
      <c r="E93" s="271" t="inlineStr"/>
      <c r="F93" s="271" t="n"/>
      <c r="G93" s="272" t="n">
        <v>0</v>
      </c>
      <c r="H93" s="272" t="n">
        <v>0</v>
      </c>
      <c r="I93" s="272" t="n">
        <v>0</v>
      </c>
      <c r="J93" s="273">
        <f>IFERROR(I93/(H93+I93),"")</f>
        <v/>
      </c>
      <c r="K93" s="271" t="n"/>
      <c r="L93" s="271" t="n"/>
      <c r="M93" s="271" t="n"/>
      <c r="N93" s="271" t="n"/>
      <c r="O93" s="271" t="n"/>
      <c r="P93" s="271" t="n"/>
      <c r="Q93" s="271" t="n"/>
      <c r="R93" s="271" t="n"/>
      <c r="S93" s="271" t="n"/>
    </row>
    <row r="94" hidden="1" ht="15" customHeight="1" s="243">
      <c r="A94" s="274" t="n">
        <v>46188</v>
      </c>
      <c r="B94" s="271" t="inlineStr">
        <is>
          <t>Lacquer-04</t>
        </is>
      </c>
      <c r="C94" s="271" t="inlineStr">
        <is>
          <t>Samsol International Private Limited</t>
        </is>
      </c>
      <c r="D94" s="271" t="inlineStr">
        <is>
          <t>S-45</t>
        </is>
      </c>
      <c r="E94" s="271" t="n">
        <v>25</v>
      </c>
      <c r="F94" s="271" t="n">
        <v>5389</v>
      </c>
      <c r="G94" s="272" t="n">
        <v>16000</v>
      </c>
      <c r="H94" s="272" t="n">
        <v>15715</v>
      </c>
      <c r="I94" s="272" t="n">
        <v>285</v>
      </c>
      <c r="J94" s="273">
        <f>IFERROR(I94/(H94+I94),"")</f>
        <v/>
      </c>
      <c r="K94" s="271" t="n"/>
      <c r="L94" s="271" t="n"/>
      <c r="M94" s="271" t="n">
        <v>90</v>
      </c>
      <c r="N94" s="271" t="n"/>
      <c r="O94" s="271" t="n"/>
      <c r="P94" s="271" t="n">
        <v>30</v>
      </c>
      <c r="Q94" s="271" t="n"/>
      <c r="R94" s="271" t="n"/>
      <c r="S94" s="271" t="n"/>
    </row>
    <row r="95" hidden="1" ht="15" customHeight="1" s="243">
      <c r="A95" s="274" t="n">
        <v>46188</v>
      </c>
      <c r="B95" s="271" t="inlineStr">
        <is>
          <t>Latex-01</t>
        </is>
      </c>
      <c r="C95" s="271" t="inlineStr"/>
      <c r="D95" s="271" t="inlineStr"/>
      <c r="E95" s="271" t="inlineStr"/>
      <c r="F95" s="271" t="n"/>
      <c r="G95" s="272" t="n">
        <v>0</v>
      </c>
      <c r="H95" s="272" t="n">
        <v>0</v>
      </c>
      <c r="I95" s="272" t="n">
        <v>0</v>
      </c>
      <c r="J95" s="273">
        <f>IFERROR(I95/(H95+I95),"")</f>
        <v/>
      </c>
      <c r="K95" s="271" t="n"/>
      <c r="L95" s="271" t="n"/>
      <c r="M95" s="271" t="n"/>
      <c r="N95" s="271" t="n"/>
      <c r="O95" s="271" t="n"/>
      <c r="P95" s="271" t="n"/>
      <c r="Q95" s="271" t="n"/>
      <c r="R95" s="271" t="n"/>
      <c r="S95" s="271" t="n"/>
    </row>
    <row r="96" hidden="1" ht="15" customHeight="1" s="243">
      <c r="A96" s="274" t="n">
        <v>46188</v>
      </c>
      <c r="B96" s="271" t="inlineStr">
        <is>
          <t>PF Machine</t>
        </is>
      </c>
      <c r="C96" s="271" t="inlineStr">
        <is>
          <t>Alpha Labs PVT LTD</t>
        </is>
      </c>
      <c r="D96" s="271" t="inlineStr">
        <is>
          <t>TRANSPARENT BOTTLE 150ML</t>
        </is>
      </c>
      <c r="E96" s="271" t="inlineStr">
        <is>
          <t>150 ml</t>
        </is>
      </c>
      <c r="F96" s="271" t="n">
        <v>8001</v>
      </c>
      <c r="G96" s="272" t="n">
        <v>6020</v>
      </c>
      <c r="H96" s="272" t="n">
        <v>5520</v>
      </c>
      <c r="I96" s="272" t="n">
        <v>500</v>
      </c>
      <c r="J96" s="273">
        <f>IFERROR(I96/(H96+I96),"")</f>
        <v/>
      </c>
      <c r="K96" s="271" t="n"/>
      <c r="L96" s="271" t="n"/>
      <c r="M96" s="271" t="n"/>
      <c r="N96" s="271" t="n"/>
      <c r="O96" s="271" t="n"/>
      <c r="P96" s="271" t="n">
        <v>25</v>
      </c>
      <c r="Q96" s="271" t="n"/>
      <c r="R96" s="271" t="n"/>
      <c r="S96" s="271" t="n"/>
    </row>
    <row r="97" hidden="1" ht="15" customHeight="1" s="243">
      <c r="A97" s="274" t="n">
        <v>46188</v>
      </c>
      <c r="B97" s="271" t="inlineStr">
        <is>
          <t>Press-04</t>
        </is>
      </c>
      <c r="C97" s="271" t="inlineStr">
        <is>
          <t>Golden Pearl Cosmetics (PVT) LTD</t>
        </is>
      </c>
      <c r="D97" s="271" t="inlineStr">
        <is>
          <t>HELLO HAIR COLOR</t>
        </is>
      </c>
      <c r="E97" s="271" t="n">
        <v>30</v>
      </c>
      <c r="F97" s="271" t="n">
        <v>6206</v>
      </c>
      <c r="G97" s="272" t="n">
        <v>10000</v>
      </c>
      <c r="H97" s="272" t="n">
        <v>9890</v>
      </c>
      <c r="I97" s="272" t="n">
        <v>110</v>
      </c>
      <c r="J97" s="273">
        <f>IFERROR(I97/(H97+I97),"")</f>
        <v/>
      </c>
      <c r="K97" s="271" t="n"/>
      <c r="L97" s="271" t="n"/>
      <c r="M97" s="271" t="n"/>
      <c r="N97" s="271" t="n">
        <v>210</v>
      </c>
      <c r="O97" s="271" t="n"/>
      <c r="P97" s="271" t="n">
        <v>30</v>
      </c>
      <c r="Q97" s="271" t="n"/>
      <c r="R97" s="271" t="n"/>
      <c r="S97" s="271" t="n"/>
    </row>
    <row r="98" ht="15" customHeight="1" s="243">
      <c r="A98" s="274" t="n">
        <v>46188</v>
      </c>
      <c r="B98" s="271" t="inlineStr">
        <is>
          <t>Press-06</t>
        </is>
      </c>
      <c r="C98" s="271" t="inlineStr">
        <is>
          <t>Samsol International Private Limited</t>
        </is>
      </c>
      <c r="D98" s="271" t="inlineStr">
        <is>
          <t>S-45</t>
        </is>
      </c>
      <c r="E98" s="271" t="n">
        <v>25</v>
      </c>
      <c r="F98" s="271" t="n">
        <v>5389</v>
      </c>
      <c r="G98" s="272" t="n">
        <v>18500</v>
      </c>
      <c r="H98" s="272" t="n">
        <v>18375</v>
      </c>
      <c r="I98" s="272" t="n">
        <v>125</v>
      </c>
      <c r="J98" s="273">
        <f>IFERROR(I98/(H98+I98),"")</f>
        <v/>
      </c>
      <c r="K98" s="271" t="n">
        <v>60</v>
      </c>
      <c r="L98" s="271" t="n"/>
      <c r="M98" s="271" t="n"/>
      <c r="N98" s="271" t="n"/>
      <c r="O98" s="271" t="n"/>
      <c r="P98" s="271" t="n">
        <v>30</v>
      </c>
      <c r="Q98" s="271" t="n"/>
      <c r="R98" s="271" t="n"/>
      <c r="S98" s="271" t="n"/>
    </row>
    <row r="99" hidden="1" ht="15" customHeight="1" s="243">
      <c r="A99" s="274" t="n">
        <v>46188</v>
      </c>
      <c r="B99" s="271" t="inlineStr">
        <is>
          <t>Printing-03</t>
        </is>
      </c>
      <c r="C99" s="271" t="inlineStr">
        <is>
          <t>Samsol International Private Limited</t>
        </is>
      </c>
      <c r="D99" s="271" t="inlineStr">
        <is>
          <t>S-45</t>
        </is>
      </c>
      <c r="E99" s="271" t="n">
        <v>25</v>
      </c>
      <c r="F99" s="271" t="n">
        <v>5389</v>
      </c>
      <c r="G99" s="272" t="n">
        <v>14898</v>
      </c>
      <c r="H99" s="272" t="n">
        <v>14448</v>
      </c>
      <c r="I99" s="272" t="n">
        <v>450</v>
      </c>
      <c r="J99" s="273">
        <f>IFERROR(I99/(H99+I99),"")</f>
        <v/>
      </c>
      <c r="K99" s="271" t="n"/>
      <c r="L99" s="271" t="n"/>
      <c r="M99" s="271" t="n"/>
      <c r="N99" s="271" t="n"/>
      <c r="O99" s="271" t="n"/>
      <c r="P99" s="271" t="n">
        <v>30</v>
      </c>
      <c r="Q99" s="271" t="n"/>
      <c r="R99" s="271" t="n"/>
      <c r="S99" s="271" t="n"/>
    </row>
    <row r="100" hidden="1" ht="15" customHeight="1" s="243">
      <c r="A100" s="274" t="n">
        <v>46188</v>
      </c>
      <c r="B100" s="271" t="inlineStr">
        <is>
          <t>Printing-03</t>
        </is>
      </c>
      <c r="C100" s="271" t="inlineStr">
        <is>
          <t>Samsol International Private Limited</t>
        </is>
      </c>
      <c r="D100" s="271" t="inlineStr">
        <is>
          <t>S 43 25MM</t>
        </is>
      </c>
      <c r="E100" s="271" t="n">
        <v>25</v>
      </c>
      <c r="F100" s="271" t="n">
        <v>3447</v>
      </c>
      <c r="G100" s="272" t="n">
        <v>4864</v>
      </c>
      <c r="H100" s="272" t="n">
        <v>4704</v>
      </c>
      <c r="I100" s="272" t="n">
        <v>160</v>
      </c>
      <c r="J100" s="273">
        <f>IFERROR(I100/(H100+I100),"")</f>
        <v/>
      </c>
      <c r="K100" s="271" t="n"/>
      <c r="L100" s="271" t="n"/>
      <c r="M100" s="271" t="n"/>
      <c r="N100" s="271" t="n">
        <v>30</v>
      </c>
      <c r="O100" s="271" t="n"/>
      <c r="P100" s="271" t="n"/>
      <c r="Q100" s="271" t="n"/>
      <c r="R100" s="271" t="n"/>
      <c r="S100" s="271" t="n"/>
    </row>
    <row r="101" hidden="1" ht="15" customHeight="1" s="243">
      <c r="A101" s="274" t="n">
        <v>46188</v>
      </c>
      <c r="B101" s="271" t="inlineStr">
        <is>
          <t>Printing-04</t>
        </is>
      </c>
      <c r="C101" s="271" t="inlineStr"/>
      <c r="D101" s="271" t="inlineStr"/>
      <c r="E101" s="271" t="inlineStr"/>
      <c r="F101" s="271" t="n"/>
      <c r="G101" s="272" t="n">
        <v>0</v>
      </c>
      <c r="H101" s="272" t="n">
        <v>0</v>
      </c>
      <c r="I101" s="272" t="n">
        <v>0</v>
      </c>
      <c r="J101" s="273">
        <f>IFERROR(I101/(H101+I101),"")</f>
        <v/>
      </c>
      <c r="K101" s="271" t="n"/>
      <c r="L101" s="271" t="n"/>
      <c r="M101" s="271" t="n"/>
      <c r="N101" s="271" t="n"/>
      <c r="O101" s="271" t="n"/>
      <c r="P101" s="271" t="n"/>
      <c r="Q101" s="271" t="n"/>
      <c r="R101" s="271" t="n"/>
      <c r="S101" s="271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101">
    <filterColumn colId="1" hiddenButton="0" showButton="1">
      <filters>
        <filter val="Press-06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4257812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31" t="n"/>
      <c r="C1" s="231" t="n"/>
      <c r="D1" s="231" t="n"/>
      <c r="E1" s="231" t="n"/>
      <c r="F1" s="231" t="n"/>
      <c r="G1" s="231" t="n"/>
      <c r="H1" s="231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1215</v>
      </c>
      <c r="H7" s="38">
        <f>E7+F7-G7</f>
        <v/>
      </c>
      <c r="I7" s="37" t="n">
        <v>15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>
        <v>10</v>
      </c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75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150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100000</v>
      </c>
      <c r="G46" s="37" t="n">
        <v>100000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0</v>
      </c>
      <c r="F52" s="37" t="n">
        <v>0</v>
      </c>
      <c r="G52" s="37" t="n">
        <v>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45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1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0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2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307" t="n">
        <v>1</v>
      </c>
      <c r="B4" s="307" t="n">
        <v>8001</v>
      </c>
      <c r="C4" s="308" t="inlineStr">
        <is>
          <t>Alpha Labs PVT LTD</t>
        </is>
      </c>
      <c r="D4" s="308" t="inlineStr">
        <is>
          <t>TRANSPARENT BOTTLE 150ML</t>
        </is>
      </c>
      <c r="E4" s="307" t="inlineStr">
        <is>
          <t>150ml</t>
        </is>
      </c>
      <c r="F4" s="309" t="n">
        <v>18860</v>
      </c>
      <c r="G4" s="307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307" t="n">
        <v>2</v>
      </c>
      <c r="B5" s="307" t="n">
        <v>5699</v>
      </c>
      <c r="C5" s="308" t="inlineStr">
        <is>
          <t>Samsol International Private Limited</t>
        </is>
      </c>
      <c r="D5" s="308" t="inlineStr">
        <is>
          <t>S-43 DIA 20.5</t>
        </is>
      </c>
      <c r="E5" s="307" t="inlineStr">
        <is>
          <t>20.5</t>
        </is>
      </c>
      <c r="F5" s="309" t="n">
        <v>14790</v>
      </c>
      <c r="G5" s="307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307" t="n">
        <v>3</v>
      </c>
      <c r="B6" s="307" t="n">
        <v>5731</v>
      </c>
      <c r="C6" s="308" t="inlineStr">
        <is>
          <t>Samsol International Private Limited</t>
        </is>
      </c>
      <c r="D6" s="308" t="inlineStr">
        <is>
          <t>SAMSOL HAIR COLOR 45 DIA 20.5 MM</t>
        </is>
      </c>
      <c r="E6" s="307" t="inlineStr">
        <is>
          <t>20.5</t>
        </is>
      </c>
      <c r="F6" s="309" t="n">
        <v>13770</v>
      </c>
      <c r="G6" s="307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307" t="n">
        <v>4</v>
      </c>
      <c r="B7" s="307" t="n">
        <v>5389</v>
      </c>
      <c r="C7" s="308" t="inlineStr">
        <is>
          <t>Samsol International Private Limited</t>
        </is>
      </c>
      <c r="D7" s="308" t="inlineStr">
        <is>
          <t>S-45</t>
        </is>
      </c>
      <c r="E7" s="307" t="inlineStr">
        <is>
          <t>25</t>
        </is>
      </c>
      <c r="F7" s="309" t="n">
        <v>11088</v>
      </c>
      <c r="G7" s="307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307" t="n">
        <v>5</v>
      </c>
      <c r="B8" s="307" t="n">
        <v>4050</v>
      </c>
      <c r="C8" s="308" t="inlineStr">
        <is>
          <t>Professional Beauty Solution (PVT) LTD.Pakistan</t>
        </is>
      </c>
      <c r="D8" s="308" t="inlineStr">
        <is>
          <t>EAZICOLOR PREMIUM HAIR COLOUR 60ML</t>
        </is>
      </c>
      <c r="E8" s="307" t="inlineStr">
        <is>
          <t>30</t>
        </is>
      </c>
      <c r="F8" s="309" t="n">
        <v>9450</v>
      </c>
      <c r="G8" s="307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307" t="n">
        <v>6</v>
      </c>
      <c r="B9" s="307" t="n">
        <v>6337</v>
      </c>
      <c r="C9" s="308" t="inlineStr">
        <is>
          <t>Al-Rehman Group</t>
        </is>
      </c>
      <c r="D9" s="308" t="inlineStr">
        <is>
          <t>ACTIVE PRO HAIR COLOR CREAM 60ML</t>
        </is>
      </c>
      <c r="E9" s="307" t="inlineStr">
        <is>
          <t>30</t>
        </is>
      </c>
      <c r="F9" s="309" t="n">
        <v>15680</v>
      </c>
      <c r="G9" s="307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307" t="n">
        <v>7</v>
      </c>
      <c r="B10" s="307" t="n">
        <v>6416</v>
      </c>
      <c r="C10" s="308" t="inlineStr">
        <is>
          <t>Al-Rehman Group</t>
        </is>
      </c>
      <c r="D10" s="308" t="inlineStr">
        <is>
          <t>SIGNATURE HAIR COLOR CREAM 60ML</t>
        </is>
      </c>
      <c r="E10" s="307" t="inlineStr">
        <is>
          <t>30</t>
        </is>
      </c>
      <c r="F10" s="309" t="n">
        <v>15435</v>
      </c>
      <c r="G10" s="307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307" t="n">
        <v>8</v>
      </c>
      <c r="B11" s="307" t="n">
        <v>5782</v>
      </c>
      <c r="C11" s="308" t="inlineStr">
        <is>
          <t>Mega Grey</t>
        </is>
      </c>
      <c r="D11" s="308" t="inlineStr">
        <is>
          <t>M.G</t>
        </is>
      </c>
      <c r="E11" s="307" t="inlineStr">
        <is>
          <t>32</t>
        </is>
      </c>
      <c r="F11" s="309" t="n">
        <v>63648</v>
      </c>
      <c r="G11" s="307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307" t="n">
        <v>9</v>
      </c>
      <c r="B12" s="307" t="n">
        <v>6531</v>
      </c>
      <c r="C12" s="308" t="inlineStr">
        <is>
          <t>Adore</t>
        </is>
      </c>
      <c r="D12" s="308" t="inlineStr">
        <is>
          <t>V-HC BLACK</t>
        </is>
      </c>
      <c r="E12" s="307" t="inlineStr">
        <is>
          <t>35</t>
        </is>
      </c>
      <c r="F12" s="309" t="n">
        <v>4380</v>
      </c>
      <c r="G12" s="307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307" t="n">
        <v>10</v>
      </c>
      <c r="B13" s="307" t="n">
        <v>6206</v>
      </c>
      <c r="C13" s="308" t="inlineStr">
        <is>
          <t>Golden Pearl Cosmetics (PVT) LTD</t>
        </is>
      </c>
      <c r="D13" s="308" t="inlineStr">
        <is>
          <t>HELLO HAIR COLOR</t>
        </is>
      </c>
      <c r="E13" s="307" t="inlineStr">
        <is>
          <t>30</t>
        </is>
      </c>
      <c r="F13" s="309" t="n">
        <v>100674</v>
      </c>
      <c r="G13" s="307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310" t="n">
        <v>11</v>
      </c>
      <c r="B14" s="310" t="n">
        <v>6515</v>
      </c>
      <c r="C14" s="311" t="inlineStr">
        <is>
          <t>Samsol International Private Limited</t>
        </is>
      </c>
      <c r="D14" s="311" t="inlineStr">
        <is>
          <t>H.H 100GM</t>
        </is>
      </c>
      <c r="E14" s="310" t="inlineStr">
        <is>
          <t>32</t>
        </is>
      </c>
      <c r="F14" s="312" t="n">
        <v>38896</v>
      </c>
      <c r="G14" s="310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310" t="n">
        <v>12</v>
      </c>
      <c r="B15" s="310" t="n">
        <v>6530</v>
      </c>
      <c r="C15" s="311" t="inlineStr">
        <is>
          <t>Adore</t>
        </is>
      </c>
      <c r="D15" s="311" t="inlineStr">
        <is>
          <t>V- HC BROWN</t>
        </is>
      </c>
      <c r="E15" s="310" t="inlineStr">
        <is>
          <t>35</t>
        </is>
      </c>
      <c r="F15" s="312" t="n">
        <v>15000</v>
      </c>
      <c r="G15" s="310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310" t="n">
        <v>13</v>
      </c>
      <c r="B16" s="310" t="n">
        <v>5782</v>
      </c>
      <c r="C16" s="311" t="inlineStr">
        <is>
          <t>Mega Grey</t>
        </is>
      </c>
      <c r="D16" s="311" t="inlineStr">
        <is>
          <t>M.G</t>
        </is>
      </c>
      <c r="E16" s="310" t="inlineStr">
        <is>
          <t>32</t>
        </is>
      </c>
      <c r="F16" s="312" t="n">
        <v>10500</v>
      </c>
      <c r="G16" s="310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310" t="n">
        <v>14</v>
      </c>
      <c r="B17" s="310" t="n">
        <v>6624</v>
      </c>
      <c r="C17" s="311" t="inlineStr">
        <is>
          <t>Samsol International Private Limited</t>
        </is>
      </c>
      <c r="D17" s="311" t="inlineStr">
        <is>
          <t>S-45 DIA 19MM</t>
        </is>
      </c>
      <c r="E17" s="310" t="inlineStr">
        <is>
          <t>19</t>
        </is>
      </c>
      <c r="F17" s="312" t="n">
        <v>15288</v>
      </c>
      <c r="G17" s="310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310" t="n">
        <v>15</v>
      </c>
      <c r="B18" s="310" t="n">
        <v>5731</v>
      </c>
      <c r="C18" s="311" t="inlineStr">
        <is>
          <t>Samsol International Private Limited</t>
        </is>
      </c>
      <c r="D18" s="311" t="inlineStr">
        <is>
          <t>SAMSOL HAIR COLOR 45 DIA 20.5 MM</t>
        </is>
      </c>
      <c r="E18" s="310" t="inlineStr">
        <is>
          <t>20.5</t>
        </is>
      </c>
      <c r="F18" s="312" t="n">
        <v>37030</v>
      </c>
      <c r="G18" s="310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3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3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3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3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3">
      <c r="A17" s="128" t="n"/>
      <c r="B17" s="129" t="n"/>
      <c r="C17" s="129" t="n"/>
      <c r="D17" s="129" t="n"/>
      <c r="E17" s="125" t="n"/>
      <c r="F17" s="125" t="n"/>
    </row>
    <row r="18" ht="15.95" customFormat="1" customHeight="1" s="253">
      <c r="A18" s="269" t="inlineStr">
        <is>
          <t>Individual scripts: update_production.py also runs sort_dashboard automatically at the end.</t>
        </is>
      </c>
    </row>
    <row r="19" ht="15.95" customFormat="1" customHeight="1" s="253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3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2026-06-16T08:09:50Z</dcterms:modified>
  <cp:lastModifiedBy>Sikander Shahjahan</cp:lastModifiedBy>
  <cp:category>Operations</cp:category>
  <cp:revision>37</cp:revision>
  <cp:keywords>production inventory planning procurement</cp:keywords>
</cp:coreProperties>
</file>