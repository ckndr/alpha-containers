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2" hidden="1">'Production_Log'!$A$2:$R$83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30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6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/>
    </xf>
    <xf numFmtId="3" fontId="47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 wrapText="1"/>
    </xf>
    <xf numFmtId="0" fontId="46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/>
    </xf>
    <xf numFmtId="3" fontId="47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7" fillId="3" borderId="18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18" applyAlignment="1" pivotButton="0" quotePrefix="0" xfId="0">
      <alignment horizontal="center" vertical="center"/>
    </xf>
    <xf numFmtId="167" fontId="38" fillId="3" borderId="18" applyAlignment="1" pivotButton="0" quotePrefix="0" xfId="0">
      <alignment horizontal="center"/>
    </xf>
    <xf numFmtId="0" fontId="42" fillId="5" borderId="18" applyAlignment="1" pivotButton="0" quotePrefix="0" xfId="0">
      <alignment vertical="center"/>
    </xf>
    <xf numFmtId="0" fontId="37" fillId="3" borderId="18" applyAlignment="1" pivotButton="0" quotePrefix="0" xfId="0">
      <alignment vertical="center"/>
    </xf>
    <xf numFmtId="0" fontId="36" fillId="3" borderId="18" applyAlignment="1" pivotButton="0" quotePrefix="0" xfId="0">
      <alignment horizontal="center" vertical="center"/>
    </xf>
    <xf numFmtId="3" fontId="36" fillId="5" borderId="18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3" fillId="3" borderId="1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8" applyAlignment="1" pivotButton="0" quotePrefix="0" xfId="0">
      <alignment horizontal="left" vertical="center"/>
    </xf>
    <xf numFmtId="0" fontId="21" fillId="9" borderId="18" applyAlignment="1" pivotButton="0" quotePrefix="0" xfId="0">
      <alignment horizontal="left" vertical="center" indent="1"/>
    </xf>
    <xf numFmtId="0" fontId="8" fillId="3" borderId="18" applyAlignment="1" pivotButton="0" quotePrefix="0" xfId="0">
      <alignment horizontal="left" vertical="center" indent="1"/>
    </xf>
    <xf numFmtId="0" fontId="29" fillId="0" borderId="18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8" applyAlignment="1" pivotButton="0" quotePrefix="0" xfId="0">
      <alignment horizontal="left" vertical="center"/>
    </xf>
    <xf numFmtId="0" fontId="26" fillId="12" borderId="18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0" borderId="22" applyAlignment="1" pivotButton="0" quotePrefix="0" xfId="0">
      <alignment horizontal="center" vertical="center" wrapText="1"/>
    </xf>
    <xf numFmtId="0" fontId="9" fillId="0" borderId="22" applyAlignment="1" pivotButton="0" quotePrefix="0" xfId="0">
      <alignment horizontal="left" vertical="center" wrapText="1"/>
    </xf>
    <xf numFmtId="1" fontId="9" fillId="0" borderId="22" applyAlignment="1" pivotButton="0" quotePrefix="0" xfId="0">
      <alignment horizontal="center" vertical="center" wrapText="1"/>
    </xf>
    <xf numFmtId="1" fontId="10" fillId="0" borderId="22" applyAlignment="1" pivotButton="0" quotePrefix="0" xfId="0">
      <alignment horizontal="center" vertical="center" wrapText="1"/>
    </xf>
    <xf numFmtId="3" fontId="10" fillId="0" borderId="22" applyAlignment="1" pivotButton="0" quotePrefix="0" xfId="0">
      <alignment horizontal="center" vertical="center" wrapText="1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0" fontId="28" fillId="13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9" borderId="20" applyAlignment="1" pivotButton="0" quotePrefix="0" xfId="0">
      <alignment horizontal="left" vertical="center" indent="1"/>
    </xf>
    <xf numFmtId="0" fontId="26" fillId="12" borderId="20" applyAlignment="1" pivotButton="0" quotePrefix="0" xfId="0">
      <alignment horizontal="left" vertical="center"/>
    </xf>
    <xf numFmtId="0" fontId="27" fillId="12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7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5" zoomScaleNormal="100" workbookViewId="0">
      <selection activeCell="F19" sqref="F19"/>
    </sheetView>
  </sheetViews>
  <sheetFormatPr baseColWidth="8" defaultColWidth="8.7109375" defaultRowHeight="16.5"/>
  <cols>
    <col width="1.5703125" customWidth="1" style="225" min="1" max="1"/>
    <col width="7" customWidth="1" style="225" min="2" max="2"/>
    <col width="32.7109375" customWidth="1" style="225" min="3" max="3"/>
    <col width="38.7109375" customWidth="1" style="225" min="4" max="4"/>
    <col width="8.85546875" customWidth="1" style="226" min="5" max="5"/>
    <col width="9.140625" customWidth="1" style="225" min="6" max="6"/>
    <col width="11" customWidth="1" style="227" min="7" max="7"/>
    <col width="11.140625" customWidth="1" style="225" min="8" max="8"/>
    <col width="10.28515625" customWidth="1" style="225" min="9" max="9"/>
    <col width="10.5703125" customWidth="1" style="225" min="10" max="10"/>
    <col width="9.28515625" customWidth="1" style="225" min="11" max="11"/>
    <col width="33.85546875" customWidth="1" style="225" min="12" max="12"/>
    <col width="14.7109375" customWidth="1" style="225" min="13" max="13"/>
    <col width="13.28515625" customWidth="1" style="225" min="14" max="14"/>
    <col width="9.5703125" customWidth="1" style="225" min="15" max="15"/>
    <col width="8.7109375" customWidth="1" style="225" min="16" max="55"/>
    <col width="8.7109375" customWidth="1" style="225" min="56" max="16384"/>
  </cols>
  <sheetData>
    <row r="1" ht="6" customHeight="1" s="237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37">
      <c r="A2" s="136" t="n"/>
      <c r="B2" s="249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37">
      <c r="A3" s="136" t="n"/>
      <c r="B3" s="250" t="inlineStr">
        <is>
          <t>Report Date (Yesterday's Production):</t>
        </is>
      </c>
      <c r="H3" s="251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37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37">
      <c r="A5" s="136" t="n"/>
      <c r="B5" s="252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2" t="inlineStr">
        <is>
          <t>TUBE — REJECT %</t>
        </is>
      </c>
      <c r="I5" s="143" t="n"/>
      <c r="J5" s="252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37">
      <c r="A6" s="136" t="n"/>
      <c r="B6" s="253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3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3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37">
      <c r="A7" s="136" t="n"/>
      <c r="B7" s="254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54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37">
      <c r="A8" s="136" t="n"/>
      <c r="B8" s="255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55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55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37">
      <c r="A9" s="136" t="n"/>
      <c r="B9" s="234" t="inlineStr">
        <is>
          <t>Summary of Production &amp; Dispatch - MTD</t>
        </is>
      </c>
      <c r="C9" s="235" t="n"/>
      <c r="D9" s="235" t="n"/>
      <c r="E9" s="235" t="n"/>
      <c r="F9" s="235" t="n"/>
      <c r="G9" s="235" t="n"/>
      <c r="H9" s="235" t="n"/>
      <c r="I9" s="235" t="n"/>
      <c r="J9" s="235" t="n"/>
      <c r="K9" s="235" t="n"/>
      <c r="L9" s="235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37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7" t="inlineStr">
        <is>
          <t>TUBE</t>
        </is>
      </c>
      <c r="C11" s="288" t="inlineStr">
        <is>
          <t>Brookes Pharma Private Limited</t>
        </is>
      </c>
      <c r="D11" s="289" t="inlineStr">
        <is>
          <t>ECZEMUS OINTMENT 0.03% 10G</t>
        </is>
      </c>
      <c r="E11" s="290" t="n">
        <v>16</v>
      </c>
      <c r="F11" s="291" t="n">
        <v>6561</v>
      </c>
      <c r="G11" s="291">
        <f>IFERROR(INDEX(MRP!$F$3:$F$10,MATCH(Tubex_Dashboard!F11,MRP!$D$3:$D$10,0)),0)</f>
        <v/>
      </c>
      <c r="H11" s="292">
        <f>SUMPRODUCT((Production_Log!$F$3:$F$8963=F11)*(LEFT(Production_Log!$B$3:$B$8963,5)="Print")*(ISERROR(SEARCH("(Varnish)",Production_Log!$D$3:$D$8963)))*Production_Log!$H$3:$H$8963)</f>
        <v/>
      </c>
      <c r="I11" s="291">
        <f>G11-H11</f>
        <v/>
      </c>
      <c r="J11" s="293">
        <f>IF(G11=0,"-",H11/G11)</f>
        <v/>
      </c>
      <c r="K11" s="292" t="n"/>
      <c r="L11" s="294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37">
      <c r="A12" s="136" t="n"/>
      <c r="B12" s="287" t="inlineStr">
        <is>
          <t>TUBE</t>
        </is>
      </c>
      <c r="C12" s="288" t="inlineStr">
        <is>
          <t>Samsol International Private Limited</t>
        </is>
      </c>
      <c r="D12" s="289" t="inlineStr">
        <is>
          <t>S 43 25MM</t>
        </is>
      </c>
      <c r="E12" s="290" t="n">
        <v>25</v>
      </c>
      <c r="F12" s="291" t="n">
        <v>3447</v>
      </c>
      <c r="G12" s="291">
        <f>IFERROR(INDEX(MRP!$F$3:$F$10,MATCH(Tubex_Dashboard!F12,MRP!$D$3:$D$10,0)),0)</f>
        <v/>
      </c>
      <c r="H12" s="292">
        <f>SUMPRODUCT((Production_Log!$F$3:$F$8963=F12)*(LEFT(Production_Log!$B$3:$B$8963,5)="Print")*(ISERROR(SEARCH("(Varnish)",Production_Log!$D$3:$D$8963)))*Production_Log!$H$3:$H$8963)</f>
        <v/>
      </c>
      <c r="I12" s="291">
        <f>G12-H12</f>
        <v/>
      </c>
      <c r="J12" s="293">
        <f>IF(G12=0,"-",H12/G12)</f>
        <v/>
      </c>
      <c r="K12" s="292" t="n">
        <v>90048</v>
      </c>
      <c r="L12" s="294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37">
      <c r="A13" s="136" t="n"/>
      <c r="B13" s="287" t="inlineStr">
        <is>
          <t>TUBE</t>
        </is>
      </c>
      <c r="C13" s="288" t="inlineStr">
        <is>
          <t>Samsol International Private Limited</t>
        </is>
      </c>
      <c r="D13" s="289" t="inlineStr">
        <is>
          <t>TUBES COMMON RED</t>
        </is>
      </c>
      <c r="E13" s="290" t="n">
        <v>25</v>
      </c>
      <c r="F13" s="291" t="n">
        <v>6470</v>
      </c>
      <c r="G13" s="291">
        <f>IFERROR(INDEX(MRP!$F$3:$F$10,MATCH(Tubex_Dashboard!F13,MRP!$D$3:$D$10,0)),0)</f>
        <v/>
      </c>
      <c r="H13" s="292">
        <f>SUMPRODUCT((Production_Log!$F$3:$F$8963=F13)*(LEFT(Production_Log!$B$3:$B$8963,5)="Print")*(ISERROR(SEARCH("(Varnish)",Production_Log!$D$3:$D$8963)))*Production_Log!$H$3:$H$8963)</f>
        <v/>
      </c>
      <c r="I13" s="291">
        <f>G13-H13</f>
        <v/>
      </c>
      <c r="J13" s="293">
        <f>IF(G13=0,"-",H13/G13)</f>
        <v/>
      </c>
      <c r="K13" s="292" t="n">
        <v>62496</v>
      </c>
      <c r="L13" s="294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37">
      <c r="A14" s="136" t="n"/>
      <c r="B14" s="287" t="inlineStr">
        <is>
          <t>TUBE</t>
        </is>
      </c>
      <c r="C14" s="288" t="inlineStr">
        <is>
          <t>Samsol International Private Limited</t>
        </is>
      </c>
      <c r="D14" s="289" t="inlineStr">
        <is>
          <t>TUBE COMMON PURPLE</t>
        </is>
      </c>
      <c r="E14" s="290" t="n">
        <v>25</v>
      </c>
      <c r="F14" s="291" t="n">
        <v>6532</v>
      </c>
      <c r="G14" s="291">
        <f>IFERROR(INDEX(MRP!$F$3:$F$10,MATCH(Tubex_Dashboard!F14,MRP!$D$3:$D$10,0)),0)</f>
        <v/>
      </c>
      <c r="H14" s="292">
        <f>SUMPRODUCT((Production_Log!$F$3:$F$8963=F14)*(LEFT(Production_Log!$B$3:$B$8963,5)="Print")*(ISERROR(SEARCH("(Varnish)",Production_Log!$D$3:$D$8963)))*Production_Log!$H$3:$H$8963)</f>
        <v/>
      </c>
      <c r="I14" s="291">
        <f>G14-H14</f>
        <v/>
      </c>
      <c r="J14" s="293">
        <f>IF(G14=0,"-",H14/G14)</f>
        <v/>
      </c>
      <c r="K14" s="292" t="n">
        <v>31248</v>
      </c>
      <c r="L14" s="294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37">
      <c r="A15" s="136" t="n"/>
      <c r="B15" s="287" t="inlineStr">
        <is>
          <t>TUBE</t>
        </is>
      </c>
      <c r="C15" s="288" t="inlineStr">
        <is>
          <t>Samsol International Private Limited</t>
        </is>
      </c>
      <c r="D15" s="289" t="inlineStr">
        <is>
          <t>S-45</t>
        </is>
      </c>
      <c r="E15" s="290" t="n">
        <v>25</v>
      </c>
      <c r="F15" s="291" t="n">
        <v>5389</v>
      </c>
      <c r="G15" s="291">
        <f>IFERROR(INDEX(MRP!$F$3:$F$10,MATCH(Tubex_Dashboard!F15,MRP!$D$3:$D$10,0)),0)</f>
        <v/>
      </c>
      <c r="H15" s="292">
        <f>SUMPRODUCT((Production_Log!$F$3:$F$8963=F15)*(LEFT(Production_Log!$B$3:$B$8963,5)="Print")*(ISERROR(SEARCH("(Varnish)",Production_Log!$D$3:$D$8963)))*Production_Log!$H$3:$H$8963)</f>
        <v/>
      </c>
      <c r="I15" s="291">
        <f>G15-H15</f>
        <v/>
      </c>
      <c r="J15" s="293">
        <f>IF(G15=0,"-",H15/G15)</f>
        <v/>
      </c>
      <c r="K15" s="292" t="n">
        <v>44352</v>
      </c>
      <c r="L15" s="294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37">
      <c r="A16" s="136" t="n"/>
      <c r="B16" s="287" t="inlineStr">
        <is>
          <t>TUBE</t>
        </is>
      </c>
      <c r="C16" s="288" t="inlineStr">
        <is>
          <t>Samsol International Private Limited</t>
        </is>
      </c>
      <c r="D16" s="289" t="inlineStr">
        <is>
          <t>TUBES</t>
        </is>
      </c>
      <c r="E16" s="290" t="n">
        <v>25</v>
      </c>
      <c r="F16" s="291" t="n">
        <v>3726</v>
      </c>
      <c r="G16" s="291">
        <f>IFERROR(INDEX(MRP!$F$3:$F$10,MATCH(Tubex_Dashboard!F16,MRP!$D$3:$D$10,0)),0)</f>
        <v/>
      </c>
      <c r="H16" s="292">
        <f>SUMPRODUCT((Production_Log!$F$3:$F$8963=F16)*(LEFT(Production_Log!$B$3:$B$8963,5)="Print")*(ISERROR(SEARCH("(Varnish)",Production_Log!$D$3:$D$8963)))*Production_Log!$H$3:$H$8963)</f>
        <v/>
      </c>
      <c r="I16" s="291">
        <f>G16-H16</f>
        <v/>
      </c>
      <c r="J16" s="293">
        <f>IF(G16=0,"-",H16/G16)</f>
        <v/>
      </c>
      <c r="K16" s="292" t="n">
        <v>55776</v>
      </c>
      <c r="L16" s="294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37">
      <c r="A17" s="136" t="n"/>
      <c r="B17" s="287" t="inlineStr">
        <is>
          <t>TUBE</t>
        </is>
      </c>
      <c r="C17" s="288" t="inlineStr">
        <is>
          <t>Golden Pearl Cosmetics (PVT) LTD</t>
        </is>
      </c>
      <c r="D17" s="289" t="inlineStr">
        <is>
          <t>HELLO HAIR COLOR</t>
        </is>
      </c>
      <c r="E17" s="290" t="n">
        <v>30</v>
      </c>
      <c r="F17" s="291" t="n">
        <v>6206</v>
      </c>
      <c r="G17" s="291">
        <f>IFERROR(INDEX(MRP!$F$3:$F$10,MATCH(Tubex_Dashboard!F17,MRP!$D$3:$D$10,0)),0)</f>
        <v/>
      </c>
      <c r="H17" s="292">
        <f>SUMPRODUCT((Production_Log!$F$3:$F$8963=F17)*(LEFT(Production_Log!$B$3:$B$8963,5)="Print")*(ISERROR(SEARCH("(Varnish)",Production_Log!$D$3:$D$8963)))*Production_Log!$H$3:$H$8963)</f>
        <v/>
      </c>
      <c r="I17" s="291">
        <f>G17-H17</f>
        <v/>
      </c>
      <c r="J17" s="293">
        <f>IF(G17=0,"-",H17/G17)</f>
        <v/>
      </c>
      <c r="K17" s="292" t="n"/>
      <c r="L17" s="294" t="inlineStr">
        <is>
          <t>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37">
      <c r="A18" s="136" t="n"/>
      <c r="B18" s="287" t="inlineStr">
        <is>
          <t>TUBE</t>
        </is>
      </c>
      <c r="C18" s="288" t="inlineStr">
        <is>
          <t>Mablay Beauty PVT LTD.</t>
        </is>
      </c>
      <c r="D18" s="289" t="inlineStr">
        <is>
          <t>VINCE NURTURAL</t>
        </is>
      </c>
      <c r="E18" s="290" t="n">
        <v>30</v>
      </c>
      <c r="F18" s="291" t="n">
        <v>5814</v>
      </c>
      <c r="G18" s="291">
        <f>IFERROR(INDEX(MRP!$F$3:$F$10,MATCH(Tubex_Dashboard!F18,MRP!$D$3:$D$10,0)),0)</f>
        <v/>
      </c>
      <c r="H18" s="292">
        <f>SUMPRODUCT((Production_Log!$F$3:$F$8963=F18)*(LEFT(Production_Log!$B$3:$B$8963,5)="Print")*(ISERROR(SEARCH("(Varnish)",Production_Log!$D$3:$D$8963)))*Production_Log!$H$3:$H$8963)</f>
        <v/>
      </c>
      <c r="I18" s="291">
        <f>G18-H18</f>
        <v/>
      </c>
      <c r="J18" s="293">
        <f>IF(G18=0,"-",H18/G18)</f>
        <v/>
      </c>
      <c r="K18" s="292" t="n"/>
      <c r="L18" s="294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37">
      <c r="A19" s="136" t="n"/>
      <c r="B19" s="287" t="inlineStr">
        <is>
          <t>TUBE</t>
        </is>
      </c>
      <c r="C19" s="288" t="inlineStr">
        <is>
          <t>Adore</t>
        </is>
      </c>
      <c r="D19" s="289" t="inlineStr">
        <is>
          <t>V- HC BROWN</t>
        </is>
      </c>
      <c r="E19" s="290" t="n">
        <v>35</v>
      </c>
      <c r="F19" s="291" t="n">
        <v>6530</v>
      </c>
      <c r="G19" s="291">
        <f>IFERROR(INDEX(MRP!$F$3:$F$10,MATCH(Tubex_Dashboard!F19,MRP!$D$3:$D$10,0)),0)</f>
        <v/>
      </c>
      <c r="H19" s="292">
        <f>SUMPRODUCT((Production_Log!$F$3:$F$8963=F19)*(LEFT(Production_Log!$B$3:$B$8963,5)="Print")*(ISERROR(SEARCH("(Varnish)",Production_Log!$D$3:$D$8963)))*Production_Log!$H$3:$H$8963)</f>
        <v/>
      </c>
      <c r="I19" s="291">
        <f>G19-H19</f>
        <v/>
      </c>
      <c r="J19" s="293">
        <f>IF(G19=0,"-",H19/G19)</f>
        <v/>
      </c>
      <c r="K19" s="292" t="n"/>
      <c r="L19" s="294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37">
      <c r="A20" s="136" t="n"/>
      <c r="B20" s="295" t="n"/>
      <c r="C20" s="296" t="n"/>
      <c r="D20" s="297" t="inlineStr">
        <is>
          <t>TOTAL</t>
        </is>
      </c>
      <c r="E20" s="295" t="n"/>
      <c r="F20" s="296" t="n"/>
      <c r="G20" s="298">
        <f>SUM(G11:G19)</f>
        <v/>
      </c>
      <c r="H20" s="298">
        <f>SUM(H11:H19)</f>
        <v/>
      </c>
      <c r="I20" s="298">
        <f>SUMIF(I11:I19,"&gt;"&amp;0)</f>
        <v/>
      </c>
      <c r="J20" s="298" t="n"/>
      <c r="K20" s="298">
        <f>SUM(K11:K19)</f>
        <v/>
      </c>
      <c r="L20" s="298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37">
      <c r="A21" s="136" t="n"/>
      <c r="B21" s="287" t="inlineStr">
        <is>
          <t>PET</t>
        </is>
      </c>
      <c r="C21" s="288" t="inlineStr">
        <is>
          <t>Samsol International Private Limited</t>
        </is>
      </c>
      <c r="D21" s="289" t="inlineStr">
        <is>
          <t>PET BOTTLE SMALL (120ML) YELLOW</t>
        </is>
      </c>
      <c r="E21" s="290" t="inlineStr">
        <is>
          <t>120 ml</t>
        </is>
      </c>
      <c r="F21" s="291" t="n">
        <v>8005</v>
      </c>
      <c r="G21" s="291" t="n">
        <v>19840</v>
      </c>
      <c r="H21" s="292">
        <f>SUMPRODUCT((Production_Log!$F$3:$F$8963=F21)*Production_Log!$H$3:$H$8963)</f>
        <v/>
      </c>
      <c r="I21" s="291">
        <f>G21-H21</f>
        <v/>
      </c>
      <c r="J21" s="293">
        <f>IF(G21=0,"-",H21/G21)</f>
        <v/>
      </c>
      <c r="K21" s="292" t="n"/>
      <c r="L21" s="294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37">
      <c r="A22" s="136" t="n"/>
      <c r="B22" s="287" t="inlineStr">
        <is>
          <t>PET</t>
        </is>
      </c>
      <c r="C22" s="288" t="inlineStr">
        <is>
          <t>Alpha Labs PVT LTD</t>
        </is>
      </c>
      <c r="D22" s="289" t="inlineStr">
        <is>
          <t>TRANSPARENT BOTTLE 150ML</t>
        </is>
      </c>
      <c r="E22" s="290" t="inlineStr">
        <is>
          <t>150 ml</t>
        </is>
      </c>
      <c r="F22" s="291" t="n">
        <v>8001</v>
      </c>
      <c r="G22" s="291" t="n">
        <v>249997</v>
      </c>
      <c r="H22" s="292">
        <f>SUMPRODUCT((Production_Log!$F$3:$F$8963=F22)*Production_Log!$H$3:$H$8963)</f>
        <v/>
      </c>
      <c r="I22" s="291">
        <f>G22-H22</f>
        <v/>
      </c>
      <c r="J22" s="293">
        <f>IF(G22=0,"-",H22/G22)</f>
        <v/>
      </c>
      <c r="K22" s="292" t="n">
        <v>63480</v>
      </c>
      <c r="L22" s="294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37">
      <c r="A23" s="136" t="n"/>
      <c r="B23" s="287" t="inlineStr">
        <is>
          <t>PET</t>
        </is>
      </c>
      <c r="C23" s="288" t="inlineStr">
        <is>
          <t>Samsol International Private Limited</t>
        </is>
      </c>
      <c r="D23" s="289" t="inlineStr">
        <is>
          <t>PET BOTTLE LARGE 200ML WHITE</t>
        </is>
      </c>
      <c r="E23" s="290" t="inlineStr">
        <is>
          <t>200 ml</t>
        </is>
      </c>
      <c r="F23" s="291" t="n">
        <v>8007</v>
      </c>
      <c r="G23" s="291" t="n">
        <v>10000</v>
      </c>
      <c r="H23" s="292">
        <f>SUMPRODUCT((Production_Log!$F$3:$F$8963=F23)*Production_Log!$H$3:$H$8963)</f>
        <v/>
      </c>
      <c r="I23" s="291">
        <f>G23-H23</f>
        <v/>
      </c>
      <c r="J23" s="293">
        <f>IF(G23=0,"-",H23/G23)</f>
        <v/>
      </c>
      <c r="K23" s="292" t="n"/>
      <c r="L23" s="294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37">
      <c r="A24" s="136" t="n"/>
      <c r="B24" s="287" t="inlineStr">
        <is>
          <t>PET</t>
        </is>
      </c>
      <c r="C24" s="288" t="inlineStr">
        <is>
          <t>Samsol International Private Limited</t>
        </is>
      </c>
      <c r="D24" s="289" t="inlineStr">
        <is>
          <t>PET BOTTLE LARGE (200 ML) YELLOW</t>
        </is>
      </c>
      <c r="E24" s="290" t="inlineStr">
        <is>
          <t>200 ml</t>
        </is>
      </c>
      <c r="F24" s="291" t="n">
        <v>8006</v>
      </c>
      <c r="G24" s="291" t="n">
        <v>42400</v>
      </c>
      <c r="H24" s="292">
        <f>SUMPRODUCT((Production_Log!$F$3:$F$8963=F24)*Production_Log!$H$3:$H$8963)</f>
        <v/>
      </c>
      <c r="I24" s="291">
        <f>G24-H24</f>
        <v/>
      </c>
      <c r="J24" s="293">
        <f>IF(G24=0,"-",H24/G24)</f>
        <v/>
      </c>
      <c r="K24" s="292" t="n">
        <v>35040</v>
      </c>
      <c r="L24" s="294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37">
      <c r="A25" s="136" t="n"/>
      <c r="B25" s="287" t="inlineStr">
        <is>
          <t>PET</t>
        </is>
      </c>
      <c r="C25" s="288" t="inlineStr">
        <is>
          <t>Samsol International Private Limited</t>
        </is>
      </c>
      <c r="D25" s="289" t="inlineStr">
        <is>
          <t>BT-200ML MUSTARD OIL (TRANSPARENT)</t>
        </is>
      </c>
      <c r="E25" s="290" t="inlineStr">
        <is>
          <t>200 ml</t>
        </is>
      </c>
      <c r="F25" s="291" t="n">
        <v>8014</v>
      </c>
      <c r="G25" s="291" t="n">
        <v>10000</v>
      </c>
      <c r="H25" s="292">
        <f>SUMPRODUCT((Production_Log!$F$3:$F$8963=F25)*Production_Log!$H$3:$H$8963)</f>
        <v/>
      </c>
      <c r="I25" s="291">
        <f>G25-H25</f>
        <v/>
      </c>
      <c r="J25" s="293">
        <f>IF(G25=0,"-",H25/G25)</f>
        <v/>
      </c>
      <c r="K25" s="292" t="n"/>
      <c r="L25" s="294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37">
      <c r="A26" s="136" t="n"/>
      <c r="B26" s="295" t="n"/>
      <c r="C26" s="296" t="n"/>
      <c r="D26" s="297" t="inlineStr">
        <is>
          <t>TOTAL</t>
        </is>
      </c>
      <c r="E26" s="295" t="n"/>
      <c r="F26" s="296" t="n"/>
      <c r="G26" s="298">
        <f>SUM(G21:G25)</f>
        <v/>
      </c>
      <c r="H26" s="298">
        <f>SUM(H21:H25)</f>
        <v/>
      </c>
      <c r="I26" s="298">
        <f>SUMIF(I21:I25,"&gt;"&amp;0)</f>
        <v/>
      </c>
      <c r="J26" s="298" t="n"/>
      <c r="K26" s="298">
        <f>SUM(K21:K25)</f>
        <v/>
      </c>
      <c r="L26" s="298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37">
      <c r="A27" s="136" t="n"/>
      <c r="B27" s="287" t="inlineStr">
        <is>
          <t>TUBE</t>
        </is>
      </c>
      <c r="C27" s="288" t="inlineStr">
        <is>
          <t>Bahadur</t>
        </is>
      </c>
      <c r="D27" s="289" t="inlineStr">
        <is>
          <t>BAHADUR TUBE 12.5MM</t>
        </is>
      </c>
      <c r="E27" s="290" t="n">
        <v>12.5</v>
      </c>
      <c r="F27" s="291" t="n">
        <v>9004</v>
      </c>
      <c r="G27" s="291">
        <f>IFERROR(INDEX(MRP!$F$3:$F$10,MATCH(Tubex_Dashboard!F27,MRP!$D$3:$D$10,0)),0)</f>
        <v/>
      </c>
      <c r="H27" s="292">
        <f>SUMPRODUCT((Production_Log!$F$3:$F$8963=F27)*(LEFT(Production_Log!$B$3:$B$8963,5)="Print")*(ISERROR(SEARCH("(Varnish)",Production_Log!$D$3:$D$8963)))*Production_Log!$H$3:$H$8963)</f>
        <v/>
      </c>
      <c r="I27" s="291">
        <f>G27-H27</f>
        <v/>
      </c>
      <c r="J27" s="293">
        <f>IF(G27=0,"-",H27/G27)</f>
        <v/>
      </c>
      <c r="K27" s="292" t="n"/>
      <c r="L27" s="294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37">
      <c r="A28" s="136" t="n"/>
      <c r="B28" s="287" t="inlineStr">
        <is>
          <t>TUBE</t>
        </is>
      </c>
      <c r="C28" s="288" t="inlineStr">
        <is>
          <t>Samsol International Private Limited</t>
        </is>
      </c>
      <c r="D28" s="289" t="inlineStr">
        <is>
          <t>S-45 DIA 19MM</t>
        </is>
      </c>
      <c r="E28" s="290" t="n">
        <v>19</v>
      </c>
      <c r="F28" s="291" t="n">
        <v>6624</v>
      </c>
      <c r="G28" s="291">
        <f>IFERROR(INDEX(MRP!$F$3:$F$10,MATCH(Tubex_Dashboard!F28,MRP!$D$3:$D$10,0)),0)</f>
        <v/>
      </c>
      <c r="H28" s="292">
        <f>SUMPRODUCT((Production_Log!$F$3:$F$8963=F28)*(LEFT(Production_Log!$B$3:$B$8963,5)="Print")*(ISERROR(SEARCH("(Varnish)",Production_Log!$D$3:$D$8963)))*Production_Log!$H$3:$H$8963)</f>
        <v/>
      </c>
      <c r="I28" s="291">
        <f>G28-H28</f>
        <v/>
      </c>
      <c r="J28" s="293">
        <f>IF(G28=0,"-",H28/G28)</f>
        <v/>
      </c>
      <c r="K28" s="292" t="n"/>
      <c r="L28" s="294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37">
      <c r="A29" s="136" t="n"/>
      <c r="B29" s="287" t="inlineStr">
        <is>
          <t>TUBE</t>
        </is>
      </c>
      <c r="C29" s="288" t="inlineStr">
        <is>
          <t>Samsol International Private Limited</t>
        </is>
      </c>
      <c r="D29" s="289" t="inlineStr">
        <is>
          <t>S-43 DIA 19MM</t>
        </is>
      </c>
      <c r="E29" s="290" t="n">
        <v>19</v>
      </c>
      <c r="F29" s="291" t="n">
        <v>6623</v>
      </c>
      <c r="G29" s="291">
        <f>IFERROR(INDEX(MRP!$F$3:$F$10,MATCH(Tubex_Dashboard!F29,MRP!$D$3:$D$10,0)),0)</f>
        <v/>
      </c>
      <c r="H29" s="292">
        <f>SUMPRODUCT((Production_Log!$F$3:$F$8963=F29)*(LEFT(Production_Log!$B$3:$B$8963,5)="Print")*(ISERROR(SEARCH("(Varnish)",Production_Log!$D$3:$D$8963)))*Production_Log!$H$3:$H$8963)</f>
        <v/>
      </c>
      <c r="I29" s="291">
        <f>G29-H29</f>
        <v/>
      </c>
      <c r="J29" s="293">
        <f>IF(G29=0,"-",H29/G29)</f>
        <v/>
      </c>
      <c r="K29" s="292" t="n"/>
      <c r="L29" s="294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37">
      <c r="A30" s="136" t="n"/>
      <c r="B30" s="287" t="inlineStr">
        <is>
          <t>TUBE</t>
        </is>
      </c>
      <c r="C30" s="288" t="inlineStr">
        <is>
          <t>Brookes Pharma Private Limited</t>
        </is>
      </c>
      <c r="D30" s="289" t="inlineStr">
        <is>
          <t>PHLOGIN GEL 20G</t>
        </is>
      </c>
      <c r="E30" s="290" t="n">
        <v>19</v>
      </c>
      <c r="F30" s="291" t="n">
        <v>6559</v>
      </c>
      <c r="G30" s="291">
        <f>IFERROR(INDEX(MRP!$F$3:$F$10,MATCH(Tubex_Dashboard!F30,MRP!$D$3:$D$10,0)),0)</f>
        <v/>
      </c>
      <c r="H30" s="292">
        <f>SUMPRODUCT((Production_Log!$F$3:$F$8963=F30)*(LEFT(Production_Log!$B$3:$B$8963,5)="Print")*(ISERROR(SEARCH("(Varnish)",Production_Log!$D$3:$D$8963)))*Production_Log!$H$3:$H$8963)</f>
        <v/>
      </c>
      <c r="I30" s="291">
        <f>G30-H30</f>
        <v/>
      </c>
      <c r="J30" s="293">
        <f>IF(G30=0,"-",H30/G30)</f>
        <v/>
      </c>
      <c r="K30" s="292" t="n"/>
      <c r="L30" s="294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37">
      <c r="A31" s="136" t="n"/>
      <c r="B31" s="287" t="inlineStr">
        <is>
          <t>TUBE</t>
        </is>
      </c>
      <c r="C31" s="288" t="inlineStr">
        <is>
          <t>Brookes Pharma Private Limited</t>
        </is>
      </c>
      <c r="D31" s="289" t="inlineStr">
        <is>
          <t>PYODINE GEL 20GM</t>
        </is>
      </c>
      <c r="E31" s="290" t="n">
        <v>19</v>
      </c>
      <c r="F31" s="291" t="n">
        <v>1085</v>
      </c>
      <c r="G31" s="291">
        <f>IFERROR(INDEX(MRP!$F$3:$F$10,MATCH(Tubex_Dashboard!F31,MRP!$D$3:$D$10,0)),0)</f>
        <v/>
      </c>
      <c r="H31" s="292">
        <f>SUMPRODUCT((Production_Log!$F$3:$F$8963=F31)*(LEFT(Production_Log!$B$3:$B$8963,5)="Print")*(ISERROR(SEARCH("(Varnish)",Production_Log!$D$3:$D$8963)))*Production_Log!$H$3:$H$8963)</f>
        <v/>
      </c>
      <c r="I31" s="291">
        <f>G31-H31</f>
        <v/>
      </c>
      <c r="J31" s="293">
        <f>IF(G31=0,"-",H31/G31)</f>
        <v/>
      </c>
      <c r="K31" s="292" t="n"/>
      <c r="L31" s="294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37">
      <c r="A32" s="136" t="n"/>
      <c r="B32" s="287" t="inlineStr">
        <is>
          <t>TUBE</t>
        </is>
      </c>
      <c r="C32" s="288" t="inlineStr">
        <is>
          <t>Brookes Pharma Private Limited</t>
        </is>
      </c>
      <c r="D32" s="289" t="inlineStr">
        <is>
          <t>CONTRATUBEX GEL 20G</t>
        </is>
      </c>
      <c r="E32" s="290" t="n">
        <v>19</v>
      </c>
      <c r="F32" s="291" t="n">
        <v>6560</v>
      </c>
      <c r="G32" s="291">
        <f>IFERROR(INDEX(MRP!$F$3:$F$10,MATCH(Tubex_Dashboard!F32,MRP!$D$3:$D$10,0)),0)</f>
        <v/>
      </c>
      <c r="H32" s="292">
        <f>SUMPRODUCT((Production_Log!$F$3:$F$8963=F32)*(LEFT(Production_Log!$B$3:$B$8963,5)="Print")*(ISERROR(SEARCH("(Varnish)",Production_Log!$D$3:$D$8963)))*Production_Log!$H$3:$H$8963)</f>
        <v/>
      </c>
      <c r="I32" s="291">
        <f>G32-H32</f>
        <v/>
      </c>
      <c r="J32" s="293">
        <f>IF(G32=0,"-",H32/G32)</f>
        <v/>
      </c>
      <c r="K32" s="292" t="n"/>
      <c r="L32" s="294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37">
      <c r="A33" s="136" t="n"/>
      <c r="B33" s="287" t="inlineStr">
        <is>
          <t>TUBE</t>
        </is>
      </c>
      <c r="C33" s="288" t="inlineStr">
        <is>
          <t>Samsol International Private Limited</t>
        </is>
      </c>
      <c r="D33" s="289" t="inlineStr">
        <is>
          <t>S-43 DIA 20.5</t>
        </is>
      </c>
      <c r="E33" s="290" t="n">
        <v>20.5</v>
      </c>
      <c r="F33" s="291" t="n">
        <v>5699</v>
      </c>
      <c r="G33" s="291">
        <f>IFERROR(INDEX(MRP!$F$3:$F$10,MATCH(Tubex_Dashboard!F33,MRP!$D$3:$D$10,0)),0)</f>
        <v/>
      </c>
      <c r="H33" s="292">
        <f>SUMPRODUCT((Production_Log!$F$3:$F$8963=F33)*(LEFT(Production_Log!$B$3:$B$8963,5)="Print")*(ISERROR(SEARCH("(Varnish)",Production_Log!$D$3:$D$8963)))*Production_Log!$H$3:$H$8963)</f>
        <v/>
      </c>
      <c r="I33" s="291">
        <f>G33-H33</f>
        <v/>
      </c>
      <c r="J33" s="293">
        <f>IF(G33=0,"-",H33/G33)</f>
        <v/>
      </c>
      <c r="K33" s="292" t="n"/>
      <c r="L33" s="294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37">
      <c r="A34" s="136" t="n"/>
      <c r="B34" s="287" t="inlineStr">
        <is>
          <t>TUBE</t>
        </is>
      </c>
      <c r="C34" s="288" t="inlineStr">
        <is>
          <t>Mablay Beauty PVT LTD.</t>
        </is>
      </c>
      <c r="D34" s="289" t="inlineStr">
        <is>
          <t>VINCE HIS ONLY BEARD &amp; MUSTACHE COLOR CREAM</t>
        </is>
      </c>
      <c r="E34" s="290" t="n">
        <v>20.5</v>
      </c>
      <c r="F34" s="291" t="n">
        <v>6077</v>
      </c>
      <c r="G34" s="291">
        <f>IFERROR(INDEX(MRP!$F$3:$F$10,MATCH(Tubex_Dashboard!F34,MRP!$D$3:$D$10,0)),0)</f>
        <v/>
      </c>
      <c r="H34" s="292">
        <f>SUMPRODUCT((Production_Log!$F$3:$F$8963=F34)*(LEFT(Production_Log!$B$3:$B$8963,5)="Print")*(ISERROR(SEARCH("(Varnish)",Production_Log!$D$3:$D$8963)))*Production_Log!$H$3:$H$8963)</f>
        <v/>
      </c>
      <c r="I34" s="291">
        <f>G34-H34</f>
        <v/>
      </c>
      <c r="J34" s="293">
        <f>IF(G34=0,"-",H34/G34)</f>
        <v/>
      </c>
      <c r="K34" s="292" t="n"/>
      <c r="L34" s="294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37">
      <c r="A35" s="136" t="n"/>
      <c r="B35" s="287" t="inlineStr">
        <is>
          <t>TUBE</t>
        </is>
      </c>
      <c r="C35" s="288" t="inlineStr">
        <is>
          <t>Samsol International Private Limited</t>
        </is>
      </c>
      <c r="D35" s="289" t="inlineStr">
        <is>
          <t>S-45 DIA 20.5</t>
        </is>
      </c>
      <c r="E35" s="290" t="n">
        <v>20.5</v>
      </c>
      <c r="F35" s="291" t="n">
        <v>5698</v>
      </c>
      <c r="G35" s="291">
        <f>IFERROR(INDEX(MRP!$F$3:$F$10,MATCH(Tubex_Dashboard!F35,MRP!$D$3:$D$10,0)),0)</f>
        <v/>
      </c>
      <c r="H35" s="292">
        <f>SUMPRODUCT((Production_Log!$F$3:$F$8963=F35)*(LEFT(Production_Log!$B$3:$B$8963,5)="Print")*(ISERROR(SEARCH("(Varnish)",Production_Log!$D$3:$D$8963)))*Production_Log!$H$3:$H$8963)</f>
        <v/>
      </c>
      <c r="I35" s="291">
        <f>G35-H35</f>
        <v/>
      </c>
      <c r="J35" s="293">
        <f>IF(G35=0,"-",H35/G35)</f>
        <v/>
      </c>
      <c r="K35" s="292" t="n"/>
      <c r="L35" s="294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37">
      <c r="A36" s="136" t="n"/>
      <c r="B36" s="287" t="inlineStr">
        <is>
          <t>TUBE</t>
        </is>
      </c>
      <c r="C36" s="288" t="inlineStr">
        <is>
          <t>Samsol International Private Limited</t>
        </is>
      </c>
      <c r="D36" s="289" t="inlineStr">
        <is>
          <t>SAMSOL HAIR COLOR 45 DIA 20.5 MM</t>
        </is>
      </c>
      <c r="E36" s="290" t="n">
        <v>20.5</v>
      </c>
      <c r="F36" s="291" t="n">
        <v>5731</v>
      </c>
      <c r="G36" s="291">
        <f>IFERROR(INDEX(MRP!$F$3:$F$10,MATCH(Tubex_Dashboard!F36,MRP!$D$3:$D$10,0)),0)</f>
        <v/>
      </c>
      <c r="H36" s="292">
        <f>SUMPRODUCT((Production_Log!$F$3:$F$8963=F36)*(LEFT(Production_Log!$B$3:$B$8963,5)="Print")*(ISERROR(SEARCH("(Varnish)",Production_Log!$D$3:$D$8963)))*Production_Log!$H$3:$H$8963)</f>
        <v/>
      </c>
      <c r="I36" s="291">
        <f>G36-H36</f>
        <v/>
      </c>
      <c r="J36" s="293">
        <f>IF(G36=0,"-",H36/G36)</f>
        <v/>
      </c>
      <c r="K36" s="292" t="n"/>
      <c r="L36" s="294" t="n"/>
      <c r="P36" s="136" t="n"/>
      <c r="Q36" s="136" t="n"/>
      <c r="R36" s="136" t="n"/>
      <c r="S36" s="225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5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37">
      <c r="A37" s="136" t="n"/>
      <c r="B37" s="287" t="inlineStr">
        <is>
          <t>TUBE</t>
        </is>
      </c>
      <c r="C37" s="288" t="inlineStr">
        <is>
          <t>Samsol International Private Limited</t>
        </is>
      </c>
      <c r="D37" s="289" t="inlineStr">
        <is>
          <t>SAMSOL HAIR COLOR 43 DIA 20.5 MM</t>
        </is>
      </c>
      <c r="E37" s="290" t="n">
        <v>20.5</v>
      </c>
      <c r="F37" s="291" t="n">
        <v>5732</v>
      </c>
      <c r="G37" s="291">
        <f>IFERROR(INDEX(MRP!$F$3:$F$10,MATCH(Tubex_Dashboard!F37,MRP!$D$3:$D$10,0)),0)</f>
        <v/>
      </c>
      <c r="H37" s="292">
        <f>SUMPRODUCT((Production_Log!$F$3:$F$8963=F37)*(LEFT(Production_Log!$B$3:$B$8963,5)="Print")*(ISERROR(SEARCH("(Varnish)",Production_Log!$D$3:$D$8963)))*Production_Log!$H$3:$H$8963)</f>
        <v/>
      </c>
      <c r="I37" s="291">
        <f>G37-H37</f>
        <v/>
      </c>
      <c r="J37" s="293">
        <f>IF(G37=0,"-",H37/G37)</f>
        <v/>
      </c>
      <c r="K37" s="292" t="n"/>
      <c r="L37" s="294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37">
      <c r="A38" s="136" t="n"/>
      <c r="B38" s="287" t="inlineStr">
        <is>
          <t>TUBE</t>
        </is>
      </c>
      <c r="C38" s="288" t="inlineStr">
        <is>
          <t>Samsol International Private Limited</t>
        </is>
      </c>
      <c r="D38" s="289" t="inlineStr">
        <is>
          <t>SAMSOL HAIR COLOR 39 SMALL PURPLE</t>
        </is>
      </c>
      <c r="E38" s="290" t="n">
        <v>20.5</v>
      </c>
      <c r="F38" s="291" t="n">
        <v>6556</v>
      </c>
      <c r="G38" s="291">
        <f>IFERROR(INDEX(MRP!$F$3:$F$10,MATCH(Tubex_Dashboard!F38,MRP!$D$3:$D$10,0)),0)</f>
        <v/>
      </c>
      <c r="H38" s="292">
        <f>SUMPRODUCT((Production_Log!$F$3:$F$8963=F38)*(LEFT(Production_Log!$B$3:$B$8963,5)="Print")*(ISERROR(SEARCH("(Varnish)",Production_Log!$D$3:$D$8963)))*Production_Log!$H$3:$H$8963)</f>
        <v/>
      </c>
      <c r="I38" s="291">
        <f>G38-H38</f>
        <v/>
      </c>
      <c r="J38" s="293">
        <f>IF(G38=0,"-",H38/G38)</f>
        <v/>
      </c>
      <c r="K38" s="292" t="n"/>
      <c r="L38" s="294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37">
      <c r="A39" s="136" t="n"/>
      <c r="B39" s="287" t="inlineStr">
        <is>
          <t>TUBE</t>
        </is>
      </c>
      <c r="C39" s="288" t="inlineStr">
        <is>
          <t>Samsol International Private Limited</t>
        </is>
      </c>
      <c r="D39" s="289" t="inlineStr">
        <is>
          <t>SAMSOL HAIR COLOR 41 SMALL PURPLE</t>
        </is>
      </c>
      <c r="E39" s="290" t="n">
        <v>20.5</v>
      </c>
      <c r="F39" s="291" t="n">
        <v>6557</v>
      </c>
      <c r="G39" s="291">
        <f>IFERROR(INDEX(MRP!$F$3:$F$10,MATCH(Tubex_Dashboard!F39,MRP!$D$3:$D$10,0)),0)</f>
        <v/>
      </c>
      <c r="H39" s="292">
        <f>SUMPRODUCT((Production_Log!$F$3:$F$8963=F39)*(LEFT(Production_Log!$B$3:$B$8963,5)="Print")*(ISERROR(SEARCH("(Varnish)",Production_Log!$D$3:$D$8963)))*Production_Log!$H$3:$H$8963)</f>
        <v/>
      </c>
      <c r="I39" s="291">
        <f>G39-H39</f>
        <v/>
      </c>
      <c r="J39" s="293">
        <f>IF(G39=0,"-",H39/G39)</f>
        <v/>
      </c>
      <c r="K39" s="292" t="n"/>
      <c r="L39" s="294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37">
      <c r="A40" s="136" t="n"/>
      <c r="B40" s="287" t="inlineStr">
        <is>
          <t>TUBE</t>
        </is>
      </c>
      <c r="C40" s="288" t="inlineStr">
        <is>
          <t>Mablay Beauty PVT LTD.</t>
        </is>
      </c>
      <c r="D40" s="289" t="inlineStr">
        <is>
          <t>HIS ONLY HAIR COLOR CREAM 40GM</t>
        </is>
      </c>
      <c r="E40" s="290" t="n">
        <v>25</v>
      </c>
      <c r="F40" s="291" t="n">
        <v>6228</v>
      </c>
      <c r="G40" s="291">
        <f>IFERROR(INDEX(MRP!$F$3:$F$10,MATCH(Tubex_Dashboard!F40,MRP!$D$3:$D$10,0)),0)</f>
        <v/>
      </c>
      <c r="H40" s="292">
        <f>SUMPRODUCT((Production_Log!$F$3:$F$8963=F40)*(LEFT(Production_Log!$B$3:$B$8963,5)="Print")*(ISERROR(SEARCH("(Varnish)",Production_Log!$D$3:$D$8963)))*Production_Log!$H$3:$H$8963)</f>
        <v/>
      </c>
      <c r="I40" s="291">
        <f>G40-H40</f>
        <v/>
      </c>
      <c r="J40" s="293">
        <f>IF(G40=0,"-",H40/G40)</f>
        <v/>
      </c>
      <c r="K40" s="292" t="n"/>
      <c r="L40" s="294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37">
      <c r="A41" s="136" t="n"/>
      <c r="B41" s="287" t="inlineStr">
        <is>
          <t>TUBE</t>
        </is>
      </c>
      <c r="C41" s="288" t="inlineStr">
        <is>
          <t>DTM</t>
        </is>
      </c>
      <c r="D41" s="289" t="inlineStr">
        <is>
          <t>DTM DIA 25MM</t>
        </is>
      </c>
      <c r="E41" s="290" t="n">
        <v>25</v>
      </c>
      <c r="F41" s="291" t="n">
        <v>6338</v>
      </c>
      <c r="G41" s="291">
        <f>IFERROR(INDEX(MRP!$F$3:$F$10,MATCH(Tubex_Dashboard!F41,MRP!$D$3:$D$10,0)),0)</f>
        <v/>
      </c>
      <c r="H41" s="292">
        <f>SUMPRODUCT((Production_Log!$F$3:$F$8963=F41)*(LEFT(Production_Log!$B$3:$B$8963,5)="Print")*(ISERROR(SEARCH("(Varnish)",Production_Log!$D$3:$D$8963)))*Production_Log!$H$3:$H$8963)</f>
        <v/>
      </c>
      <c r="I41" s="291">
        <f>G41-H41</f>
        <v/>
      </c>
      <c r="J41" s="293">
        <f>IF(G41=0,"-",H41/G41)</f>
        <v/>
      </c>
      <c r="K41" s="292" t="n"/>
      <c r="L41" s="294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37">
      <c r="A42" s="136" t="n"/>
      <c r="B42" s="287" t="inlineStr">
        <is>
          <t>TUBE</t>
        </is>
      </c>
      <c r="C42" s="288" t="inlineStr">
        <is>
          <t>Samsol International Private Limited</t>
        </is>
      </c>
      <c r="D42" s="289" t="inlineStr">
        <is>
          <t>TUBES MEN BLUE</t>
        </is>
      </c>
      <c r="E42" s="290" t="n">
        <v>25</v>
      </c>
      <c r="F42" s="291" t="n">
        <v>6506</v>
      </c>
      <c r="G42" s="291">
        <f>IFERROR(INDEX(MRP!$F$3:$F$10,MATCH(Tubex_Dashboard!F42,MRP!$D$3:$D$10,0)),0)</f>
        <v/>
      </c>
      <c r="H42" s="292">
        <f>SUMPRODUCT((Production_Log!$F$3:$F$8963=F42)*(LEFT(Production_Log!$B$3:$B$8963,5)="Print")*(ISERROR(SEARCH("(Varnish)",Production_Log!$D$3:$D$8963)))*Production_Log!$H$3:$H$8963)</f>
        <v/>
      </c>
      <c r="I42" s="291">
        <f>G42-H42</f>
        <v/>
      </c>
      <c r="J42" s="293">
        <f>IF(G42=0,"-",H42/G42)</f>
        <v/>
      </c>
      <c r="K42" s="292" t="n"/>
      <c r="L42" s="294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37">
      <c r="A43" s="136" t="n"/>
      <c r="B43" s="287" t="inlineStr">
        <is>
          <t>TUBE</t>
        </is>
      </c>
      <c r="C43" s="288" t="inlineStr">
        <is>
          <t>Samsol International Private Limited</t>
        </is>
      </c>
      <c r="D43" s="289" t="inlineStr">
        <is>
          <t>SAMSOL RED 25MM</t>
        </is>
      </c>
      <c r="E43" s="290" t="n">
        <v>25</v>
      </c>
      <c r="F43" s="291" t="n">
        <v>9006</v>
      </c>
      <c r="G43" s="291">
        <f>IFERROR(INDEX(MRP!$F$3:$F$10,MATCH(Tubex_Dashboard!F43,MRP!$D$3:$D$10,0)),0)</f>
        <v/>
      </c>
      <c r="H43" s="292">
        <f>SUMPRODUCT((Production_Log!$F$3:$F$8963=F43)*(LEFT(Production_Log!$B$3:$B$8963,5)="Print")*(ISERROR(SEARCH("(Varnish)",Production_Log!$D$3:$D$8963)))*Production_Log!$H$3:$H$8963)</f>
        <v/>
      </c>
      <c r="I43" s="291">
        <f>G43-H43</f>
        <v/>
      </c>
      <c r="J43" s="293">
        <f>IF(G43=0,"-",H43/G43)</f>
        <v/>
      </c>
      <c r="K43" s="292" t="n"/>
      <c r="L43" s="294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37">
      <c r="A44" s="136" t="n"/>
      <c r="B44" s="287" t="inlineStr">
        <is>
          <t>TUBE</t>
        </is>
      </c>
      <c r="C44" s="288" t="inlineStr">
        <is>
          <t>Professional Beauty Solution (Pvt) Ltd</t>
        </is>
      </c>
      <c r="D44" s="289" t="inlineStr">
        <is>
          <t>BELINI HAIR COLOR 50ML</t>
        </is>
      </c>
      <c r="E44" s="290" t="n">
        <v>25</v>
      </c>
      <c r="F44" s="291" t="n">
        <v>4227</v>
      </c>
      <c r="G44" s="291">
        <f>IFERROR(INDEX(MRP!$F$3:$F$10,MATCH(Tubex_Dashboard!F44,MRP!$D$3:$D$10,0)),0)</f>
        <v/>
      </c>
      <c r="H44" s="292">
        <f>SUMPRODUCT((Production_Log!$F$3:$F$8963=F44)*(LEFT(Production_Log!$B$3:$B$8963,5)="Print")*(ISERROR(SEARCH("(Varnish)",Production_Log!$D$3:$D$8963)))*Production_Log!$H$3:$H$8963)</f>
        <v/>
      </c>
      <c r="I44" s="291">
        <f>G44-H44</f>
        <v/>
      </c>
      <c r="J44" s="293">
        <f>IF(G44=0,"-",H44/G44)</f>
        <v/>
      </c>
      <c r="K44" s="292" t="n"/>
      <c r="L44" s="294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37">
      <c r="A45" s="136" t="n"/>
      <c r="B45" s="287" t="inlineStr">
        <is>
          <t>TUBE</t>
        </is>
      </c>
      <c r="C45" s="288" t="inlineStr">
        <is>
          <t>Seatle (Private) Limited</t>
        </is>
      </c>
      <c r="D45" s="289" t="inlineStr">
        <is>
          <t>DOWFEN GEL 50G</t>
        </is>
      </c>
      <c r="E45" s="290" t="n">
        <v>30</v>
      </c>
      <c r="F45" s="291" t="n">
        <v>6595</v>
      </c>
      <c r="G45" s="291">
        <f>IFERROR(INDEX(MRP!$F$3:$F$10,MATCH(Tubex_Dashboard!F45,MRP!$D$3:$D$10,0)),0)</f>
        <v/>
      </c>
      <c r="H45" s="292">
        <f>SUMPRODUCT((Production_Log!$F$3:$F$8963=F45)*(LEFT(Production_Log!$B$3:$B$8963,5)="Print")*(ISERROR(SEARCH("(Varnish)",Production_Log!$D$3:$D$8963)))*Production_Log!$H$3:$H$8963)</f>
        <v/>
      </c>
      <c r="I45" s="291">
        <f>G45-H45</f>
        <v/>
      </c>
      <c r="J45" s="293">
        <f>IF(G45=0,"-",H45/G45)</f>
        <v/>
      </c>
      <c r="K45" s="292" t="n"/>
      <c r="L45" s="294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37">
      <c r="A46" s="136" t="n"/>
      <c r="B46" s="287" t="inlineStr">
        <is>
          <t>TUBE</t>
        </is>
      </c>
      <c r="C46" s="288" t="inlineStr">
        <is>
          <t>Al-Rehman Group</t>
        </is>
      </c>
      <c r="D46" s="289" t="inlineStr">
        <is>
          <t>SIGNATURE HAIR COLOR CREAM 60ML</t>
        </is>
      </c>
      <c r="E46" s="290" t="n">
        <v>30</v>
      </c>
      <c r="F46" s="291" t="n">
        <v>6416</v>
      </c>
      <c r="G46" s="291">
        <f>IFERROR(INDEX(MRP!$F$3:$F$10,MATCH(Tubex_Dashboard!F46,MRP!$D$3:$D$10,0)),0)</f>
        <v/>
      </c>
      <c r="H46" s="292">
        <f>SUMPRODUCT((Production_Log!$F$3:$F$8963=F46)*(LEFT(Production_Log!$B$3:$B$8963,5)="Print")*(ISERROR(SEARCH("(Varnish)",Production_Log!$D$3:$D$8963)))*Production_Log!$H$3:$H$8963)</f>
        <v/>
      </c>
      <c r="I46" s="291">
        <f>G46-H46</f>
        <v/>
      </c>
      <c r="J46" s="293">
        <f>IF(G46=0,"-",H46/G46)</f>
        <v/>
      </c>
      <c r="K46" s="292" t="n"/>
      <c r="L46" s="294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37">
      <c r="A47" s="136" t="n"/>
      <c r="B47" s="287" t="inlineStr">
        <is>
          <t>TUBE</t>
        </is>
      </c>
      <c r="C47" s="288" t="inlineStr">
        <is>
          <t>Al-Rehman Group</t>
        </is>
      </c>
      <c r="D47" s="289" t="inlineStr">
        <is>
          <t>ACTIVE PRO HAIR COLOR CREAM 60ML</t>
        </is>
      </c>
      <c r="E47" s="290" t="n">
        <v>30</v>
      </c>
      <c r="F47" s="291" t="n">
        <v>6337</v>
      </c>
      <c r="G47" s="291">
        <f>IFERROR(INDEX(MRP!$F$3:$F$10,MATCH(Tubex_Dashboard!F47,MRP!$D$3:$D$10,0)),0)</f>
        <v/>
      </c>
      <c r="H47" s="292">
        <f>SUMPRODUCT((Production_Log!$F$3:$F$8963=F47)*(LEFT(Production_Log!$B$3:$B$8963,5)="Print")*(ISERROR(SEARCH("(Varnish)",Production_Log!$D$3:$D$8963)))*Production_Log!$H$3:$H$8963)</f>
        <v/>
      </c>
      <c r="I47" s="291">
        <f>G47-H47</f>
        <v/>
      </c>
      <c r="J47" s="293">
        <f>IF(G47=0,"-",H47/G47)</f>
        <v/>
      </c>
      <c r="K47" s="292" t="n"/>
      <c r="L47" s="294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37">
      <c r="A48" s="136" t="n"/>
      <c r="B48" s="287" t="inlineStr">
        <is>
          <t>TUBE</t>
        </is>
      </c>
      <c r="C48" s="288" t="inlineStr">
        <is>
          <t>Mablay Beauty PVT LTD.</t>
        </is>
      </c>
      <c r="D48" s="289" t="inlineStr">
        <is>
          <t>VINCE NURTURAL (Varnish)</t>
        </is>
      </c>
      <c r="E48" s="290" t="n">
        <v>30</v>
      </c>
      <c r="F48" s="291" t="n">
        <v>9002</v>
      </c>
      <c r="G48" s="291">
        <f>IFERROR(INDEX(MRP!$F$3:$F$10,MATCH(Tubex_Dashboard!F48,MRP!$D$3:$D$10,0)),0)</f>
        <v/>
      </c>
      <c r="H48" s="292">
        <f>SUMPRODUCT((Production_Log!$F$3:$F$8963=F48)*(LEFT(Production_Log!$B$3:$B$8963,5)="Print")*(ISERROR(SEARCH("(Varnish)",Production_Log!$D$3:$D$8963)))*Production_Log!$H$3:$H$8963)</f>
        <v/>
      </c>
      <c r="I48" s="291">
        <f>G48-H48</f>
        <v/>
      </c>
      <c r="J48" s="293">
        <f>IF(G48=0,"-",H48/G48)</f>
        <v/>
      </c>
      <c r="K48" s="292" t="n"/>
      <c r="L48" s="294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37">
      <c r="A49" s="136" t="n"/>
      <c r="B49" s="287" t="inlineStr">
        <is>
          <t>TUBE</t>
        </is>
      </c>
      <c r="C49" s="288" t="inlineStr">
        <is>
          <t>Professional Beauty Solution (PVT) LTD.Pakistan</t>
        </is>
      </c>
      <c r="D49" s="289" t="inlineStr">
        <is>
          <t>EAZICOLOR PREMIUM HAIR COLOUR 60ML</t>
        </is>
      </c>
      <c r="E49" s="290" t="n">
        <v>30</v>
      </c>
      <c r="F49" s="291" t="n">
        <v>4050</v>
      </c>
      <c r="G49" s="291">
        <f>IFERROR(INDEX(MRP!$F$3:$F$10,MATCH(Tubex_Dashboard!F49,MRP!$D$3:$D$10,0)),0)</f>
        <v/>
      </c>
      <c r="H49" s="292">
        <f>SUMPRODUCT((Production_Log!$F$3:$F$8963=F49)*(LEFT(Production_Log!$B$3:$B$8963,5)="Print")*(ISERROR(SEARCH("(Varnish)",Production_Log!$D$3:$D$8963)))*Production_Log!$H$3:$H$8963)</f>
        <v/>
      </c>
      <c r="I49" s="291">
        <f>G49-H49</f>
        <v/>
      </c>
      <c r="J49" s="293">
        <f>IF(G49=0,"-",H49/G49)</f>
        <v/>
      </c>
      <c r="K49" s="292" t="n"/>
      <c r="L49" s="294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37">
      <c r="A50" s="136" t="n"/>
      <c r="B50" s="287" t="inlineStr">
        <is>
          <t>TUBE</t>
        </is>
      </c>
      <c r="C50" s="288" t="inlineStr">
        <is>
          <t>Professional Beauty Solution (PVT) LTD.Pakistan</t>
        </is>
      </c>
      <c r="D50" s="289" t="inlineStr">
        <is>
          <t>HIBA S HAIR COLOR 60ML</t>
        </is>
      </c>
      <c r="E50" s="290" t="n">
        <v>30</v>
      </c>
      <c r="F50" s="291" t="n">
        <v>6312</v>
      </c>
      <c r="G50" s="291">
        <f>IFERROR(INDEX(MRP!$F$3:$F$10,MATCH(Tubex_Dashboard!F50,MRP!$D$3:$D$10,0)),0)</f>
        <v/>
      </c>
      <c r="H50" s="292">
        <f>SUMPRODUCT((Production_Log!$F$3:$F$8963=F50)*(LEFT(Production_Log!$B$3:$B$8963,5)="Print")*(ISERROR(SEARCH("(Varnish)",Production_Log!$D$3:$D$8963)))*Production_Log!$H$3:$H$8963)</f>
        <v/>
      </c>
      <c r="I50" s="291">
        <f>G50-H50</f>
        <v/>
      </c>
      <c r="J50" s="293">
        <f>IF(G50=0,"-",H50/G50)</f>
        <v/>
      </c>
      <c r="K50" s="292" t="n"/>
      <c r="L50" s="294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37">
      <c r="A51" s="136" t="n"/>
      <c r="B51" s="287" t="inlineStr">
        <is>
          <t>TUBE</t>
        </is>
      </c>
      <c r="C51" s="288" t="inlineStr">
        <is>
          <t>Professional Beauty Solution (PVT) LTD.Pakistan</t>
        </is>
      </c>
      <c r="D51" s="289" t="inlineStr">
        <is>
          <t>EAZI COLOR PERMANENT HAIR COLOUR 60ML</t>
        </is>
      </c>
      <c r="E51" s="290" t="n">
        <v>30</v>
      </c>
      <c r="F51" s="291" t="n">
        <v>2909</v>
      </c>
      <c r="G51" s="291">
        <f>IFERROR(INDEX(MRP!$F$3:$F$10,MATCH(Tubex_Dashboard!F51,MRP!$D$3:$D$10,0)),0)</f>
        <v/>
      </c>
      <c r="H51" s="292">
        <f>SUMPRODUCT((Production_Log!$F$3:$F$8963=F51)*(LEFT(Production_Log!$B$3:$B$8963,5)="Print")*(ISERROR(SEARCH("(Varnish)",Production_Log!$D$3:$D$8963)))*Production_Log!$H$3:$H$8963)</f>
        <v/>
      </c>
      <c r="I51" s="291">
        <f>G51-H51</f>
        <v/>
      </c>
      <c r="J51" s="293">
        <f>IF(G51=0,"-",H51/G51)</f>
        <v/>
      </c>
      <c r="K51" s="292" t="n"/>
      <c r="L51" s="294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37">
      <c r="A52" s="136" t="n"/>
      <c r="B52" s="287" t="inlineStr">
        <is>
          <t>TUBE</t>
        </is>
      </c>
      <c r="C52" s="288" t="inlineStr">
        <is>
          <t>Mateen Sons</t>
        </is>
      </c>
      <c r="D52" s="289" t="inlineStr">
        <is>
          <t>GP DIA 30MM</t>
        </is>
      </c>
      <c r="E52" s="290" t="n">
        <v>30</v>
      </c>
      <c r="F52" s="291" t="n">
        <v>6151</v>
      </c>
      <c r="G52" s="291">
        <f>IFERROR(INDEX(MRP!$F$3:$F$10,MATCH(Tubex_Dashboard!F52,MRP!$D$3:$D$10,0)),0)</f>
        <v/>
      </c>
      <c r="H52" s="292">
        <f>SUMPRODUCT((Production_Log!$F$3:$F$8963=F52)*(LEFT(Production_Log!$B$3:$B$8963,5)="Print")*(ISERROR(SEARCH("(Varnish)",Production_Log!$D$3:$D$8963)))*Production_Log!$H$3:$H$8963)</f>
        <v/>
      </c>
      <c r="I52" s="291">
        <f>G52-H52</f>
        <v/>
      </c>
      <c r="J52" s="293">
        <f>IF(G52=0,"-",H52/G52)</f>
        <v/>
      </c>
      <c r="K52" s="292" t="n"/>
      <c r="L52" s="294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37">
      <c r="A53" s="136" t="n"/>
      <c r="B53" s="287" t="inlineStr">
        <is>
          <t>TUBE</t>
        </is>
      </c>
      <c r="C53" s="288" t="inlineStr">
        <is>
          <t>Hola Hair</t>
        </is>
      </c>
      <c r="D53" s="289" t="inlineStr">
        <is>
          <t>H.H 100GM</t>
        </is>
      </c>
      <c r="E53" s="290" t="n">
        <v>32</v>
      </c>
      <c r="F53" s="291" t="n">
        <v>6515</v>
      </c>
      <c r="G53" s="291">
        <f>IFERROR(INDEX(MRP!$F$3:$F$10,MATCH(Tubex_Dashboard!F53,MRP!$D$3:$D$10,0)),0)</f>
        <v/>
      </c>
      <c r="H53" s="292">
        <f>SUMPRODUCT((Production_Log!$F$3:$F$8963=F53)*(LEFT(Production_Log!$B$3:$B$8963,5)="Print")*(ISERROR(SEARCH("(Varnish)",Production_Log!$D$3:$D$8963)))*Production_Log!$H$3:$H$8963)</f>
        <v/>
      </c>
      <c r="I53" s="291">
        <f>G53-H53</f>
        <v/>
      </c>
      <c r="J53" s="293">
        <f>IF(G53=0,"-",H53/G53)</f>
        <v/>
      </c>
      <c r="K53" s="292" t="n"/>
      <c r="L53" s="294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37">
      <c r="A54" s="136" t="n"/>
      <c r="B54" s="287" t="inlineStr">
        <is>
          <t>TUBE</t>
        </is>
      </c>
      <c r="C54" s="288" t="inlineStr">
        <is>
          <t>Mega Grey</t>
        </is>
      </c>
      <c r="D54" s="289" t="inlineStr">
        <is>
          <t>M.G</t>
        </is>
      </c>
      <c r="E54" s="290" t="n">
        <v>32</v>
      </c>
      <c r="F54" s="291" t="n">
        <v>5782</v>
      </c>
      <c r="G54" s="291">
        <f>IFERROR(INDEX(MRP!$F$3:$F$10,MATCH(Tubex_Dashboard!F54,MRP!$D$3:$D$10,0)),0)</f>
        <v/>
      </c>
      <c r="H54" s="292">
        <f>SUMPRODUCT((Production_Log!$F$3:$F$8963=F54)*(LEFT(Production_Log!$B$3:$B$8963,5)="Print")*(ISERROR(SEARCH("(Varnish)",Production_Log!$D$3:$D$8963)))*Production_Log!$H$3:$H$8963)</f>
        <v/>
      </c>
      <c r="I54" s="291">
        <f>G54-H54</f>
        <v/>
      </c>
      <c r="J54" s="293">
        <f>IF(G54=0,"-",H54/G54)</f>
        <v/>
      </c>
      <c r="K54" s="292" t="n"/>
      <c r="L54" s="294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37">
      <c r="A55" s="136" t="n"/>
      <c r="B55" s="287" t="inlineStr">
        <is>
          <t>TUBE</t>
        </is>
      </c>
      <c r="C55" s="288" t="inlineStr">
        <is>
          <t>Adore</t>
        </is>
      </c>
      <c r="D55" s="289" t="inlineStr">
        <is>
          <t>V-HC BLACK</t>
        </is>
      </c>
      <c r="E55" s="290" t="n">
        <v>35</v>
      </c>
      <c r="F55" s="291" t="n">
        <v>6531</v>
      </c>
      <c r="G55" s="291">
        <f>IFERROR(INDEX(MRP!$F$3:$F$10,MATCH(Tubex_Dashboard!F55,MRP!$D$3:$D$10,0)),0)</f>
        <v/>
      </c>
      <c r="H55" s="292">
        <f>SUMPRODUCT((Production_Log!$F$3:$F$8963=F55)*(LEFT(Production_Log!$B$3:$B$8963,5)="Print")*(ISERROR(SEARCH("(Varnish)",Production_Log!$D$3:$D$8963)))*Production_Log!$H$3:$H$8963)</f>
        <v/>
      </c>
      <c r="I55" s="291">
        <f>G55-H55</f>
        <v/>
      </c>
      <c r="J55" s="293">
        <f>IF(G55=0,"-",H55/G55)</f>
        <v/>
      </c>
      <c r="K55" s="292" t="n"/>
      <c r="L55" s="294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37">
      <c r="A56" s="136" t="n"/>
      <c r="B56" s="287" t="inlineStr">
        <is>
          <t>TUBE</t>
        </is>
      </c>
      <c r="C56" s="288" t="inlineStr">
        <is>
          <t>Adore</t>
        </is>
      </c>
      <c r="D56" s="289" t="inlineStr">
        <is>
          <t>ANVIL 43</t>
        </is>
      </c>
      <c r="E56" s="290" t="n">
        <v>35</v>
      </c>
      <c r="F56" s="291" t="n">
        <v>6020</v>
      </c>
      <c r="G56" s="291">
        <f>IFERROR(INDEX(MRP!$F$3:$F$10,MATCH(Tubex_Dashboard!F56,MRP!$D$3:$D$10,0)),0)</f>
        <v/>
      </c>
      <c r="H56" s="292">
        <f>SUMPRODUCT((Production_Log!$F$3:$F$8963=F56)*(LEFT(Production_Log!$B$3:$B$8963,5)="Print")*(ISERROR(SEARCH("(Varnish)",Production_Log!$D$3:$D$8963)))*Production_Log!$H$3:$H$8963)</f>
        <v/>
      </c>
      <c r="I56" s="291">
        <f>G56-H56</f>
        <v/>
      </c>
      <c r="J56" s="293">
        <f>IF(G56=0,"-",H56/G56)</f>
        <v/>
      </c>
      <c r="K56" s="292" t="n"/>
      <c r="L56" s="294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37">
      <c r="A57" s="136" t="n"/>
      <c r="B57" s="287" t="inlineStr">
        <is>
          <t>TUBE</t>
        </is>
      </c>
      <c r="C57" s="288" t="inlineStr">
        <is>
          <t>Adore</t>
        </is>
      </c>
      <c r="D57" s="289" t="inlineStr">
        <is>
          <t>ANVIL 45</t>
        </is>
      </c>
      <c r="E57" s="290" t="n">
        <v>35</v>
      </c>
      <c r="F57" s="291" t="n">
        <v>6021</v>
      </c>
      <c r="G57" s="291">
        <f>IFERROR(INDEX(MRP!$F$3:$F$10,MATCH(Tubex_Dashboard!F57,MRP!$D$3:$D$10,0)),0)</f>
        <v/>
      </c>
      <c r="H57" s="292">
        <f>SUMPRODUCT((Production_Log!$F$3:$F$8963=F57)*(LEFT(Production_Log!$B$3:$B$8963,5)="Print")*(ISERROR(SEARCH("(Varnish)",Production_Log!$D$3:$D$8963)))*Production_Log!$H$3:$H$8963)</f>
        <v/>
      </c>
      <c r="I57" s="291">
        <f>G57-H57</f>
        <v/>
      </c>
      <c r="J57" s="293">
        <f>IF(G57=0,"-",H57/G57)</f>
        <v/>
      </c>
      <c r="K57" s="292" t="n"/>
      <c r="L57" s="294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37">
      <c r="A58" s="136" t="n"/>
      <c r="B58" s="287" t="inlineStr">
        <is>
          <t>PET</t>
        </is>
      </c>
      <c r="C58" s="288" t="inlineStr">
        <is>
          <t>Samsol International Private Limited</t>
        </is>
      </c>
      <c r="D58" s="289" t="inlineStr">
        <is>
          <t>BLACK SMALL BOTTLE 120ML</t>
        </is>
      </c>
      <c r="E58" s="290" t="inlineStr">
        <is>
          <t>120 ml</t>
        </is>
      </c>
      <c r="F58" s="291" t="n">
        <v>8011</v>
      </c>
      <c r="G58" s="291" t="n">
        <v>0</v>
      </c>
      <c r="H58" s="292">
        <f>SUMPRODUCT((Production_Log!$F$3:$F$8963=F58)*Production_Log!$H$3:$H$8963)</f>
        <v/>
      </c>
      <c r="I58" s="291">
        <f>G58-H58</f>
        <v/>
      </c>
      <c r="J58" s="293">
        <f>IF(G58=0,"-",H58/G58)</f>
        <v/>
      </c>
      <c r="K58" s="292" t="n"/>
      <c r="L58" s="294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37">
      <c r="A59" s="136" t="n"/>
      <c r="B59" s="287" t="inlineStr">
        <is>
          <t>PET</t>
        </is>
      </c>
      <c r="C59" s="288" t="inlineStr">
        <is>
          <t>Samsol International Private Limited</t>
        </is>
      </c>
      <c r="D59" s="289" t="inlineStr">
        <is>
          <t>WHITE SMALL BOTTLE 120ML</t>
        </is>
      </c>
      <c r="E59" s="290" t="inlineStr">
        <is>
          <t>120 ml</t>
        </is>
      </c>
      <c r="F59" s="291" t="n">
        <v>8012</v>
      </c>
      <c r="G59" s="291" t="n">
        <v>0</v>
      </c>
      <c r="H59" s="292">
        <f>SUMPRODUCT((Production_Log!$F$3:$F$8963=F59)*Production_Log!$H$3:$H$8963)</f>
        <v/>
      </c>
      <c r="I59" s="291">
        <f>G59-H59</f>
        <v/>
      </c>
      <c r="J59" s="293">
        <f>IF(G59=0,"-",H59/G59)</f>
        <v/>
      </c>
      <c r="K59" s="292" t="n"/>
      <c r="L59" s="294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37">
      <c r="A60" s="136" t="n"/>
      <c r="B60" s="287" t="inlineStr">
        <is>
          <t>PET</t>
        </is>
      </c>
      <c r="C60" s="288" t="inlineStr">
        <is>
          <t>Alpha Labs PVT LTD</t>
        </is>
      </c>
      <c r="D60" s="289" t="inlineStr">
        <is>
          <t>PET BOTTLE SMALL (130ML) TRANSPARENT</t>
        </is>
      </c>
      <c r="E60" s="290" t="inlineStr">
        <is>
          <t>130 ml</t>
        </is>
      </c>
      <c r="F60" s="291" t="n">
        <v>8010</v>
      </c>
      <c r="G60" s="291" t="n">
        <v>0</v>
      </c>
      <c r="H60" s="292">
        <f>SUMPRODUCT((Production_Log!$F$3:$F$8963=F60)*Production_Log!$H$3:$H$8963)</f>
        <v/>
      </c>
      <c r="I60" s="291">
        <f>G60-H60</f>
        <v/>
      </c>
      <c r="J60" s="293">
        <f>IF(G60=0,"-",H60/G60)</f>
        <v/>
      </c>
      <c r="K60" s="292" t="n"/>
      <c r="L60" s="294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7" t="inlineStr">
        <is>
          <t>PET</t>
        </is>
      </c>
      <c r="C61" s="288" t="inlineStr">
        <is>
          <t>Samsol International Private Limited</t>
        </is>
      </c>
      <c r="D61" s="289" t="inlineStr">
        <is>
          <t>BLACK BOTTLE 200ML</t>
        </is>
      </c>
      <c r="E61" s="290" t="inlineStr">
        <is>
          <t>200 ml</t>
        </is>
      </c>
      <c r="F61" s="291" t="n">
        <v>8008</v>
      </c>
      <c r="G61" s="291" t="n">
        <v>0</v>
      </c>
      <c r="H61" s="292">
        <f>SUMPRODUCT((Production_Log!$F$3:$F$8963=F61)*Production_Log!$H$3:$H$8963)</f>
        <v/>
      </c>
      <c r="I61" s="291">
        <f>G61-H61</f>
        <v/>
      </c>
      <c r="J61" s="293">
        <f>IF(G61=0,"-",H61/G61)</f>
        <v/>
      </c>
      <c r="K61" s="292" t="n"/>
      <c r="L61" s="294" t="n"/>
    </row>
    <row r="62">
      <c r="B62" s="287" t="inlineStr">
        <is>
          <t>PET</t>
        </is>
      </c>
      <c r="C62" s="288" t="inlineStr">
        <is>
          <t>Mablay Beauty PVT LTD.</t>
        </is>
      </c>
      <c r="D62" s="289" t="inlineStr">
        <is>
          <t>TRANSPARENT BOTTLE 300ML</t>
        </is>
      </c>
      <c r="E62" s="290" t="inlineStr">
        <is>
          <t>300 ml</t>
        </is>
      </c>
      <c r="F62" s="291" t="n">
        <v>8009</v>
      </c>
      <c r="G62" s="291" t="n">
        <v>0</v>
      </c>
      <c r="H62" s="292">
        <f>SUMPRODUCT((Production_Log!$F$3:$F$8963=F62)*Production_Log!$H$3:$H$8963)</f>
        <v/>
      </c>
      <c r="I62" s="291">
        <f>G62-H62</f>
        <v/>
      </c>
      <c r="J62" s="293">
        <f>IF(G62=0,"-",H62/G62)</f>
        <v/>
      </c>
      <c r="K62" s="292" t="n"/>
      <c r="L62" s="294" t="n"/>
    </row>
    <row r="63">
      <c r="B63" s="287" t="inlineStr">
        <is>
          <t>PET</t>
        </is>
      </c>
      <c r="C63" s="288" t="inlineStr">
        <is>
          <t>Mablay Beauty PVT LTD.</t>
        </is>
      </c>
      <c r="D63" s="289" t="inlineStr">
        <is>
          <t>TRANSPARENT JAR 500ML</t>
        </is>
      </c>
      <c r="E63" s="290" t="inlineStr">
        <is>
          <t>500 ml</t>
        </is>
      </c>
      <c r="F63" s="291" t="n">
        <v>8013</v>
      </c>
      <c r="G63" s="291" t="n">
        <v>0</v>
      </c>
      <c r="H63" s="292">
        <f>SUMPRODUCT((Production_Log!$F$3:$F$8963=F63)*Production_Log!$H$3:$H$8963)</f>
        <v/>
      </c>
      <c r="I63" s="291">
        <f>G63-H63</f>
        <v/>
      </c>
      <c r="J63" s="293">
        <f>IF(G63=0,"-",H63/G63)</f>
        <v/>
      </c>
      <c r="K63" s="292" t="n"/>
      <c r="L63" s="294" t="n"/>
    </row>
    <row r="64">
      <c r="B64" s="299" t="n"/>
      <c r="C64" s="299" t="n"/>
      <c r="D64" s="299" t="n"/>
      <c r="E64" s="299" t="n"/>
      <c r="F64" s="299" t="n"/>
      <c r="G64" s="299" t="n"/>
      <c r="H64" s="299" t="n"/>
      <c r="I64" s="299" t="n"/>
      <c r="J64" s="299" t="n"/>
      <c r="K64" s="299" t="n"/>
      <c r="L64" s="299" t="n"/>
    </row>
    <row r="65">
      <c r="B65" s="299" t="n"/>
      <c r="C65" s="299" t="n"/>
      <c r="D65" s="299" t="n"/>
      <c r="E65" s="299" t="n"/>
      <c r="F65" s="299" t="n"/>
      <c r="G65" s="299" t="n"/>
      <c r="H65" s="299" t="n"/>
      <c r="I65" s="299" t="n"/>
      <c r="J65" s="299" t="n"/>
      <c r="K65" s="299" t="n"/>
      <c r="L65" s="299" t="n"/>
    </row>
    <row r="66">
      <c r="B66" s="299" t="n"/>
      <c r="C66" s="299" t="n"/>
      <c r="D66" s="299" t="n"/>
      <c r="E66" s="299" t="n"/>
      <c r="F66" s="299" t="n"/>
      <c r="G66" s="299" t="n"/>
      <c r="H66" s="299" t="n"/>
      <c r="I66" s="299" t="n"/>
      <c r="J66" s="299" t="n"/>
      <c r="K66" s="299" t="n"/>
      <c r="L66" s="299" t="n"/>
    </row>
    <row r="67" ht="15" customHeight="1" s="237">
      <c r="B67" s="299" t="n"/>
      <c r="C67" s="299" t="n"/>
      <c r="D67" s="299" t="n"/>
      <c r="E67" s="299" t="n"/>
      <c r="F67" s="299" t="n"/>
      <c r="G67" s="299" t="n"/>
      <c r="H67" s="299" t="n"/>
      <c r="I67" s="299" t="n"/>
      <c r="J67" s="299" t="n"/>
      <c r="K67" s="299" t="n"/>
      <c r="L67" s="299" t="n"/>
    </row>
    <row r="68" ht="15" customHeight="1" s="237">
      <c r="B68" s="299" t="n"/>
      <c r="C68" s="299" t="n"/>
      <c r="D68" s="299" t="n"/>
      <c r="E68" s="299" t="n"/>
      <c r="F68" s="299" t="n"/>
      <c r="G68" s="299" t="n"/>
      <c r="H68" s="299" t="n"/>
      <c r="I68" s="299" t="n"/>
      <c r="J68" s="299" t="n"/>
      <c r="K68" s="299" t="n"/>
      <c r="L68" s="299" t="n"/>
    </row>
    <row r="69" ht="15" customHeight="1" s="237">
      <c r="B69" s="299" t="n"/>
      <c r="C69" s="299" t="n"/>
      <c r="D69" s="299" t="n"/>
      <c r="E69" s="299" t="n"/>
      <c r="F69" s="299" t="n"/>
      <c r="G69" s="299" t="n"/>
      <c r="H69" s="299" t="n"/>
      <c r="I69" s="299" t="n"/>
      <c r="J69" s="299" t="n"/>
      <c r="K69" s="299" t="n"/>
      <c r="L69" s="299" t="n"/>
    </row>
    <row r="70" ht="15" customHeight="1" s="237">
      <c r="B70" s="299" t="n"/>
      <c r="C70" s="299" t="n"/>
      <c r="D70" s="299" t="n"/>
      <c r="E70" s="299" t="n"/>
      <c r="F70" s="299" t="n"/>
      <c r="G70" s="299" t="n"/>
      <c r="H70" s="299" t="n"/>
      <c r="I70" s="299" t="n"/>
      <c r="J70" s="299" t="n"/>
      <c r="K70" s="299" t="n"/>
      <c r="L70" s="299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9"/>
  <sheetViews>
    <sheetView tabSelected="1" zoomScaleNormal="100" workbookViewId="0">
      <selection activeCell="E31" sqref="E31"/>
    </sheetView>
  </sheetViews>
  <sheetFormatPr baseColWidth="8" defaultColWidth="8.7109375" defaultRowHeight="15"/>
  <cols>
    <col width="9" customWidth="1" style="237" min="1" max="1"/>
    <col width="30.5703125" customWidth="1" style="237" min="2" max="2"/>
    <col width="31.7109375" customWidth="1" style="238" min="3" max="3"/>
    <col width="9.85546875" customWidth="1" style="237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38" min="9" max="9"/>
    <col width="14" customWidth="1" style="237" min="10" max="10"/>
    <col width="12" customWidth="1" style="237" min="11" max="11"/>
    <col width="24" customWidth="1" style="237" min="12" max="13"/>
    <col width="12" customWidth="1" style="237" min="14" max="14"/>
    <col width="24" customWidth="1" style="237" min="15" max="15"/>
  </cols>
  <sheetData>
    <row r="1" ht="30" customHeight="1" s="237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37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37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37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37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37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37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37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13300</v>
      </c>
      <c r="G9" s="19">
        <f>INDEX(Tubex_Dashboard!$H$11:$H$58,MATCH(MRP!D9,Tubex_Dashboard!$F$11:$F$58,0))</f>
        <v/>
      </c>
      <c r="H9" s="20">
        <f>F9-G9</f>
        <v/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37">
      <c r="A10" s="256" t="n">
        <v>30</v>
      </c>
      <c r="B10" s="256" t="inlineStr">
        <is>
          <t>Golden Pearl Cosmetics (PVT) LTD</t>
        </is>
      </c>
      <c r="C10" s="257" t="inlineStr">
        <is>
          <t>HELLO HAIR COLOR</t>
        </is>
      </c>
      <c r="D10" s="256" t="n">
        <v>6206</v>
      </c>
      <c r="E10" s="258" t="inlineStr">
        <is>
          <t>Awaited</t>
        </is>
      </c>
      <c r="F10" s="258" t="n">
        <v>300000</v>
      </c>
      <c r="G10" s="259">
        <f>INDEX(Tubex_Dashboard!$H$11:$H$100,MATCH(MRP!D10,Tubex_Dashboard!$F$11:$F$100,0))</f>
        <v/>
      </c>
      <c r="H10" s="260">
        <f>F10-G10</f>
        <v/>
      </c>
      <c r="I10" s="260" t="inlineStr">
        <is>
          <t>New Order</t>
        </is>
      </c>
    </row>
    <row r="11" ht="24" customHeight="1" s="237">
      <c r="A11" s="12" t="n"/>
      <c r="B11" s="12" t="n"/>
      <c r="C11" s="13" t="n"/>
      <c r="D11" s="13" t="n"/>
      <c r="E11" s="14" t="inlineStr">
        <is>
          <t>TOTAL:</t>
        </is>
      </c>
      <c r="F11" s="156">
        <f>SUM(F3:F10)</f>
        <v/>
      </c>
      <c r="G11" s="156">
        <f>SUM(G3:G10)</f>
        <v/>
      </c>
      <c r="H11" s="156">
        <f>SUMIF(H3:H10, "&gt;0")</f>
        <v/>
      </c>
      <c r="I11" s="12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" t="n"/>
    </row>
    <row r="12" ht="24" customHeight="1" s="237">
      <c r="A12" s="23" t="inlineStr">
        <is>
          <t>JUNE TUBES MATERIAL REQUIREMENT PLAN</t>
        </is>
      </c>
      <c r="B12" s="24" t="n"/>
      <c r="C12" s="24" t="n"/>
      <c r="D12" s="24" t="n"/>
      <c r="E12" s="25" t="n"/>
      <c r="F12" s="25" t="n"/>
      <c r="G12" s="26" t="n"/>
      <c r="H12" s="25" t="n"/>
      <c r="I12" s="24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</t>
        </is>
      </c>
      <c r="D13" s="12" t="inlineStr">
        <is>
          <t>UOM</t>
        </is>
      </c>
      <c r="E13" s="14" t="inlineStr">
        <is>
          <t>Required Qty</t>
        </is>
      </c>
      <c r="F13" s="14" t="inlineStr">
        <is>
          <t>Current Stock (Store + WIP)</t>
        </is>
      </c>
      <c r="G13" s="15" t="inlineStr">
        <is>
          <t>Surplus / (Deficit)</t>
        </is>
      </c>
      <c r="H13" s="13" t="inlineStr">
        <is>
          <t>Product Name(s)</t>
        </is>
      </c>
      <c r="I13" s="12" t="inlineStr">
        <is>
          <t>Status</t>
        </is>
      </c>
      <c r="J13" s="12" t="inlineStr">
        <is>
          <t>FG Caps On Hold (pcs)</t>
        </is>
      </c>
      <c r="K13" s="12" t="inlineStr">
        <is>
          <t>ORDER QTY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37">
      <c r="A14" s="21" t="n">
        <v>33</v>
      </c>
      <c r="B14" s="21" t="inlineStr">
        <is>
          <t>SLUG</t>
        </is>
      </c>
      <c r="C14" s="21" t="inlineStr">
        <is>
          <t>12.5X4.5X4.8</t>
        </is>
      </c>
      <c r="D14" s="21" t="inlineStr">
        <is>
          <t>kg</t>
        </is>
      </c>
      <c r="E14" s="27">
        <f>SUMPRODUCT((TableBOM[Item ID]=A14)*TableBOM[Per 1000 Units]*(1+TableBOM[Scrap %])*SUMIF($D$3:$D$10,TableBOM[Product ID],$H$3:$H$10)/1000)</f>
        <v/>
      </c>
      <c r="F14" s="27">
        <f>IFERROR(INDEX(TableInventory[Store Balance],MATCH(A13,TableInventory[Item ID],0)),0)+IFERROR(INDEX(TableInventory[Work In Process],MATCH(A13,TableInventory[Item ID],0)),0)</f>
        <v/>
      </c>
      <c r="G14" s="31">
        <f>F13-E13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>
        <f>IF(E13=0,"Not needed",IF(G13&lt;0,"SHORTAGE",IF(G13&lt;F13*0.1,"LOW","OK")))</f>
        <v/>
      </c>
      <c r="J14" s="30">
        <f>IF(B13&lt;&gt;"CAP","",SUMPRODUCT((ISNUMBER(SEARCH("Cap Not Available",'FG Stock'!$H$4:$H$100)))*('FG Stock'!$I$4:$I$100=A13)*'FG Stock'!$F$4:$F$100))</f>
        <v/>
      </c>
      <c r="K14" s="30">
        <f>IF(E13=0,"",MAX(0,E13+IFERROR(J13*1,0)-F13))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31</v>
      </c>
      <c r="B15" s="21" t="inlineStr">
        <is>
          <t>SLUG</t>
        </is>
      </c>
      <c r="C15" s="21" t="inlineStr">
        <is>
          <t>13.5X4.2</t>
        </is>
      </c>
      <c r="D15" s="21" t="inlineStr">
        <is>
          <t>kg</t>
        </is>
      </c>
      <c r="E15" s="27">
        <f>SUMPRODUCT((TableBOM[Item ID]=A15)*TableBOM[Per 1000 Units]*(1+TableBOM[Scrap %])*SUMIF($D$3:$D$10,TableBOM[Product ID],$H$3:$H$10)/1000)</f>
        <v/>
      </c>
      <c r="F15" s="27">
        <f>IFERROR(INDEX(TableInventory[Store Balance],MATCH(A14,TableInventory[Item ID],0)),0)+IFERROR(INDEX(TableInventory[Work In Process],MATCH(A14,TableInventory[Item ID],0)),0)</f>
        <v/>
      </c>
      <c r="G15" s="31">
        <f>F14-E14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>
        <f>IF(E14=0,"Not needed",IF(G14&lt;0,"SHORTAGE",IF(G14&lt;F14*0.1,"LOW","OK")))</f>
        <v/>
      </c>
      <c r="J15" s="30">
        <f>IF(B14&lt;&gt;"CAP","",SUMPRODUCT((ISNUMBER(SEARCH("Cap Not Available",'FG Stock'!$H$4:$H$100)))*('FG Stock'!$I$4:$I$100=A14)*'FG Stock'!$F$4:$F$100))</f>
        <v/>
      </c>
      <c r="K15" s="30">
        <f>IF(E14=0,"",MAX(0,E14+IFERROR(J14*1,0)-F14))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37">
      <c r="A16" s="21" t="n">
        <v>2799</v>
      </c>
      <c r="B16" s="21" t="inlineStr">
        <is>
          <t>SLUG</t>
        </is>
      </c>
      <c r="C16" s="21" t="inlineStr">
        <is>
          <t>16x4.5</t>
        </is>
      </c>
      <c r="D16" s="21" t="inlineStr">
        <is>
          <t>kg</t>
        </is>
      </c>
      <c r="E16" s="27">
        <f>SUMPRODUCT((TableBOM[Item ID]=A16)*TableBOM[Per 1000 Units]*(1+TableBOM[Scrap %])*SUMIF($D$3:$D$10,TableBOM[Product ID],$H$3:$H$10)/1000)</f>
        <v/>
      </c>
      <c r="F16" s="27">
        <f>IFERROR(INDEX(TableInventory[Store Balance],MATCH(A15,TableInventory[Item ID],0)),0)+IFERROR(INDEX(TableInventory[Work In Process],MATCH(A15,TableInventory[Item ID],0)),0)</f>
        <v/>
      </c>
      <c r="G16" s="31">
        <f>F15-E15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I16" s="30">
        <f>IF(E15=0,"Not needed",IF(G15&lt;0,"SHORTAGE",IF(G15&lt;F15*0.1,"LOW","OK")))</f>
        <v/>
      </c>
      <c r="J16" s="30">
        <f>IF(B15&lt;&gt;"CAP","",SUMPRODUCT((ISNUMBER(SEARCH("Cap Not Available",'FG Stock'!$H$4:$H$100)))*('FG Stock'!$I$4:$I$100=A15)*'FG Stock'!$F$4:$F$100))</f>
        <v/>
      </c>
      <c r="K16" s="30">
        <f>IF(E15=0,"",MAX(0,E15+IFERROR(J15*1,0)-F15))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37">
      <c r="A17" s="21" t="n">
        <v>25</v>
      </c>
      <c r="B17" s="21" t="inlineStr">
        <is>
          <t>SLUG</t>
        </is>
      </c>
      <c r="C17" s="21" t="inlineStr">
        <is>
          <t>16X4.8 S/M</t>
        </is>
      </c>
      <c r="D17" s="21" t="inlineStr">
        <is>
          <t>kg</t>
        </is>
      </c>
      <c r="E17" s="32">
        <f>SUMPRODUCT((TableBOM[Item ID]=A17)*TableBOM[Per 1000 Units]*(1+TableBOM[Scrap %])*SUMIF($D$3:$D$10,TableBOM[Product ID],$H$3:$H$10)/1000)</f>
        <v/>
      </c>
      <c r="F17" s="32">
        <f>IFERROR(INDEX(TableInventory[Store Balance],MATCH(A16,TableInventory[Item ID],0)),0)+IFERROR(INDEX(TableInventory[Work In Process],MATCH(A16,TableInventory[Item ID],0)),0)</f>
        <v/>
      </c>
      <c r="G17" s="166">
        <f>F16-E16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>
        <f>IF(E16=0,"Not needed",IF(G16&lt;0,"SHORTAGE",IF(G16&lt;F16*0.1,"LOW","OK")))</f>
        <v/>
      </c>
      <c r="J17" s="30">
        <f>IF(B16&lt;&gt;"CAP","",SUMPRODUCT((ISNUMBER(SEARCH("Cap Not Available",'FG Stock'!$H$4:$H$100)))*('FG Stock'!$I$4:$I$100=A16)*'FG Stock'!$F$4:$F$100))</f>
        <v/>
      </c>
      <c r="K17" s="30">
        <f>IF(E16=0,"",MAX(0,E16+IFERROR(J16*1,0)-F16))</f>
        <v/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s="237">
      <c r="A18" s="21" t="n">
        <v>22</v>
      </c>
      <c r="B18" s="21" t="inlineStr">
        <is>
          <t>SLUG</t>
        </is>
      </c>
      <c r="C18" s="21" t="inlineStr">
        <is>
          <t>19X4.2</t>
        </is>
      </c>
      <c r="D18" s="21" t="inlineStr">
        <is>
          <t>kg</t>
        </is>
      </c>
      <c r="E18" s="32">
        <f>SUMPRODUCT((TableBOM[Item ID]=A18)*TableBOM[Per 1000 Units]*(1+TableBOM[Scrap %])*SUMIF($D$3:$D$10,TableBOM[Product ID],$H$3:$H$10)/1000)</f>
        <v/>
      </c>
      <c r="F18" s="32">
        <f>IFERROR(INDEX(TableInventory[Store Balance],MATCH(A17,TableInventory[Item ID],0)),0)+IFERROR(INDEX(TableInventory[Work In Process],MATCH(A17,TableInventory[Item ID],0)),0)</f>
        <v/>
      </c>
      <c r="G18" s="166">
        <f>F17-E17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>
        <f>IF(E17=0,"Not needed",IF(G17&lt;0,"SHORTAGE",IF(G17&lt;F17*0.1,"LOW","OK")))</f>
        <v/>
      </c>
      <c r="J18" s="30">
        <f>IF(B17&lt;&gt;"CAP","",SUMPRODUCT((ISNUMBER(SEARCH("Cap Not Available",'FG Stock'!$H$4:$H$100)))*('FG Stock'!$I$4:$I$100=A17)*'FG Stock'!$F$4:$F$100))</f>
        <v/>
      </c>
      <c r="K18" s="30">
        <f>IF(E17=0,"",MAX(0,E17+IFERROR(J17*1,0)-F17))</f>
        <v/>
      </c>
    </row>
    <row r="19" hidden="1" s="237">
      <c r="A19" s="21" t="n">
        <v>19</v>
      </c>
      <c r="B19" s="21" t="inlineStr">
        <is>
          <t>SLUG</t>
        </is>
      </c>
      <c r="C19" s="21" t="inlineStr">
        <is>
          <t>19X4.5 S/M</t>
        </is>
      </c>
      <c r="D19" s="21" t="inlineStr">
        <is>
          <t>kg</t>
        </is>
      </c>
      <c r="E19" s="27">
        <f>SUMPRODUCT((TableBOM[Item ID]=A19)*TableBOM[Per 1000 Units]*(1+TableBOM[Scrap %])*SUMIF($D$3:$D$10,TableBOM[Product ID],$H$3:$H$10)/1000)</f>
        <v/>
      </c>
      <c r="F19" s="27">
        <f>IFERROR(INDEX(TableInventory[Store Balance],MATCH(A18,TableInventory[Item ID],0)),0)+IFERROR(INDEX(TableInventory[Work In Process],MATCH(A18,TableInventory[Item ID],0)),0)</f>
        <v/>
      </c>
      <c r="G19" s="31">
        <f>F18-E18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>
        <f>IF(E18=0,"Not needed",IF(G18&lt;0,"SHORTAGE",IF(G18&lt;F18*0.1,"LOW","OK")))</f>
        <v/>
      </c>
      <c r="J19" s="30">
        <f>IF(B18&lt;&gt;"CAP","",SUMPRODUCT((ISNUMBER(SEARCH("Cap Not Available",'FG Stock'!$H$4:$H$100)))*('FG Stock'!$I$4:$I$100=A18)*'FG Stock'!$F$4:$F$100))</f>
        <v/>
      </c>
      <c r="K19" s="30">
        <f>IF(E18=0,"",MAX(0,E18+IFERROR(J18*1,0)-F18))</f>
        <v/>
      </c>
    </row>
    <row r="20" ht="24" customHeight="1" s="237">
      <c r="A20" s="21" t="n">
        <v>4179</v>
      </c>
      <c r="B20" s="21" t="inlineStr">
        <is>
          <t>SLUG</t>
        </is>
      </c>
      <c r="C20" s="21" t="inlineStr">
        <is>
          <t>20.5x4.5</t>
        </is>
      </c>
      <c r="D20" s="21" t="inlineStr">
        <is>
          <t>kg</t>
        </is>
      </c>
      <c r="E20" s="27">
        <f>SUMPRODUCT((TableBOM[Item ID]=A20)*TableBOM[Per 1000 Units]*(1+TableBOM[Scrap %])*SUMIF($D$3:$D$10,TableBOM[Product ID],$H$3:$H$10)/1000)</f>
        <v/>
      </c>
      <c r="F20" s="27">
        <f>IFERROR(INDEX(TableInventory[Store Balance],MATCH(A19,TableInventory[Item ID],0)),0)+IFERROR(INDEX(TableInventory[Work In Process],MATCH(A19,TableInventory[Item ID],0)),0)</f>
        <v/>
      </c>
      <c r="G20" s="31">
        <f>F19-E19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>
        <f>IF(E19=0,"Not needed",IF(G19&lt;0,"SHORTAGE",IF(G19&lt;F19*0.1,"LOW","OK")))</f>
        <v/>
      </c>
      <c r="J20" s="30">
        <f>IF(B19&lt;&gt;"CAP","",SUMPRODUCT((ISNUMBER(SEARCH("Cap Not Available",'FG Stock'!$H$4:$H$100)))*('FG Stock'!$I$4:$I$100=A19)*'FG Stock'!$F$4:$F$100))</f>
        <v/>
      </c>
      <c r="K20" s="30">
        <f>IF(E19=0,"",MAX(0,E19+IFERROR(J19*1,0)-F19))</f>
        <v/>
      </c>
    </row>
    <row r="21" hidden="1" s="237">
      <c r="A21" s="21" t="n">
        <v>6</v>
      </c>
      <c r="B21" s="21" t="inlineStr">
        <is>
          <t>SLUG</t>
        </is>
      </c>
      <c r="C21" s="21" t="inlineStr">
        <is>
          <t>25X4.5 S/M</t>
        </is>
      </c>
      <c r="D21" s="21" t="inlineStr">
        <is>
          <t>kg</t>
        </is>
      </c>
      <c r="E21" s="27">
        <f>SUMPRODUCT((TableBOM[Item ID]=A21)*TableBOM[Per 1000 Units]*(1+TableBOM[Scrap %])*SUMIF($D$3:$D$10,TableBOM[Product ID],$H$3:$H$10)/1000)</f>
        <v/>
      </c>
      <c r="F21" s="27">
        <f>IFERROR(INDEX(TableInventory[Store Balance],MATCH(A20,TableInventory[Item ID],0)),0)+IFERROR(INDEX(TableInventory[Work In Process],MATCH(A20,TableInventory[Item ID],0)),0)</f>
        <v/>
      </c>
      <c r="G21" s="31">
        <f>F20-E20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/>
      </c>
      <c r="I21" s="30">
        <f>IF(E20=0,"Not needed",IF(G20&lt;0,"SHORTAGE",IF(G20&lt;F20*0.1,"LOW","OK")))</f>
        <v/>
      </c>
      <c r="J21" s="30">
        <f>IF(B20&lt;&gt;"CAP","",SUMPRODUCT((ISNUMBER(SEARCH("Cap Not Available",'FG Stock'!$H$4:$H$100)))*('FG Stock'!$I$4:$I$100=A20)*'FG Stock'!$F$4:$F$100))</f>
        <v/>
      </c>
      <c r="K21" s="30">
        <f>IF(E20=0,"",MAX(0,E20+IFERROR(J20*1,0)-F20))</f>
        <v/>
      </c>
    </row>
    <row r="22" hidden="1" s="237">
      <c r="A22" s="21" t="n">
        <v>10</v>
      </c>
      <c r="B22" s="21" t="inlineStr">
        <is>
          <t>SLUG</t>
        </is>
      </c>
      <c r="C22" s="21" t="inlineStr">
        <is>
          <t>25X4.8 S/M</t>
        </is>
      </c>
      <c r="D22" s="21" t="inlineStr">
        <is>
          <t>kg</t>
        </is>
      </c>
      <c r="E22" s="27">
        <f>SUMPRODUCT((TableBOM[Item ID]=A22)*TableBOM[Per 1000 Units]*(1+TableBOM[Scrap %])*SUMIF($D$3:$D$10,TableBOM[Product ID],$H$3:$H$10)/1000)</f>
        <v/>
      </c>
      <c r="F22" s="27">
        <f>IFERROR(INDEX(TableInventory[Store Balance],MATCH(A21,TableInventory[Item ID],0)),0)+IFERROR(INDEX(TableInventory[Work In Process],MATCH(A21,TableInventory[Item ID],0)),0)</f>
        <v/>
      </c>
      <c r="G22" s="31">
        <f>F21-E21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>
        <f>IF(E21=0,"Not needed",IF(G21&lt;0,"SHORTAGE",IF(G21&lt;F21*0.1,"LOW","OK")))</f>
        <v/>
      </c>
      <c r="J22" s="30">
        <f>IF(B21&lt;&gt;"CAP","",SUMPRODUCT((ISNUMBER(SEARCH("Cap Not Available",'FG Stock'!$H$4:$H$100)))*('FG Stock'!$I$4:$I$100=A21)*'FG Stock'!$F$4:$F$100))</f>
        <v/>
      </c>
      <c r="K22" s="30">
        <f>IF(E21=0,"",MAX(0,E21+IFERROR(J21*1,0)-F21))</f>
        <v/>
      </c>
    </row>
    <row r="23">
      <c r="A23" s="21" t="n">
        <v>2</v>
      </c>
      <c r="B23" s="21" t="inlineStr">
        <is>
          <t>SLUG</t>
        </is>
      </c>
      <c r="C23" s="21" t="inlineStr">
        <is>
          <t>30X4.3</t>
        </is>
      </c>
      <c r="D23" s="21" t="inlineStr">
        <is>
          <t>kg</t>
        </is>
      </c>
      <c r="E23" s="27">
        <f>SUMPRODUCT((TableBOM[Item ID]=A23)*TableBOM[Per 1000 Units]*(1+TableBOM[Scrap %])*SUMIF($D$3:$D$10,TableBOM[Product ID],$H$3:$H$10)/1000)</f>
        <v/>
      </c>
      <c r="F23" s="27">
        <f>IFERROR(INDEX(TableInventory[Store Balance],MATCH(A22,TableInventory[Item ID],0)),0)+IFERROR(INDEX(TableInventory[Work In Process],MATCH(A22,TableInventory[Item ID],0)),0)</f>
        <v/>
      </c>
      <c r="G23" s="31">
        <f>F22-E22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>
        <f>IF(E22=0,"Not needed",IF(G22&lt;0,"SHORTAGE",IF(G22&lt;F22*0.1,"LOW","OK")))</f>
        <v/>
      </c>
      <c r="J23" s="30">
        <f>IF(B22&lt;&gt;"CAP","",SUMPRODUCT((ISNUMBER(SEARCH("Cap Not Available",'FG Stock'!$H$4:$H$100)))*('FG Stock'!$I$4:$I$100=A22)*'FG Stock'!$F$4:$F$100))</f>
        <v/>
      </c>
      <c r="K23" s="30">
        <f>IF(E22=0,"",MAX(0,E22+IFERROR(J22*1,0)-F22))</f>
        <v/>
      </c>
    </row>
    <row r="24" hidden="1" s="237">
      <c r="A24" s="21" t="n">
        <v>406</v>
      </c>
      <c r="B24" s="21" t="inlineStr">
        <is>
          <t>SLUG</t>
        </is>
      </c>
      <c r="C24" s="21" t="inlineStr">
        <is>
          <t>30X4.5 S/M</t>
        </is>
      </c>
      <c r="D24" s="21" t="inlineStr">
        <is>
          <t>kg</t>
        </is>
      </c>
      <c r="E24" s="27">
        <f>SUMPRODUCT((TableBOM[Item ID]=A24)*TableBOM[Per 1000 Units]*(1+TableBOM[Scrap %])*SUMIF($D$3:$D$10,TableBOM[Product ID],$H$3:$H$10)/1000)</f>
        <v/>
      </c>
      <c r="F24" s="32">
        <f>IFERROR(INDEX(TableInventory[Store Balance],MATCH(A23,TableInventory[Item ID],0)),0)+IFERROR(INDEX(TableInventory[Work In Process],MATCH(A23,TableInventory[Item ID],0)),0)</f>
        <v/>
      </c>
      <c r="G24" s="31">
        <f>F23-E23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/>
      </c>
      <c r="I24" s="30">
        <f>IF(E23=0,"Not needed",IF(G23&lt;0,"SHORTAGE",IF(G23&lt;F23*0.1,"LOW","OK")))</f>
        <v/>
      </c>
      <c r="J24" s="30">
        <f>IF(B23&lt;&gt;"CAP","",SUMPRODUCT((ISNUMBER(SEARCH("Cap Not Available",'FG Stock'!$H$4:$H$100)))*('FG Stock'!$I$4:$I$100=A23)*'FG Stock'!$F$4:$F$100))</f>
        <v/>
      </c>
      <c r="K24" s="30">
        <f>IF(E23=0,"",MAX(0,E23+IFERROR(J23*1,0)-F23))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37">
      <c r="A25" s="21" t="n">
        <v>6961</v>
      </c>
      <c r="B25" s="21" t="inlineStr">
        <is>
          <t>SLUG</t>
        </is>
      </c>
      <c r="C25" s="21" t="inlineStr">
        <is>
          <t>32X5.2</t>
        </is>
      </c>
      <c r="D25" s="21" t="inlineStr">
        <is>
          <t>kg</t>
        </is>
      </c>
      <c r="E25" s="32">
        <f>SUMPRODUCT((TableBOM[Item ID]=A25)*TableBOM[Per 1000 Units]*(1+TableBOM[Scrap %])*SUMIF($D$3:$D$10,TableBOM[Product ID],$H$3:$H$10)/1000)</f>
        <v/>
      </c>
      <c r="F25" s="32">
        <f>IFERROR(INDEX(TableInventory[Store Balance],MATCH(A24,TableInventory[Item ID],0)),0)+IFERROR(INDEX(TableInventory[Work In Process],MATCH(A24,TableInventory[Item ID],0)),0)</f>
        <v/>
      </c>
      <c r="G25" s="166">
        <f>F24-E24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>
        <f>IF(E24=0,"Not needed",IF(G24&lt;0,"SHORTAGE",IF(G24&lt;F24*0.1,"LOW","OK")))</f>
        <v/>
      </c>
      <c r="J25" s="30">
        <f>IF(B24&lt;&gt;"CAP","",SUMPRODUCT((ISNUMBER(SEARCH("Cap Not Available",'FG Stock'!$H$4:$H$100)))*('FG Stock'!$I$4:$I$100=A24)*'FG Stock'!$F$4:$F$100))</f>
        <v/>
      </c>
      <c r="K25" s="30">
        <f>IF(E24=0,"",MAX(0,E24+IFERROR(J24*1,0)-F24))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3935</v>
      </c>
      <c r="B26" s="21" t="inlineStr">
        <is>
          <t>SLUG</t>
        </is>
      </c>
      <c r="C26" s="21" t="inlineStr">
        <is>
          <t>32x5.0</t>
        </is>
      </c>
      <c r="D26" s="21" t="inlineStr">
        <is>
          <t>kg</t>
        </is>
      </c>
      <c r="E26" s="27">
        <f>SUMPRODUCT((TableBOM[Item ID]=A26)*TableBOM[Per 1000 Units]*(1+TableBOM[Scrap %])*SUMIF($D$3:$D$10,TableBOM[Product ID],$H$3:$H$10)/1000)</f>
        <v/>
      </c>
      <c r="F26" s="27">
        <f>IFERROR(INDEX(TableInventory[Store Balance],MATCH(A25,TableInventory[Item ID],0)),0)+IFERROR(INDEX(TableInventory[Work In Process],MATCH(A25,TableInventory[Item ID],0)),0)</f>
        <v/>
      </c>
      <c r="G26" s="31">
        <f>F25-E25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>
        <f>IF(E25=0,"Not needed",IF(G25&lt;0,"SHORTAGE",IF(G25&lt;F25*0.1,"LOW","OK")))</f>
        <v/>
      </c>
      <c r="J26" s="30">
        <f>IF(B25&lt;&gt;"CAP","",SUMPRODUCT((ISNUMBER(SEARCH("Cap Not Available",'FG Stock'!$H$4:$H$100)))*('FG Stock'!$I$4:$I$100=A25)*'FG Stock'!$F$4:$F$100))</f>
        <v/>
      </c>
      <c r="K26" s="30">
        <f>IF(E25=0,"",MAX(0,E25+IFERROR(J25*1,0)-F25))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 hidden="1" s="237">
      <c r="A27" s="21" t="n">
        <v>3503</v>
      </c>
      <c r="B27" s="21" t="inlineStr">
        <is>
          <t>SLUG</t>
        </is>
      </c>
      <c r="C27" s="21" t="inlineStr">
        <is>
          <t>35X5.0</t>
        </is>
      </c>
      <c r="D27" s="21" t="inlineStr">
        <is>
          <t>kg</t>
        </is>
      </c>
      <c r="E27" s="27">
        <f>SUMPRODUCT((TableBOM[Item ID]=A27)*TableBOM[Per 1000 Units]*(1+TableBOM[Scrap %])*SUMIF($D$3:$D$10,TableBOM[Product ID],$H$3:$H$10)/1000)</f>
        <v/>
      </c>
      <c r="F27" s="27">
        <f>IFERROR(INDEX(TableInventory[Store Balance],MATCH(A26,TableInventory[Item ID],0)),0)+IFERROR(INDEX(TableInventory[Work In Process],MATCH(A26,TableInventory[Item ID],0)),0)</f>
        <v/>
      </c>
      <c r="G27" s="31">
        <f>F26-E26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/>
      </c>
      <c r="I27" s="30" t="inlineStr">
        <is>
          <t>Hold</t>
        </is>
      </c>
      <c r="J27" s="30">
        <f>IF(B26&lt;&gt;"CAP","",SUMPRODUCT((ISNUMBER(SEARCH("Cap Not Available",'FG Stock'!$H$4:$H$100)))*('FG Stock'!$I$4:$I$100=A26)*'FG Stock'!$F$4:$F$100))</f>
        <v/>
      </c>
      <c r="K27" s="30">
        <f>IF(E26=0,"",MAX(0,E26+IFERROR(J26*1,0)-F26))</f>
        <v/>
      </c>
    </row>
    <row r="28" ht="36" customHeight="1" s="237">
      <c r="A28" s="21" t="n">
        <v>184</v>
      </c>
      <c r="B28" s="21" t="inlineStr">
        <is>
          <t>LACQUER</t>
        </is>
      </c>
      <c r="C28" s="21" t="inlineStr">
        <is>
          <t>LACQUER IMP 49989</t>
        </is>
      </c>
      <c r="D28" s="21" t="inlineStr">
        <is>
          <t>kg</t>
        </is>
      </c>
      <c r="E28" s="27">
        <f>SUMPRODUCT((TableBOM[Item ID]=A28)*TableBOM[Per 1000 Units]*(1+TableBOM[Scrap %])*SUMIF($D$3:$D$10,TableBOM[Product ID],$H$3:$H$10)/1000)</f>
        <v/>
      </c>
      <c r="F28" s="27">
        <f>IFERROR(INDEX(TableInventory[Store Balance],MATCH(A27,TableInventory[Item ID],0)),0)+IFERROR(INDEX(TableInventory[Work In Process],MATCH(A27,TableInventory[Item ID],0)),0)</f>
        <v/>
      </c>
      <c r="G28" s="31">
        <f>F27-E27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>
        <f>IF(E27=0,"Not needed",IF(G27&lt;0,"SHORTAGE",IF(G27&lt;F27*0.1,"LOW","OK")))</f>
        <v/>
      </c>
      <c r="J28" s="30">
        <f>IF(B27&lt;&gt;"CAP","",SUMPRODUCT((ISNUMBER(SEARCH("Cap Not Available",'FG Stock'!$H$4:$H$100)))*('FG Stock'!$I$4:$I$100=A27)*'FG Stock'!$F$4:$F$100))</f>
        <v/>
      </c>
      <c r="K28" s="30">
        <f>IF(E27=0,"",MAX(0,E27+IFERROR(J27*1,0)-F27))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37">
      <c r="A29" s="21" t="n">
        <v>185</v>
      </c>
      <c r="B29" s="21" t="inlineStr">
        <is>
          <t>LACQUER</t>
        </is>
      </c>
      <c r="C29" s="21" t="inlineStr">
        <is>
          <t>EPOXY LACQUER (1500)</t>
        </is>
      </c>
      <c r="D29" s="21" t="inlineStr">
        <is>
          <t>L</t>
        </is>
      </c>
      <c r="E29" s="27">
        <f>SUMPRODUCT((TableBOM[Item ID]=A29)*TableBOM[Per 1000 Units]*(1+TableBOM[Scrap %])*SUMIF($D$3:$D$10,TableBOM[Product ID],$H$3:$H$10)/1000)</f>
        <v/>
      </c>
      <c r="F29" s="27">
        <f>IFERROR(INDEX(TableInventory[Store Balance],MATCH(A28,TableInventory[Item ID],0)),0)+IFERROR(INDEX(TableInventory[Work In Process],MATCH(A28,TableInventory[Item ID],0)),0)</f>
        <v/>
      </c>
      <c r="G29" s="31">
        <f>F28-E28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I29" s="30">
        <f>IF(E28=0,"Not needed",IF(G28&lt;0,"SHORTAGE",IF(G28&lt;F28*0.1,"LOW","OK")))</f>
        <v/>
      </c>
      <c r="J29" s="30">
        <f>IF(B28&lt;&gt;"CAP","",SUMPRODUCT((ISNUMBER(SEARCH("Cap Not Available",'FG Stock'!$H$4:$H$100)))*('FG Stock'!$I$4:$I$100=A28)*'FG Stock'!$F$4:$F$100))</f>
        <v/>
      </c>
      <c r="K29" s="30">
        <f>IF(E28=0,"",MAX(0,E28+IFERROR(J28*1,0)-F28))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37">
      <c r="A30" s="21" t="n">
        <v>188</v>
      </c>
      <c r="B30" s="21" t="inlineStr">
        <is>
          <t>LACQUER</t>
        </is>
      </c>
      <c r="C30" s="21" t="inlineStr">
        <is>
          <t>LACQUER RHENANIA (ACTEGA COLL 299)</t>
        </is>
      </c>
      <c r="D30" s="21" t="inlineStr">
        <is>
          <t>kg</t>
        </is>
      </c>
      <c r="E30" s="27">
        <f>SUMPRODUCT((TableBOM[Item ID]=A30)*TableBOM[Per 1000 Units]*(1+TableBOM[Scrap %])*SUMIF($D$3:$D$10,TableBOM[Product ID],$H$3:$H$10)/1000)</f>
        <v/>
      </c>
      <c r="F30" s="27">
        <f>IFERROR(INDEX(TableInventory[Store Balance],MATCH(A29,TableInventory[Item ID],0)),0)+IFERROR(INDEX(TableInventory[Work In Process],MATCH(A29,TableInventory[Item ID],0)),0)</f>
        <v/>
      </c>
      <c r="G30" s="31">
        <f>F29-E29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>
        <f>IF(E29=0,"Not needed",IF(G29&lt;0,"SHORTAGE",IF(G29&lt;F29*0.1,"LOW","OK")))</f>
        <v/>
      </c>
      <c r="J30" s="30">
        <f>IF(B29&lt;&gt;"CAP","",SUMPRODUCT((ISNUMBER(SEARCH("Cap Not Available",'FG Stock'!$H$4:$H$100)))*('FG Stock'!$I$4:$I$100=A29)*'FG Stock'!$F$4:$F$100))</f>
        <v/>
      </c>
      <c r="K30" s="30">
        <f>IF(E29=0,"",MAX(0,E29+IFERROR(J29*1,0)-F29))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1065</v>
      </c>
      <c r="B31" s="21" t="inlineStr">
        <is>
          <t>LACQUER</t>
        </is>
      </c>
      <c r="C31" s="21" t="inlineStr">
        <is>
          <t>PIGMENTED LACQUER 57300</t>
        </is>
      </c>
      <c r="D31" s="21" t="inlineStr">
        <is>
          <t>kg</t>
        </is>
      </c>
      <c r="E31" s="27">
        <f>SUMPRODUCT((TableBOM[Item ID]=A31)*TableBOM[Per 1000 Units]*(1+TableBOM[Scrap %])*SUMIF($D$3:$D$10,TableBOM[Product ID],$H$3:$H$10)/1000)</f>
        <v/>
      </c>
      <c r="F31" s="27">
        <f>IFERROR(INDEX(TableInventory[Store Balance],MATCH(A30,TableInventory[Item ID],0)),0)+IFERROR(INDEX(TableInventory[Work In Process],MATCH(A30,TableInventory[Item ID],0)),0)</f>
        <v/>
      </c>
      <c r="G31" s="31">
        <f>F30-E30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>
        <f>IF(E30=0,"Not needed",IF(G30&lt;0,"SHORTAGE",IF(G30&lt;F30*0.1,"LOW","OK")))</f>
        <v/>
      </c>
      <c r="J31" s="30">
        <f>IF(B30&lt;&gt;"CAP","",SUMPRODUCT((ISNUMBER(SEARCH("Cap Not Available",'FG Stock'!$H$4:$H$100)))*('FG Stock'!$I$4:$I$100=A30)*'FG Stock'!$F$4:$F$100))</f>
        <v/>
      </c>
      <c r="K31" s="30">
        <f>IF(E30=0,"",MAX(0,E30+IFERROR(J30*1,0)-F30))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37">
      <c r="A32" s="21" t="n">
        <v>4155</v>
      </c>
      <c r="B32" s="21" t="inlineStr">
        <is>
          <t>LACQUER</t>
        </is>
      </c>
      <c r="C32" s="21" t="inlineStr">
        <is>
          <t>E/P LACQUER 4000 A/R</t>
        </is>
      </c>
      <c r="D32" s="21" t="inlineStr">
        <is>
          <t>kg</t>
        </is>
      </c>
      <c r="E32" s="27">
        <f>SUMPRODUCT((TableBOM[Item ID]=A32)*TableBOM[Per 1000 Units]*(1+TableBOM[Scrap %])*SUMIF($D$3:$D$10,TableBOM[Product ID],$H$3:$H$10)/1000)</f>
        <v/>
      </c>
      <c r="F32" s="27">
        <f>IFERROR(INDEX(TableInventory[Store Balance],MATCH(A31,TableInventory[Item ID],0)),0)+IFERROR(INDEX(TableInventory[Work In Process],MATCH(A31,TableInventory[Item ID],0)),0)</f>
        <v/>
      </c>
      <c r="G32" s="31">
        <f>F31-E31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/>
      </c>
      <c r="I32" s="30">
        <f>IF(E31=0,"Not needed",IF(G31&lt;0,"SHORTAGE",IF(G31&lt;F31*0.1,"LOW","OK")))</f>
        <v/>
      </c>
      <c r="J32" s="30">
        <f>IF(B31&lt;&gt;"CAP","",SUMPRODUCT((ISNUMBER(SEARCH("Cap Not Available",'FG Stock'!$H$4:$H$100)))*('FG Stock'!$I$4:$I$100=A31)*'FG Stock'!$F$4:$F$100))</f>
        <v/>
      </c>
      <c r="K32" s="30">
        <f>IF(E31=0,"",MAX(0,E31+IFERROR(J31*1,0)-F31))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37">
      <c r="A33" s="21" t="n">
        <v>170</v>
      </c>
      <c r="B33" s="21" t="inlineStr">
        <is>
          <t>BASE COAT</t>
        </is>
      </c>
      <c r="C33" s="21" t="inlineStr">
        <is>
          <t>WHITE 5711200001</t>
        </is>
      </c>
      <c r="D33" s="21" t="inlineStr">
        <is>
          <t>kg</t>
        </is>
      </c>
      <c r="E33" s="27">
        <f>SUMPRODUCT((TableBOM[Item ID]=A33)*TableBOM[Per 1000 Units]*(1+TableBOM[Scrap %])*SUMIF($D$3:$D$10,TableBOM[Product ID],$H$3:$H$10)/1000)</f>
        <v/>
      </c>
      <c r="F33" s="27">
        <f>IFERROR(INDEX(TableInventory[Store Balance],MATCH(A32,TableInventory[Item ID],0)),0)+IFERROR(INDEX(TableInventory[Work In Process],MATCH(A32,TableInventory[Item ID],0)),0)</f>
        <v/>
      </c>
      <c r="G33" s="31">
        <f>F32-E32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>
        <f>IF(E32=0,"Not needed",IF(G32&lt;0,"SHORTAGE",IF(G32&lt;F32*0.1,"LOW","OK")))</f>
        <v/>
      </c>
      <c r="J33" s="30">
        <f>IF(B32&lt;&gt;"CAP","",SUMPRODUCT((ISNUMBER(SEARCH("Cap Not Available",'FG Stock'!$H$4:$H$100)))*('FG Stock'!$I$4:$I$100=A32)*'FG Stock'!$F$4:$F$100))</f>
        <v/>
      </c>
      <c r="K33" s="30">
        <f>IF(E32=0,"",MAX(0,E32+IFERROR(J32*1,0)-F32))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37">
      <c r="A34" s="21" t="n">
        <v>175</v>
      </c>
      <c r="B34" s="21" t="inlineStr">
        <is>
          <t>BASE COAT</t>
        </is>
      </c>
      <c r="C34" s="21" t="inlineStr">
        <is>
          <t>GOLD 5725100018</t>
        </is>
      </c>
      <c r="D34" s="21" t="inlineStr">
        <is>
          <t>kg</t>
        </is>
      </c>
      <c r="E34" s="27">
        <f>SUMPRODUCT((TableBOM[Item ID]=A34)*TableBOM[Per 1000 Units]*(1+TableBOM[Scrap %])*SUMIF($D$3:$D$10,TableBOM[Product ID],$H$3:$H$10)/1000)</f>
        <v/>
      </c>
      <c r="F34" s="27">
        <f>IFERROR(INDEX(TableInventory[Store Balance],MATCH(A33,TableInventory[Item ID],0)),0)+IFERROR(INDEX(TableInventory[Work In Process],MATCH(A33,TableInventory[Item ID],0)),0)</f>
        <v/>
      </c>
      <c r="G34" s="31">
        <f>F33-E33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>
        <f>IF(E33=0,"Not needed",IF(G33&lt;0,"SHORTAGE",IF(G33&lt;F33*0.1,"LOW","OK")))</f>
        <v/>
      </c>
      <c r="J34" s="30">
        <f>IF(B33&lt;&gt;"CAP","",SUMPRODUCT((ISNUMBER(SEARCH("Cap Not Available",'FG Stock'!$H$4:$H$100)))*('FG Stock'!$I$4:$I$100=A33)*'FG Stock'!$F$4:$F$100))</f>
        <v/>
      </c>
      <c r="K34" s="30">
        <f>IF(E33=0,"",MAX(0,E33+IFERROR(J33*1,0)-F33))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37">
      <c r="A35" s="21" t="n">
        <v>192</v>
      </c>
      <c r="B35" s="21" t="inlineStr">
        <is>
          <t>BASE COAT</t>
        </is>
      </c>
      <c r="C35" s="21" t="inlineStr">
        <is>
          <t>TRANSPARENT 234-786</t>
        </is>
      </c>
      <c r="D35" s="21" t="inlineStr">
        <is>
          <t>kg</t>
        </is>
      </c>
      <c r="E35" s="27">
        <f>SUMPRODUCT((TableBOM[Item ID]=A35)*TableBOM[Per 1000 Units]*(1+TableBOM[Scrap %])*SUMIF($D$3:$D$10,TableBOM[Product ID],$H$3:$H$10)/1000)</f>
        <v/>
      </c>
      <c r="F35" s="27">
        <f>IFERROR(INDEX(TableInventory[Store Balance],MATCH(A34,TableInventory[Item ID],0)),0)+IFERROR(INDEX(TableInventory[Work In Process],MATCH(A34,TableInventory[Item ID],0)),0)</f>
        <v/>
      </c>
      <c r="G35" s="31">
        <f>F34-E34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>
        <f>IF(E34=0,"Not needed",IF(G34&lt;0,"SHORTAGE",IF(G34&lt;F34*0.1,"LOW","OK")))</f>
        <v/>
      </c>
      <c r="J35" s="30">
        <f>IF(B34&lt;&gt;"CAP","",SUMPRODUCT((ISNUMBER(SEARCH("Cap Not Available",'FG Stock'!$H$4:$H$100)))*('FG Stock'!$I$4:$I$100=A34)*'FG Stock'!$F$4:$F$100))</f>
        <v/>
      </c>
      <c r="K35" s="30">
        <f>IF(E34=0,"",MAX(0,E34+IFERROR(J34*1,0)-F34))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37">
      <c r="A36" s="21" t="n">
        <v>3595</v>
      </c>
      <c r="B36" s="21" t="inlineStr">
        <is>
          <t>BASE COAT</t>
        </is>
      </c>
      <c r="C36" s="21" t="inlineStr">
        <is>
          <t>POLYSTER BASE COAT WHITE 23410</t>
        </is>
      </c>
      <c r="D36" s="21" t="inlineStr">
        <is>
          <t>kg</t>
        </is>
      </c>
      <c r="E36" s="27">
        <f>SUMPRODUCT((TableBOM[Item ID]=A36)*TableBOM[Per 1000 Units]*(1+TableBOM[Scrap %])*SUMIF($D$3:$D$10,TableBOM[Product ID],$H$3:$H$10)/1000)</f>
        <v/>
      </c>
      <c r="F36" s="27">
        <f>IFERROR(INDEX(TableInventory[Store Balance],MATCH(A35,TableInventory[Item ID],0)),0)+IFERROR(INDEX(TableInventory[Work In Process],MATCH(A35,TableInventory[Item ID],0)),0)</f>
        <v/>
      </c>
      <c r="G36" s="31">
        <f>F35-E35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/>
      </c>
      <c r="I36" s="30">
        <f>IF(E35=0,"Not needed",IF(G35&lt;0,"SHORTAGE",IF(G35&lt;F35*0.1,"LOW","OK")))</f>
        <v/>
      </c>
      <c r="J36" s="30">
        <f>IF(B35&lt;&gt;"CAP","",SUMPRODUCT((ISNUMBER(SEARCH("Cap Not Available",'FG Stock'!$H$4:$H$100)))*('FG Stock'!$I$4:$I$100=A35)*'FG Stock'!$F$4:$F$100))</f>
        <v/>
      </c>
      <c r="K36" s="30">
        <f>IF(E35=0,"",MAX(0,E35+IFERROR(J35*1,0)-F35))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37">
      <c r="A37" s="21" t="n">
        <v>3869</v>
      </c>
      <c r="B37" s="21" t="inlineStr">
        <is>
          <t>BASE COAT</t>
        </is>
      </c>
      <c r="C37" s="21" t="inlineStr">
        <is>
          <t>POLYESTER BASE COAT BEIGE 234-999</t>
        </is>
      </c>
      <c r="D37" s="21" t="inlineStr">
        <is>
          <t>kg</t>
        </is>
      </c>
      <c r="E37" s="27">
        <f>SUMPRODUCT((TableBOM[Item ID]=A37)*TableBOM[Per 1000 Units]*(1+TableBOM[Scrap %])*SUMIF($D$3:$D$10,TableBOM[Product ID],$H$3:$H$10)/1000)</f>
        <v/>
      </c>
      <c r="F37" s="27">
        <f>IFERROR(INDEX(TableInventory[Store Balance],MATCH(A36,TableInventory[Item ID],0)),0)+IFERROR(INDEX(TableInventory[Work In Process],MATCH(A36,TableInventory[Item ID],0)),0)</f>
        <v/>
      </c>
      <c r="G37" s="31">
        <f>F36-E36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>
        <f>IF(E36=0,"Not needed",IF(G36&lt;0,"SHORTAGE",IF(G36&lt;F36*0.1,"LOW","OK")))</f>
        <v/>
      </c>
      <c r="J37" s="30">
        <f>IF(B36&lt;&gt;"CAP","",SUMPRODUCT((ISNUMBER(SEARCH("Cap Not Available",'FG Stock'!$H$4:$H$100)))*('FG Stock'!$I$4:$I$100=A36)*'FG Stock'!$F$4:$F$100))</f>
        <v/>
      </c>
      <c r="K37" s="30">
        <f>IF(E36=0,"",MAX(0,E36+IFERROR(J36*1,0)-F36))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s="237">
      <c r="A38" s="21" t="n">
        <v>4156</v>
      </c>
      <c r="B38" s="21" t="inlineStr">
        <is>
          <t>BASE COAT</t>
        </is>
      </c>
      <c r="C38" s="21" t="inlineStr">
        <is>
          <t>BEIGE 5711200007</t>
        </is>
      </c>
      <c r="D38" s="21" t="inlineStr">
        <is>
          <t>kg</t>
        </is>
      </c>
      <c r="E38" s="27">
        <f>SUMPRODUCT((TableBOM[Item ID]=A38)*TableBOM[Per 1000 Units]*(1+TableBOM[Scrap %])*SUMIF($D$3:$D$10,TableBOM[Product ID],$H$3:$H$10)/1000)</f>
        <v/>
      </c>
      <c r="F38" s="27">
        <f>IFERROR(INDEX(TableInventory[Store Balance],MATCH(A37,TableInventory[Item ID],0)),0)+IFERROR(INDEX(TableInventory[Work In Process],MATCH(A37,TableInventory[Item ID],0)),0)</f>
        <v/>
      </c>
      <c r="G38" s="31">
        <f>F37-E37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>
        <f>IF(E37=0,"Not needed",IF(G37&lt;0,"SHORTAGE",IF(G37&lt;F37*0.1,"LOW","OK")))</f>
        <v/>
      </c>
      <c r="J38" s="30">
        <f>IF(B37&lt;&gt;"CAP","",SUMPRODUCT((ISNUMBER(SEARCH("Cap Not Available",'FG Stock'!$H$4:$H$100)))*('FG Stock'!$I$4:$I$100=A37)*'FG Stock'!$F$4:$F$100))</f>
        <v/>
      </c>
      <c r="K38" s="30">
        <f>IF(E37=0,"",MAX(0,E37+IFERROR(J37*1,0)-F37))</f>
        <v/>
      </c>
    </row>
    <row r="39" hidden="1" s="237">
      <c r="A39" s="21" t="n">
        <v>4157</v>
      </c>
      <c r="B39" s="21" t="inlineStr">
        <is>
          <t>BASE COAT</t>
        </is>
      </c>
      <c r="C39" s="21" t="inlineStr">
        <is>
          <t>SILVER METALLIC 5725100011</t>
        </is>
      </c>
      <c r="D39" s="21" t="inlineStr">
        <is>
          <t>kg</t>
        </is>
      </c>
      <c r="E39" s="27">
        <f>SUMPRODUCT((TableBOM[Item ID]=A39)*TableBOM[Per 1000 Units]*(1+TableBOM[Scrap %])*SUMIF($D$3:$D$10,TableBOM[Product ID],$H$3:$H$10)/1000)</f>
        <v/>
      </c>
      <c r="F39" s="27">
        <f>IFERROR(INDEX(TableInventory[Store Balance],MATCH(A38,TableInventory[Item ID],0)),0)+IFERROR(INDEX(TableInventory[Work In Process],MATCH(A38,TableInventory[Item ID],0)),0)</f>
        <v/>
      </c>
      <c r="G39" s="31">
        <f>F38-E38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>
        <f>IF(E38=0,"Not needed",IF(G38&lt;0,"SHORTAGE",IF(G38&lt;F38*0.1,"LOW","OK")))</f>
        <v/>
      </c>
      <c r="J39" s="30">
        <f>IF(B38&lt;&gt;"CAP","",SUMPRODUCT((ISNUMBER(SEARCH("Cap Not Available",'FG Stock'!$H$4:$H$100)))*('FG Stock'!$I$4:$I$100=A38)*'FG Stock'!$F$4:$F$100))</f>
        <v/>
      </c>
      <c r="K39" s="30">
        <f>IF(E38=0,"",MAX(0,E38+IFERROR(J38*1,0)-F38))</f>
        <v/>
      </c>
    </row>
    <row r="40" hidden="1" s="237">
      <c r="A40" s="21" t="n">
        <v>5895</v>
      </c>
      <c r="B40" s="21" t="inlineStr">
        <is>
          <t>BASE COAT</t>
        </is>
      </c>
      <c r="C40" s="21" t="inlineStr">
        <is>
          <t>GOLD METALLIC ALM-550-234</t>
        </is>
      </c>
      <c r="D40" s="21" t="inlineStr">
        <is>
          <t>kg</t>
        </is>
      </c>
      <c r="E40" s="27">
        <f>SUMPRODUCT((TableBOM[Item ID]=A40)*TableBOM[Per 1000 Units]*(1+TableBOM[Scrap %])*SUMIF($D$3:$D$10,TableBOM[Product ID],$H$3:$H$10)/1000)</f>
        <v/>
      </c>
      <c r="F40" s="27">
        <f>IFERROR(INDEX(TableInventory[Store Balance],MATCH(A39,TableInventory[Item ID],0)),0)+IFERROR(INDEX(TableInventory[Work In Process],MATCH(A39,TableInventory[Item ID],0)),0)</f>
        <v/>
      </c>
      <c r="G40" s="31">
        <f>F39-E39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>
        <f>IF(E39=0,"Not needed",IF(G39&lt;0,"SHORTAGE",IF(G39&lt;F39*0.1,"LOW","OK")))</f>
        <v/>
      </c>
      <c r="J40" s="30">
        <f>IF(B39&lt;&gt;"CAP","",SUMPRODUCT((ISNUMBER(SEARCH("Cap Not Available",'FG Stock'!$H$4:$H$100)))*('FG Stock'!$I$4:$I$100=A39)*'FG Stock'!$F$4:$F$100))</f>
        <v/>
      </c>
      <c r="K40" s="30">
        <f>IF(E39=0,"",MAX(0,E39+IFERROR(J39*1,0)-F39))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s="237">
      <c r="A41" s="21" t="n">
        <v>5974</v>
      </c>
      <c r="B41" s="21" t="inlineStr">
        <is>
          <t>BASE COAT</t>
        </is>
      </c>
      <c r="C41" s="21" t="inlineStr">
        <is>
          <t>P11 TBX HT VARNISH (PC 176)</t>
        </is>
      </c>
      <c r="D41" s="21" t="inlineStr">
        <is>
          <t>L</t>
        </is>
      </c>
      <c r="E41" s="27">
        <f>SUMPRODUCT((TableBOM[Item ID]=A41)*TableBOM[Per 1000 Units]*(1+TableBOM[Scrap %])*SUMIF($D$3:$D$10,TableBOM[Product ID],$H$3:$H$10)/1000)</f>
        <v/>
      </c>
      <c r="F41" s="27">
        <f>IFERROR(INDEX(TableInventory[Store Balance],MATCH(A40,TableInventory[Item ID],0)),0)+IFERROR(INDEX(TableInventory[Work In Process],MATCH(A40,TableInventory[Item ID],0)),0)</f>
        <v/>
      </c>
      <c r="G41" s="31">
        <f>F40-E40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>
        <f>IF(E40=0,"Not needed",IF(G40&lt;0,"SHORTAGE",IF(G40&lt;F40*0.1,"LOW","OK")))</f>
        <v/>
      </c>
      <c r="J41" s="30">
        <f>IF(B40&lt;&gt;"CAP","",SUMPRODUCT((ISNUMBER(SEARCH("Cap Not Available",'FG Stock'!$H$4:$H$100)))*('FG Stock'!$I$4:$I$100=A40)*'FG Stock'!$F$4:$F$100))</f>
        <v/>
      </c>
      <c r="K41" s="30">
        <f>IF(E40=0,"",MAX(0,E40+IFERROR(J40*1,0)-F40))</f>
        <v/>
      </c>
    </row>
    <row r="42" hidden="1" s="237">
      <c r="A42" s="21" t="n">
        <v>177</v>
      </c>
      <c r="B42" s="21" t="inlineStr">
        <is>
          <t>BASE COAT</t>
        </is>
      </c>
      <c r="C42" s="21" t="inlineStr">
        <is>
          <t>YELLOW IMP 5711200008</t>
        </is>
      </c>
      <c r="D42" s="21" t="inlineStr">
        <is>
          <t>kg</t>
        </is>
      </c>
      <c r="E42" s="27">
        <f>SUMPRODUCT((TableBOM[Item ID]=A42)*TableBOM[Per 1000 Units]*(1+TableBOM[Scrap %])*SUMIF($D$3:$D$10,TableBOM[Product ID],$H$3:$H$10)/1000)</f>
        <v/>
      </c>
      <c r="F42" s="27">
        <f>IFERROR(INDEX(TableInventory[Store Balance],MATCH(A41,TableInventory[Item ID],0)),0)+IFERROR(INDEX(TableInventory[Work In Process],MATCH(A41,TableInventory[Item ID],0)),0)</f>
        <v/>
      </c>
      <c r="G42" s="31">
        <f>F41-E41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>
        <f>IF(E41=0,"Not needed",IF(G41&lt;0,"SHORTAGE",IF(G41&lt;F41*0.1,"LOW","OK")))</f>
        <v/>
      </c>
      <c r="J42" s="30">
        <f>IF(B41&lt;&gt;"CAP","",SUMPRODUCT((ISNUMBER(SEARCH("Cap Not Available",'FG Stock'!$H$4:$H$100)))*('FG Stock'!$I$4:$I$100=A41)*'FG Stock'!$F$4:$F$100))</f>
        <v/>
      </c>
      <c r="K42" s="30">
        <f>IF(E41=0,"",MAX(0,E41+IFERROR(J41*1,0)-F41))</f>
        <v/>
      </c>
    </row>
    <row r="43">
      <c r="A43" s="21" t="n">
        <v>6132</v>
      </c>
      <c r="B43" s="21" t="inlineStr">
        <is>
          <t>BASE COAT</t>
        </is>
      </c>
      <c r="C43" s="21" t="inlineStr">
        <is>
          <t>VR SCHEKOLIN 57251</t>
        </is>
      </c>
      <c r="D43" s="21" t="inlineStr">
        <is>
          <t>kg</t>
        </is>
      </c>
      <c r="E43" s="27">
        <f>SUMPRODUCT((TableBOM[Item ID]=A43)*TableBOM[Per 1000 Units]*(1+TableBOM[Scrap %])*SUMIF($D$3:$D$10,TableBOM[Product ID],$H$3:$H$10)/1000)</f>
        <v/>
      </c>
      <c r="F43" s="27">
        <f>IFERROR(INDEX(TableInventory[Store Balance],MATCH(A42,TableInventory[Item ID],0)),0)+IFERROR(INDEX(TableInventory[Work In Process],MATCH(A42,TableInventory[Item ID],0)),0)</f>
        <v/>
      </c>
      <c r="G43" s="31">
        <f>F42-E42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>
        <f>IF(E42=0,"Not needed",IF(G42&lt;0,"SHORTAGE",IF(G42&lt;F42*0.1,"LOW","OK")))</f>
        <v/>
      </c>
      <c r="J43" s="30">
        <f>IF(B42&lt;&gt;"CAP","",SUMPRODUCT((ISNUMBER(SEARCH("Cap Not Available",'FG Stock'!$H$4:$H$100)))*('FG Stock'!$I$4:$I$100=A42)*'FG Stock'!$F$4:$F$100))</f>
        <v/>
      </c>
      <c r="K43" s="30">
        <f>IF(E42=0,"",MAX(0,E42+IFERROR(J42*1,0)-F42))</f>
        <v/>
      </c>
    </row>
    <row r="44" ht="36" customHeight="1" s="237">
      <c r="A44" s="21" t="n">
        <v>186</v>
      </c>
      <c r="B44" s="21" t="inlineStr">
        <is>
          <t>LATEX</t>
        </is>
      </c>
      <c r="C44" s="21" t="inlineStr">
        <is>
          <t>LATEX IMP 574010002</t>
        </is>
      </c>
      <c r="D44" s="21" t="inlineStr">
        <is>
          <t>kg</t>
        </is>
      </c>
      <c r="E44" s="27">
        <f>SUMPRODUCT((TableBOM[Item ID]=A44)*TableBOM[Per 1000 Units]*(1+TableBOM[Scrap %])*SUMIF($D$3:$D$10,TableBOM[Product ID],$H$3:$H$10)/1000)</f>
        <v/>
      </c>
      <c r="F44" s="27">
        <f>IFERROR(INDEX(TableInventory[Store Balance],MATCH(A43,TableInventory[Item ID],0)),0)+IFERROR(INDEX(TableInventory[Work In Process],MATCH(A43,TableInventory[Item ID],0)),0)</f>
        <v/>
      </c>
      <c r="G44" s="31">
        <f>F43-E43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/>
      </c>
      <c r="I44" s="30">
        <f>IF(E43=0,"Not needed",IF(G43&lt;0,"SHORTAGE",IF(G43&lt;F43*0.1,"LOW","OK")))</f>
        <v/>
      </c>
      <c r="J44" s="30">
        <f>IF(B43&lt;&gt;"CAP","",SUMPRODUCT((ISNUMBER(SEARCH("Cap Not Available",'FG Stock'!$H$4:$H$100)))*('FG Stock'!$I$4:$I$100=A43)*'FG Stock'!$F$4:$F$100))</f>
        <v/>
      </c>
      <c r="K44" s="30">
        <f>IF(E43=0,"",MAX(0,E43+IFERROR(J43*1,0)-F43))</f>
        <v/>
      </c>
    </row>
    <row r="45" hidden="1" s="237">
      <c r="A45" s="21" t="n">
        <v>194</v>
      </c>
      <c r="B45" s="21" t="inlineStr">
        <is>
          <t>ZINC POWDER</t>
        </is>
      </c>
      <c r="C45" s="21" t="inlineStr">
        <is>
          <t>ZINC STEARATE</t>
        </is>
      </c>
      <c r="D45" s="21" t="inlineStr">
        <is>
          <t>kg</t>
        </is>
      </c>
      <c r="E45" s="27">
        <f>SUMPRODUCT((TableBOM[Item ID]=A45)*TableBOM[Per 1000 Units]*(1+TableBOM[Scrap %])*SUMIF($D$3:$D$10,TableBOM[Product ID],$H$3:$H$10)/1000)</f>
        <v/>
      </c>
      <c r="F45" s="27">
        <f>IFERROR(INDEX(TableInventory[Store Balance],MATCH(A44,TableInventory[Item ID],0)),0)+IFERROR(INDEX(TableInventory[Work In Process],MATCH(A44,TableInventory[Item ID],0)),0)</f>
        <v/>
      </c>
      <c r="G45" s="31">
        <f>F44-E44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  <c r="I45" s="30">
        <f>IF(E44=0,"Not needed",IF(G44&lt;0,"SHORTAGE",IF(G44&lt;F44*0.1,"LOW","OK")))</f>
        <v/>
      </c>
      <c r="J45" s="30">
        <f>IF(B44&lt;&gt;"CAP","",SUMPRODUCT((ISNUMBER(SEARCH("Cap Not Available",'FG Stock'!$H$4:$H$100)))*('FG Stock'!$I$4:$I$100=A44)*'FG Stock'!$F$4:$F$100))</f>
        <v/>
      </c>
      <c r="K45" s="30">
        <f>IF(E44=0,"",MAX(0,E44+IFERROR(J44*1,0)-F44))</f>
        <v/>
      </c>
    </row>
    <row r="46">
      <c r="A46" s="21" t="n">
        <v>4165</v>
      </c>
      <c r="B46" s="21" t="inlineStr">
        <is>
          <t>ZINC POWDER</t>
        </is>
      </c>
      <c r="C46" s="21" t="inlineStr">
        <is>
          <t>ZINC ARCHIMATE</t>
        </is>
      </c>
      <c r="D46" s="21" t="inlineStr">
        <is>
          <t>kg</t>
        </is>
      </c>
      <c r="E46" s="27">
        <f>SUMPRODUCT((TableBOM[Item ID]=A46)*TableBOM[Per 1000 Units]*(1+TableBOM[Scrap %])*SUMIF($D$3:$D$10,TableBOM[Product ID],$H$3:$H$10)/1000)</f>
        <v/>
      </c>
      <c r="F46" s="27">
        <f>IFERROR(INDEX(TableInventory[Store Balance],MATCH(A45,TableInventory[Item ID],0)),0)+IFERROR(INDEX(TableInventory[Work In Process],MATCH(A45,TableInventory[Item ID],0)),0)</f>
        <v/>
      </c>
      <c r="G46" s="31">
        <f>F45-E45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>
        <f>IF(E45=0,"Not needed",IF(G45&lt;0,"SHORTAGE",IF(G45&lt;F45*0.1,"LOW","OK")))</f>
        <v/>
      </c>
      <c r="J46" s="30">
        <f>IF(B45&lt;&gt;"CAP","",SUMPRODUCT((ISNUMBER(SEARCH("Cap Not Available",'FG Stock'!$H$4:$H$100)))*('FG Stock'!$I$4:$I$100=A45)*'FG Stock'!$F$4:$F$100))</f>
        <v/>
      </c>
      <c r="K46" s="30">
        <f>IF(E45=0,"",MAX(0,E45+IFERROR(J45*1,0)-F45))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 hidden="1" s="237">
      <c r="A47" s="21" t="n">
        <v>69</v>
      </c>
      <c r="B47" s="21" t="inlineStr">
        <is>
          <t>CAP</t>
        </is>
      </c>
      <c r="C47" s="21" t="inlineStr">
        <is>
          <t>M-7 S/M F/P (S) WHITE</t>
        </is>
      </c>
      <c r="D47" s="21" t="inlineStr">
        <is>
          <t>PCS</t>
        </is>
      </c>
      <c r="E47" s="27">
        <f>SUMPRODUCT((TableBOM[Item ID]=A47)*TableBOM[Per 1000 Units]*(1+TableBOM[Scrap %])*SUMIF($D$3:$D$10,TableBOM[Product ID],$H$3:$H$10)/1000)</f>
        <v/>
      </c>
      <c r="F47" s="27">
        <f>IFERROR(INDEX(TableInventory[Store Balance],MATCH(A46,TableInventory[Item ID],0)),0)+IFERROR(INDEX(TableInventory[Work In Process],MATCH(A46,TableInventory[Item ID],0)),0)</f>
        <v/>
      </c>
      <c r="G47" s="31">
        <f>F46-E46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I47" s="30" t="inlineStr">
        <is>
          <t>CAPS Not Approved</t>
        </is>
      </c>
      <c r="J47" s="30">
        <f>IF(B46&lt;&gt;"CAP","",SUMPRODUCT((ISNUMBER(SEARCH("Cap Not Available",'FG Stock'!$H$4:$H$100)))*('FG Stock'!$I$4:$I$100=A46)*'FG Stock'!$F$4:$F$100))</f>
        <v/>
      </c>
      <c r="K47">
        <f>IF(E46=0,"",MAX(0,E46+IFERROR(J46*1,0)-F46))</f>
        <v/>
      </c>
    </row>
    <row r="48" hidden="1" s="237">
      <c r="A48" s="21" t="n">
        <v>99</v>
      </c>
      <c r="B48" s="21" t="inlineStr">
        <is>
          <t>CAP</t>
        </is>
      </c>
      <c r="C48" s="21" t="inlineStr">
        <is>
          <t>M-7 OPHTHALMIC  PINK</t>
        </is>
      </c>
      <c r="D48" s="21" t="inlineStr">
        <is>
          <t>PCS</t>
        </is>
      </c>
      <c r="E48" s="27">
        <f>SUMPRODUCT((TableBOM[Item ID]=A48)*TableBOM[Per 1000 Units]*(1+TableBOM[Scrap %])*SUMIF($D$3:$D$10,TableBOM[Product ID],$H$3:$H$10)/1000)</f>
        <v/>
      </c>
      <c r="F48" s="27">
        <f>IFERROR(INDEX(TableInventory[Store Balance],MATCH(A47,TableInventory[Item ID],0)),0)+IFERROR(INDEX(TableInventory[Work In Process],MATCH(A47,TableInventory[Item ID],0)),0)</f>
        <v/>
      </c>
      <c r="G48" s="31">
        <f>F47-E47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>
        <f>IF(E47=0,"Not needed",IF(G47&lt;0,"SHORTAGE",IF(G47&lt;F47*0.1,"LOW","OK")))</f>
        <v/>
      </c>
      <c r="J48" s="30">
        <f>IF(B47&lt;&gt;"CAP","",SUMPRODUCT((ISNUMBER(SEARCH("Cap Not Available",'FG Stock'!$H$4:$H$100)))*('FG Stock'!$I$4:$I$100=A47)*'FG Stock'!$F$4:$F$100))</f>
        <v/>
      </c>
      <c r="K48">
        <f>IF(E47=0,"",MAX(0,E47+IFERROR(J47*1,0)-F47))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37">
      <c r="A49" s="21" t="n">
        <v>72</v>
      </c>
      <c r="B49" s="21" t="inlineStr">
        <is>
          <t>CAP</t>
        </is>
      </c>
      <c r="C49" s="21" t="inlineStr">
        <is>
          <t>M-9 S/M SPR BLACK DIA 16MM</t>
        </is>
      </c>
      <c r="D49" s="21" t="inlineStr">
        <is>
          <t>PCS</t>
        </is>
      </c>
      <c r="E49" s="27">
        <f>SUMPRODUCT((TableBOM[Item ID]=A49)*TableBOM[Per 1000 Units]*(1+TableBOM[Scrap %])*SUMIF($D$3:$D$10,TableBOM[Product ID],$H$3:$H$10)/1000)</f>
        <v/>
      </c>
      <c r="F49" s="27">
        <f>IFERROR(INDEX(TableInventory[Store Balance],MATCH(A48,TableInventory[Item ID],0)),0)+IFERROR(INDEX(TableInventory[Work In Process],MATCH(A48,TableInventory[Item ID],0)),0)</f>
        <v/>
      </c>
      <c r="G49" s="31">
        <f>F48-E48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>
        <f>IF(E48=0,"Not needed",IF(G48&lt;0,"SHORTAGE",IF(G48&lt;F48*0.1,"LOW","OK")))</f>
        <v/>
      </c>
      <c r="J49" s="30">
        <f>IF(B48&lt;&gt;"CAP","",SUMPRODUCT((ISNUMBER(SEARCH("Cap Not Available",'FG Stock'!$H$4:$H$100)))*('FG Stock'!$I$4:$I$100=A48)*'FG Stock'!$F$4:$F$100))</f>
        <v/>
      </c>
      <c r="K49">
        <f>IF(E48=0,"",MAX(0,E48+IFERROR(J48*1,0)-F48))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37">
      <c r="A50" s="21" t="n">
        <v>79</v>
      </c>
      <c r="B50" s="21" t="inlineStr">
        <is>
          <t>CAP</t>
        </is>
      </c>
      <c r="C50" s="21" t="inlineStr">
        <is>
          <t>M-9 S/M SPR WHITE LORINE</t>
        </is>
      </c>
      <c r="D50" s="21" t="inlineStr">
        <is>
          <t>PCS</t>
        </is>
      </c>
      <c r="E50" s="27">
        <f>SUMPRODUCT((TableBOM[Item ID]=A50)*TableBOM[Per 1000 Units]*(1+TableBOM[Scrap %])*SUMIF($D$3:$D$10,TableBOM[Product ID],$H$3:$H$10)/1000)</f>
        <v/>
      </c>
      <c r="F50" s="27">
        <f>IFERROR(INDEX(TableInventory[Store Balance],MATCH(A49,TableInventory[Item ID],0)),0)+IFERROR(INDEX(TableInventory[Work In Process],MATCH(A49,TableInventory[Item ID],0)),0)</f>
        <v/>
      </c>
      <c r="G50" s="31">
        <f>F49-E49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>
        <f>IF(E49=0,"Not needed",IF(G49&lt;0,"SHORTAGE",IF(G49&lt;F49*0.1,"LOW","OK")))</f>
        <v/>
      </c>
      <c r="J50" s="30">
        <f>IF(B49&lt;&gt;"CAP","",SUMPRODUCT((ISNUMBER(SEARCH("Cap Not Available",'FG Stock'!$H$4:$H$100)))*('FG Stock'!$I$4:$I$100=A49)*'FG Stock'!$F$4:$F$100))</f>
        <v/>
      </c>
      <c r="K50" s="30">
        <f>IF(E49=0,"",MAX(0,E49+IFERROR(J49*1,0)-F49))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idden="1" s="237">
      <c r="A51" s="21" t="n">
        <v>80</v>
      </c>
      <c r="B51" s="21" t="inlineStr">
        <is>
          <t>CAP</t>
        </is>
      </c>
      <c r="C51" s="21" t="inlineStr">
        <is>
          <t>M-9 S/M SPR WHITE DIA 19</t>
        </is>
      </c>
      <c r="D51" s="21" t="inlineStr">
        <is>
          <t>PCS</t>
        </is>
      </c>
      <c r="E51" s="27">
        <f>SUMPRODUCT((TableBOM[Item ID]=A51)*TableBOM[Per 1000 Units]*(1+TableBOM[Scrap %])*SUMIF($D$3:$D$10,TableBOM[Product ID],$H$3:$H$10)/1000)</f>
        <v/>
      </c>
      <c r="F51" s="27">
        <f>IFERROR(INDEX(TableInventory[Store Balance],MATCH(A50,TableInventory[Item ID],0)),0)+IFERROR(INDEX(TableInventory[Work In Process],MATCH(A50,TableInventory[Item ID],0)),0)</f>
        <v/>
      </c>
      <c r="G51" s="31">
        <f>F50-E50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>
        <f>IF(E50=0,"Not needed",IF(G50&lt;0,"SHORTAGE",IF(G50&lt;F50*0.1,"LOW","OK")))</f>
        <v/>
      </c>
      <c r="J51" s="30">
        <f>IF(B50&lt;&gt;"CAP","",SUMPRODUCT((ISNUMBER(SEARCH("Cap Not Available",'FG Stock'!$H$4:$H$100)))*('FG Stock'!$I$4:$I$100=A50)*'FG Stock'!$F$4:$F$100))</f>
        <v/>
      </c>
      <c r="K51" s="30">
        <f>IF(E50=0,"",MAX(0,E50+IFERROR(J50*1,0)-F50))</f>
        <v/>
      </c>
    </row>
    <row r="52" hidden="1" s="237">
      <c r="A52" s="21" t="n">
        <v>81</v>
      </c>
      <c r="B52" s="21" t="inlineStr">
        <is>
          <t>CAP</t>
        </is>
      </c>
      <c r="C52" s="21" t="inlineStr">
        <is>
          <t>M-9 S/M F/P WHITE (S)</t>
        </is>
      </c>
      <c r="D52" s="21" t="inlineStr">
        <is>
          <t>PCS</t>
        </is>
      </c>
      <c r="E52" s="27">
        <f>SUMPRODUCT((TableBOM[Item ID]=A52)*TableBOM[Per 1000 Units]*(1+TableBOM[Scrap %])*SUMIF($D$3:$D$10,TableBOM[Product ID],$H$3:$H$10)/1000)</f>
        <v/>
      </c>
      <c r="F52" s="27">
        <f>IFERROR(INDEX(TableInventory[Store Balance],MATCH(A51,TableInventory[Item ID],0)),0)+IFERROR(INDEX(TableInventory[Work In Process],MATCH(A51,TableInventory[Item ID],0)),0)</f>
        <v/>
      </c>
      <c r="G52" s="31">
        <f>F51-E51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>
        <f>IF(E51=0,"Not needed",IF(G51&lt;0,"SHORTAGE",IF(G51&lt;F51*0.1,"LOW","OK")))</f>
        <v/>
      </c>
      <c r="J52" s="30">
        <f>IF(B51&lt;&gt;"CAP","",SUMPRODUCT((ISNUMBER(SEARCH("Cap Not Available",'FG Stock'!$H$4:$H$100)))*('FG Stock'!$I$4:$I$100=A51)*'FG Stock'!$F$4:$F$100))</f>
        <v/>
      </c>
      <c r="K52" s="30">
        <f>IF(E51=0,"",MAX(0,E51+IFERROR(J51*1,0)-F51))</f>
        <v/>
      </c>
    </row>
    <row r="53" hidden="1" s="237">
      <c r="A53" s="21" t="n">
        <v>1800</v>
      </c>
      <c r="B53" s="21" t="inlineStr">
        <is>
          <t>CAP</t>
        </is>
      </c>
      <c r="C53" s="21" t="inlineStr">
        <is>
          <t>M-9 S/M SPR BLACK DIA 19</t>
        </is>
      </c>
      <c r="D53" s="21" t="inlineStr">
        <is>
          <t>PCS</t>
        </is>
      </c>
      <c r="E53" s="27">
        <f>SUMPRODUCT((TableBOM[Item ID]=A53)*TableBOM[Per 1000 Units]*(1+TableBOM[Scrap %])*SUMIF($D$3:$D$10,TableBOM[Product ID],$H$3:$H$10)/1000)</f>
        <v/>
      </c>
      <c r="F53" s="27">
        <f>IFERROR(INDEX(TableInventory[Store Balance],MATCH(A52,TableInventory[Item ID],0)),0)+IFERROR(INDEX(TableInventory[Work In Process],MATCH(A52,TableInventory[Item ID],0)),0)</f>
        <v/>
      </c>
      <c r="G53" s="31">
        <f>F52-E52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>
        <f>IF(E52=0,"Not needed",IF(G52&lt;0,"SHORTAGE",IF(G52&lt;F52*0.1,"LOW","OK")))</f>
        <v/>
      </c>
      <c r="J53" s="30">
        <f>IF(B52&lt;&gt;"CAP","",SUMPRODUCT((ISNUMBER(SEARCH("Cap Not Available",'FG Stock'!$H$4:$H$100)))*('FG Stock'!$I$4:$I$100=A52)*'FG Stock'!$F$4:$F$100))</f>
        <v/>
      </c>
      <c r="K53" s="30">
        <f>IF(E52=0,"",MAX(0,E52+IFERROR(J52*1,0)-F52))</f>
        <v/>
      </c>
    </row>
    <row r="54" hidden="1" s="237">
      <c r="A54" s="21" t="n">
        <v>3211</v>
      </c>
      <c r="B54" s="21" t="inlineStr">
        <is>
          <t>CAP</t>
        </is>
      </c>
      <c r="C54" s="21" t="inlineStr">
        <is>
          <t>M-9 S/M SPR WHITE DIA 22 AUTO</t>
        </is>
      </c>
      <c r="D54" s="21" t="inlineStr">
        <is>
          <t>PCS</t>
        </is>
      </c>
      <c r="E54" s="33">
        <f>SUMPRODUCT((TableBOM[Item ID]=A54)*TableBOM[Per 1000 Units]*(1+TableBOM[Scrap %])*SUMIF($D$3:$D$10,TableBOM[Product ID],$H$3:$H$10)/1000)</f>
        <v/>
      </c>
      <c r="F54" s="33">
        <f>IFERROR(INDEX(TableInventory[Store Balance],MATCH(A53,TableInventory[Item ID],0)),0)+IFERROR(INDEX(TableInventory[Work In Process],MATCH(A53,TableInventory[Item ID],0)),0)</f>
        <v/>
      </c>
      <c r="G54" s="166">
        <f>F53-E53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>
        <f>IF(E53=0,"Not needed",IF(G53&lt;0,"SHORTAGE",IF(G53&lt;F53*0.1,"LOW","OK")))</f>
        <v/>
      </c>
      <c r="J54" s="30">
        <f>IF(B53&lt;&gt;"CAP","",SUMPRODUCT((ISNUMBER(SEARCH("Cap Not Available",'FG Stock'!$H$4:$H$100)))*('FG Stock'!$I$4:$I$100=A53)*'FG Stock'!$F$4:$F$100))</f>
        <v/>
      </c>
      <c r="K54" s="30">
        <f>IF(E53=0,"",MAX(0,E53+IFERROR(J53*1,0)-F53))</f>
        <v/>
      </c>
    </row>
    <row r="55" hidden="1" s="237">
      <c r="A55" s="21" t="n">
        <v>4015</v>
      </c>
      <c r="B55" s="21" t="inlineStr">
        <is>
          <t>CAP</t>
        </is>
      </c>
      <c r="C55" s="21" t="inlineStr">
        <is>
          <t>M-9 S/M F/P ORANGE (NORMAL)</t>
        </is>
      </c>
      <c r="D55" s="21" t="inlineStr">
        <is>
          <t>PCS</t>
        </is>
      </c>
      <c r="E55" s="27">
        <f>SUMPRODUCT((TableBOM[Item ID]=A55)*TableBOM[Per 1000 Units]*(1+TableBOM[Scrap %])*SUMIF($D$3:$D$10,TableBOM[Product ID],$H$3:$H$10)/1000)</f>
        <v/>
      </c>
      <c r="F55" s="27">
        <f>IFERROR(INDEX(TableInventory[Store Balance],MATCH(A54,TableInventory[Item ID],0)),0)+IFERROR(INDEX(TableInventory[Work In Process],MATCH(A54,TableInventory[Item ID],0)),0)</f>
        <v/>
      </c>
      <c r="G55" s="31">
        <f>F54-E54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>
        <f>IF(E54=0,"Not needed",IF(G54&lt;0,"SHORTAGE",IF(G54&lt;F54*0.1,"LOW","OK")))</f>
        <v/>
      </c>
      <c r="J55" s="30">
        <f>IF(B54&lt;&gt;"CAP","",SUMPRODUCT((ISNUMBER(SEARCH("Cap Not Available",'FG Stock'!$H$4:$H$100)))*('FG Stock'!$I$4:$I$100=A54)*'FG Stock'!$F$4:$F$100))</f>
        <v/>
      </c>
      <c r="K55" s="30">
        <f>IF(E54=0,"",MAX(0,E54+IFERROR(J54*1,0)-F54))</f>
        <v/>
      </c>
    </row>
    <row r="56" hidden="1" s="237">
      <c r="A56" s="21" t="n">
        <v>4044</v>
      </c>
      <c r="B56" s="21" t="inlineStr">
        <is>
          <t>CAP</t>
        </is>
      </c>
      <c r="C56" s="21" t="inlineStr">
        <is>
          <t>M-9 S/M SPR BEIGE DIA 20.5</t>
        </is>
      </c>
      <c r="D56" s="21" t="inlineStr">
        <is>
          <t>PCS</t>
        </is>
      </c>
      <c r="E56" s="27">
        <f>SUMPRODUCT((TableBOM[Item ID]=A56)*TableBOM[Per 1000 Units]*(1+TableBOM[Scrap %])*SUMIF($D$3:$D$10,TableBOM[Product ID],$H$3:$H$10)/1000)</f>
        <v/>
      </c>
      <c r="F56" s="27">
        <f>IFERROR(INDEX(TableInventory[Store Balance],MATCH(A55,TableInventory[Item ID],0)),0)+IFERROR(INDEX(TableInventory[Work In Process],MATCH(A55,TableInventory[Item ID],0)),0)</f>
        <v/>
      </c>
      <c r="G56" s="31">
        <f>F55-E55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>
        <f>IF(E55=0,"Not needed",IF(G55&lt;0,"SHORTAGE",IF(G55&lt;F55*0.1,"LOW","OK")))</f>
        <v/>
      </c>
      <c r="J56" s="30">
        <f>IF(B55&lt;&gt;"CAP","",SUMPRODUCT((ISNUMBER(SEARCH("Cap Not Available",'FG Stock'!$H$4:$H$100)))*('FG Stock'!$I$4:$I$100=A55)*'FG Stock'!$F$4:$F$100))</f>
        <v/>
      </c>
      <c r="K56" s="30">
        <f>IF(E55=0,"",MAX(0,E55+IFERROR(J55*1,0)-F55))</f>
        <v/>
      </c>
    </row>
    <row r="57" hidden="1" s="237">
      <c r="A57" s="21" t="n">
        <v>4088</v>
      </c>
      <c r="B57" s="21" t="inlineStr">
        <is>
          <t>CAP</t>
        </is>
      </c>
      <c r="C57" s="21" t="inlineStr">
        <is>
          <t>M-9 S/M SPR WHITE DIA 16MM</t>
        </is>
      </c>
      <c r="D57" s="21" t="inlineStr">
        <is>
          <t>PCS</t>
        </is>
      </c>
      <c r="E57" s="27">
        <f>SUMPRODUCT((TableBOM[Item ID]=A57)*TableBOM[Per 1000 Units]*(1+TableBOM[Scrap %])*SUMIF($D$3:$D$10,TableBOM[Product ID],$H$3:$H$10)/1000)</f>
        <v/>
      </c>
      <c r="F57" s="27">
        <f>IFERROR(INDEX(TableInventory[Store Balance],MATCH(A56,TableInventory[Item ID],0)),0)+IFERROR(INDEX(TableInventory[Work In Process],MATCH(A56,TableInventory[Item ID],0)),0)</f>
        <v/>
      </c>
      <c r="G57" s="31">
        <f>F56-E56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>
        <f>IF(E56=0,"Not needed",IF(G56&lt;0,"SHORTAGE",IF(G56&lt;F56*0.1,"LOW","OK")))</f>
        <v/>
      </c>
      <c r="J57" s="30">
        <f>IF(B56&lt;&gt;"CAP","",SUMPRODUCT((ISNUMBER(SEARCH("Cap Not Available",'FG Stock'!$H$4:$H$100)))*('FG Stock'!$I$4:$I$100=A56)*'FG Stock'!$F$4:$F$100))</f>
        <v/>
      </c>
      <c r="K57" s="30">
        <f>IF(E56=0,"",MAX(0,E56+IFERROR(J56*1,0)-F56))</f>
        <v/>
      </c>
    </row>
    <row r="58" hidden="1" s="237">
      <c r="A58" s="21" t="n">
        <v>4143</v>
      </c>
      <c r="B58" s="21" t="inlineStr">
        <is>
          <t>CAP</t>
        </is>
      </c>
      <c r="C58" s="21" t="inlineStr">
        <is>
          <t>M-9 S/M F/P Normal White</t>
        </is>
      </c>
      <c r="D58" s="21" t="inlineStr">
        <is>
          <t>PCS</t>
        </is>
      </c>
      <c r="E58" s="27">
        <f>SUMPRODUCT((TableBOM[Item ID]=A58)*TableBOM[Per 1000 Units]*(1+TableBOM[Scrap %])*SUMIF($D$3:$D$10,TableBOM[Product ID],$H$3:$H$10)/1000)</f>
        <v/>
      </c>
      <c r="F58" s="27">
        <f>IFERROR(INDEX(TableInventory[Store Balance],MATCH(A57,TableInventory[Item ID],0)),0)+IFERROR(INDEX(TableInventory[Work In Process],MATCH(A57,TableInventory[Item ID],0)),0)</f>
        <v/>
      </c>
      <c r="G58" s="31">
        <f>F57-E57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>
        <f>IF(E57=0,"Not needed",IF(G57&lt;0,"SHORTAGE",IF(G57&lt;F57*0.1,"LOW","OK")))</f>
        <v/>
      </c>
      <c r="J58" s="30">
        <f>IF(B57&lt;&gt;"CAP","",SUMPRODUCT((ISNUMBER(SEARCH("Cap Not Available",'FG Stock'!$H$4:$H$100)))*('FG Stock'!$I$4:$I$100=A57)*'FG Stock'!$F$4:$F$100))</f>
        <v/>
      </c>
      <c r="K58" s="30">
        <f>IF(E57=0,"",MAX(0,E57+IFERROR(J57*1,0)-F57))</f>
        <v/>
      </c>
    </row>
    <row r="59" hidden="1" s="237">
      <c r="A59" s="21" t="n">
        <v>6971</v>
      </c>
      <c r="B59" s="21" t="inlineStr">
        <is>
          <t>CAP</t>
        </is>
      </c>
      <c r="C59" s="21" t="inlineStr">
        <is>
          <t>M-9 S/M SPR WHITE DIA 20.5MM</t>
        </is>
      </c>
      <c r="D59" s="21" t="inlineStr">
        <is>
          <t>PCS</t>
        </is>
      </c>
      <c r="E59" s="27">
        <f>SUMPRODUCT((TableBOM[Item ID]=A59)*TableBOM[Per 1000 Units]*(1+TableBOM[Scrap %])*SUMIF($D$3:$D$10,TableBOM[Product ID],$H$3:$H$10)/1000)</f>
        <v/>
      </c>
      <c r="F59" s="27">
        <f>IFERROR(INDEX(TableInventory[Store Balance],MATCH(A58,TableInventory[Item ID],0)),0)+IFERROR(INDEX(TableInventory[Work In Process],MATCH(A58,TableInventory[Item ID],0)),0)</f>
        <v/>
      </c>
      <c r="G59" s="31">
        <f>F58-E58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>
        <f>IF(E58=0,"Not needed",IF(G58&lt;0,"SHORTAGE",IF(G58&lt;F58*0.1,"LOW","OK")))</f>
        <v/>
      </c>
      <c r="J59" s="30">
        <f>IF(B58&lt;&gt;"CAP","",SUMPRODUCT((ISNUMBER(SEARCH("Cap Not Available",'FG Stock'!$H$4:$H$100)))*('FG Stock'!$I$4:$I$100=A58)*'FG Stock'!$F$4:$F$100))</f>
        <v/>
      </c>
      <c r="K59" s="30">
        <f>IF(E58=0,"",MAX(0,E58+IFERROR(J58*1,0)-F58))</f>
        <v/>
      </c>
    </row>
    <row r="60" ht="24" customHeight="1" s="237">
      <c r="A60" s="21" t="n">
        <v>7370</v>
      </c>
      <c r="B60" s="21" t="inlineStr">
        <is>
          <t>CAP</t>
        </is>
      </c>
      <c r="C60" s="21" t="inlineStr">
        <is>
          <t>M-9 S/M SPR BLACK DIA 20.5MM</t>
        </is>
      </c>
      <c r="D60" s="21" t="inlineStr">
        <is>
          <t>PCS</t>
        </is>
      </c>
      <c r="E60" s="27">
        <f>SUMPRODUCT((TableBOM[Item ID]=A60)*TableBOM[Per 1000 Units]*(1+TableBOM[Scrap %])*SUMIF($D$3:$D$10,TableBOM[Product ID],$H$3:$H$10)/1000)</f>
        <v/>
      </c>
      <c r="F60" s="27">
        <f>IFERROR(INDEX(TableInventory[Store Balance],MATCH(A59,TableInventory[Item ID],0)),0)+IFERROR(INDEX(TableInventory[Work In Process],MATCH(A59,TableInventory[Item ID],0)),0)</f>
        <v/>
      </c>
      <c r="G60" s="31">
        <f>F59-E59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>
        <f>IF(E59=0,"Not needed",IF(G59&lt;0,"SHORTAGE",IF(G59&lt;F59*0.1,"LOW","OK")))</f>
        <v/>
      </c>
      <c r="J60" s="30">
        <f>IF(B59&lt;&gt;"CAP","",SUMPRODUCT((ISNUMBER(SEARCH("Cap Not Available",'FG Stock'!$H$4:$H$100)))*('FG Stock'!$I$4:$I$100=A59)*'FG Stock'!$F$4:$F$100))</f>
        <v/>
      </c>
      <c r="K60" s="30">
        <f>IF(E59=0,"",MAX(0,E59+IFERROR(J59*1,0)-F59))</f>
        <v/>
      </c>
    </row>
    <row r="61" hidden="1" ht="24" customHeight="1" s="237">
      <c r="A61" s="21" t="n">
        <v>68</v>
      </c>
      <c r="B61" s="21" t="inlineStr">
        <is>
          <t>CAP</t>
        </is>
      </c>
      <c r="C61" s="21" t="inlineStr">
        <is>
          <t>M-11 S/M SPR WHITE DIA 25MM</t>
        </is>
      </c>
      <c r="D61" s="21" t="inlineStr">
        <is>
          <t>PCS</t>
        </is>
      </c>
      <c r="E61" s="27">
        <f>SUMPRODUCT((TableBOM[Item ID]=A61)*TableBOM[Per 1000 Units]*(1+TableBOM[Scrap %])*SUMIF($D$3:$D$10,TableBOM[Product ID],$H$3:$H$10)/1000)</f>
        <v/>
      </c>
      <c r="F61" s="27">
        <f>IFERROR(INDEX(TableInventory[Store Balance],MATCH(A60,TableInventory[Item ID],0)),0)+IFERROR(INDEX(TableInventory[Work In Process],MATCH(A60,TableInventory[Item ID],0)),0)</f>
        <v/>
      </c>
      <c r="G61" s="31">
        <f>F60-E60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/>
      </c>
      <c r="I61" s="30">
        <f>IF(E60=0,"Not needed",IF(G60&lt;0,"SHORTAGE",IF(G60&lt;F60*0.1,"LOW","OK")))</f>
        <v/>
      </c>
      <c r="J61">
        <f>IF(B60&lt;&gt;"CAP","",SUMPRODUCT((ISNUMBER(SEARCH("Cap Not Available",'FG Stock'!$H$4:$H$100)))*('FG Stock'!$I$4:$I$100=A60)*'FG Stock'!$F$4:$F$100))</f>
        <v/>
      </c>
      <c r="K61">
        <f>IF(E60=0,"",MAX(0,E60+IFERROR(J60*1,0)-F60))</f>
        <v/>
      </c>
    </row>
    <row r="62" hidden="1" ht="24" customHeight="1" s="237">
      <c r="A62" s="21" t="n">
        <v>102</v>
      </c>
      <c r="B62" s="21" t="inlineStr">
        <is>
          <t>CAP</t>
        </is>
      </c>
      <c r="C62" s="21" t="inlineStr">
        <is>
          <t>M-11 S/M SPR ORANGE DIA 25</t>
        </is>
      </c>
      <c r="D62" s="21" t="inlineStr">
        <is>
          <t>PCS</t>
        </is>
      </c>
      <c r="E62" s="27">
        <f>SUMPRODUCT((TableBOM[Item ID]=A62)*TableBOM[Per 1000 Units]*(1+TableBOM[Scrap %])*SUMIF($D$3:$D$10,TableBOM[Product ID],$H$3:$H$10)/1000)</f>
        <v/>
      </c>
      <c r="F62" s="27">
        <f>IFERROR(INDEX(TableInventory[Store Balance],MATCH(A61,TableInventory[Item ID],0)),0)+IFERROR(INDEX(TableInventory[Work In Process],MATCH(A61,TableInventory[Item ID],0)),0)</f>
        <v/>
      </c>
      <c r="G62" s="31">
        <f>F61-E61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>
        <f>IF(E61=0,"Not needed",IF(G61&lt;0,"SHORTAGE",IF(G61&lt;F61*0.1,"LOW","OK")))</f>
        <v/>
      </c>
      <c r="J62">
        <f>IF(B61&lt;&gt;"CAP","",SUMPRODUCT((ISNUMBER(SEARCH("Cap Not Available",'FG Stock'!$H$4:$H$100)))*('FG Stock'!$I$4:$I$100=A61)*'FG Stock'!$F$4:$F$100))</f>
        <v/>
      </c>
      <c r="K62">
        <f>IF(E61=0,"",MAX(0,E61+IFERROR(J61*1,0)-F61))</f>
        <v/>
      </c>
    </row>
    <row r="63" hidden="1" ht="24" customHeight="1" s="237">
      <c r="A63" s="21" t="n">
        <v>1073</v>
      </c>
      <c r="B63" s="21" t="inlineStr">
        <is>
          <t>CAP</t>
        </is>
      </c>
      <c r="C63" s="21" t="inlineStr">
        <is>
          <t>M-11 S/M F/P BLACK</t>
        </is>
      </c>
      <c r="D63" s="21" t="inlineStr">
        <is>
          <t>PCS</t>
        </is>
      </c>
      <c r="E63" s="27">
        <f>SUMPRODUCT((TableBOM[Item ID]=A63)*TableBOM[Per 1000 Units]*(1+TableBOM[Scrap %])*SUMIF($D$3:$D$10,TableBOM[Product ID],$H$3:$H$10)/1000)</f>
        <v/>
      </c>
      <c r="F63" s="27">
        <f>IFERROR(INDEX(TableInventory[Store Balance],MATCH(A62,TableInventory[Item ID],0)),0)+IFERROR(INDEX(TableInventory[Work In Process],MATCH(A62,TableInventory[Item ID],0)),0)</f>
        <v/>
      </c>
      <c r="G63" s="31">
        <f>F62-E62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>
        <f>IF(E62=0,"Not needed",IF(G62&lt;0,"SHORTAGE",IF(G62&lt;F62*0.1,"LOW","OK")))</f>
        <v/>
      </c>
      <c r="J63">
        <f>IF(B62&lt;&gt;"CAP","",SUMPRODUCT((ISNUMBER(SEARCH("Cap Not Available",'FG Stock'!$H$4:$H$100)))*('FG Stock'!$I$4:$I$100=A62)*'FG Stock'!$F$4:$F$100))</f>
        <v/>
      </c>
      <c r="K63">
        <f>IF(E62=0,"",MAX(0,E62+IFERROR(J62*1,0)-F62))</f>
        <v/>
      </c>
    </row>
    <row r="64" hidden="1" ht="24" customHeight="1" s="237">
      <c r="A64" s="21" t="n">
        <v>1285</v>
      </c>
      <c r="B64" s="21" t="inlineStr">
        <is>
          <t>CAP</t>
        </is>
      </c>
      <c r="C64" s="21" t="inlineStr">
        <is>
          <t>M-11 S/M F/P WHITE (LARGE)</t>
        </is>
      </c>
      <c r="D64" s="21" t="inlineStr">
        <is>
          <t>PCS</t>
        </is>
      </c>
      <c r="E64" s="27">
        <f>SUMPRODUCT((TableBOM[Item ID]=A64)*TableBOM[Per 1000 Units]*(1+TableBOM[Scrap %])*SUMIF($D$3:$D$10,TableBOM[Product ID],$H$3:$H$10)/1000)</f>
        <v/>
      </c>
      <c r="F64" s="27">
        <f>IFERROR(INDEX(TableInventory[Store Balance],MATCH(A63,TableInventory[Item ID],0)),0)+IFERROR(INDEX(TableInventory[Work In Process],MATCH(A63,TableInventory[Item ID],0)),0)</f>
        <v/>
      </c>
      <c r="G64" s="31">
        <f>F63-E63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>
        <f>IF(E63=0,"Not needed",IF(G63&lt;0,"SHORTAGE",IF(G63&lt;F63*0.1,"LOW","OK")))</f>
        <v/>
      </c>
      <c r="J64">
        <f>IF(B63&lt;&gt;"CAP","",SUMPRODUCT((ISNUMBER(SEARCH("Cap Not Available",'FG Stock'!$H$4:$H$100)))*('FG Stock'!$I$4:$I$100=A63)*'FG Stock'!$F$4:$F$100))</f>
        <v/>
      </c>
      <c r="K64">
        <f>IF(E63=0,"",MAX(0,E63+IFERROR(J63*1,0)-F63))</f>
        <v/>
      </c>
    </row>
    <row r="65" hidden="1" ht="24" customHeight="1" s="237">
      <c r="A65" s="21" t="n">
        <v>3522</v>
      </c>
      <c r="B65" s="21" t="inlineStr">
        <is>
          <t>CAP</t>
        </is>
      </c>
      <c r="C65" s="21" t="inlineStr">
        <is>
          <t>M-11 S/M SPR DARK BLUE DIA 25MM</t>
        </is>
      </c>
      <c r="D65" s="21" t="inlineStr">
        <is>
          <t>PCS</t>
        </is>
      </c>
      <c r="E65" s="27">
        <f>SUMPRODUCT((TableBOM[Item ID]=A65)*TableBOM[Per 1000 Units]*(1+TableBOM[Scrap %])*SUMIF($D$3:$D$10,TableBOM[Product ID],$H$3:$H$10)/1000)</f>
        <v/>
      </c>
      <c r="F65" s="27">
        <f>IFERROR(INDEX(TableInventory[Store Balance],MATCH(A64,TableInventory[Item ID],0)),0)+IFERROR(INDEX(TableInventory[Work In Process],MATCH(A64,TableInventory[Item ID],0)),0)</f>
        <v/>
      </c>
      <c r="G65" s="31">
        <f>F64-E64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>
        <f>IF(E64=0,"Not needed",IF(G64&lt;0,"SHORTAGE",IF(G64&lt;F64*0.1,"LOW","OK")))</f>
        <v/>
      </c>
      <c r="J65">
        <f>IF(B64&lt;&gt;"CAP","",SUMPRODUCT((ISNUMBER(SEARCH("Cap Not Available",'FG Stock'!$H$4:$H$100)))*('FG Stock'!$I$4:$I$100=A64)*'FG Stock'!$F$4:$F$100))</f>
        <v/>
      </c>
      <c r="K65">
        <f>IF(E64=0,"",MAX(0,E64+IFERROR(J64*1,0)-F64))</f>
        <v/>
      </c>
    </row>
    <row r="66" ht="24" customHeight="1" s="237">
      <c r="A66" s="21" t="n">
        <v>3866</v>
      </c>
      <c r="B66" s="21" t="inlineStr">
        <is>
          <t>CAP</t>
        </is>
      </c>
      <c r="C66" s="21" t="inlineStr">
        <is>
          <t>M-11 S/M SPR BEIGE DIA 25</t>
        </is>
      </c>
      <c r="D66" s="21" t="inlineStr">
        <is>
          <t>PCS</t>
        </is>
      </c>
      <c r="E66" s="27">
        <f>SUMPRODUCT((TableBOM[Item ID]=A66)*TableBOM[Per 1000 Units]*(1+TableBOM[Scrap %])*SUMIF($D$3:$D$10,TableBOM[Product ID],$H$3:$H$10)/1000)</f>
        <v/>
      </c>
      <c r="F66" s="27">
        <f>IFERROR(INDEX(TableInventory[Store Balance],MATCH(A65,TableInventory[Item ID],0)),0)+IFERROR(INDEX(TableInventory[Work In Process],MATCH(A65,TableInventory[Item ID],0)),0)</f>
        <v/>
      </c>
      <c r="G66" s="31">
        <f>F65-E65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>
        <f>IF(E65=0,"Not needed",IF(G65&lt;0,"SHORTAGE",IF(G65&lt;F65*0.1,"LOW","OK")))</f>
        <v/>
      </c>
      <c r="J66">
        <f>IF(B65&lt;&gt;"CAP","",SUMPRODUCT((ISNUMBER(SEARCH("Cap Not Available",'FG Stock'!$H$4:$H$100)))*('FG Stock'!$I$4:$I$100=A65)*'FG Stock'!$F$4:$F$100))</f>
        <v/>
      </c>
      <c r="K66">
        <f>IF(E65=0,"",MAX(0,E65+IFERROR(J65*1,0)-F65))</f>
        <v/>
      </c>
    </row>
    <row r="67" hidden="1" ht="24" customHeight="1" s="237">
      <c r="A67" s="21" t="n">
        <v>578</v>
      </c>
      <c r="B67" s="21" t="inlineStr">
        <is>
          <t>CAP</t>
        </is>
      </c>
      <c r="C67" s="21" t="inlineStr">
        <is>
          <t>M-12 S/M SPR WHITE DIA 30</t>
        </is>
      </c>
      <c r="D67" s="21" t="inlineStr">
        <is>
          <t>PCS</t>
        </is>
      </c>
      <c r="E67" s="27">
        <f>SUMPRODUCT((TableBOM[Item ID]=A67)*TableBOM[Per 1000 Units]*(1+TableBOM[Scrap %])*SUMIF($D$3:$D$10,TableBOM[Product ID],$H$3:$H$10)/1000)</f>
        <v/>
      </c>
      <c r="F67" s="27">
        <f>IFERROR(INDEX(TableInventory[Store Balance],MATCH(A66,TableInventory[Item ID],0)),0)+IFERROR(INDEX(TableInventory[Work In Process],MATCH(A66,TableInventory[Item ID],0)),0)</f>
        <v/>
      </c>
      <c r="G67" s="31">
        <f>F66-E66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  <c r="I67" s="30">
        <f>IF(E66=0,"Not needed",IF(G66&lt;0,"SHORTAGE",IF(G66&lt;F66*0.1,"LOW","OK")))</f>
        <v/>
      </c>
      <c r="J67">
        <f>IF(B66&lt;&gt;"CAP","",SUMPRODUCT((ISNUMBER(SEARCH("Cap Not Available",'FG Stock'!$H$4:$H$100)))*('FG Stock'!$I$4:$I$100=A66)*'FG Stock'!$F$4:$F$100))</f>
        <v/>
      </c>
      <c r="K67">
        <f>IF(E66=0,"",MAX(0,E66+IFERROR(J66*1,0)-F66))</f>
        <v/>
      </c>
    </row>
    <row r="68" hidden="1" ht="24" customHeight="1" s="237">
      <c r="A68" s="21" t="n">
        <v>9902</v>
      </c>
      <c r="B68" s="21" t="inlineStr">
        <is>
          <t>CAP</t>
        </is>
      </c>
      <c r="C68" s="21" t="inlineStr">
        <is>
          <t>CAP 12.5MM (est)</t>
        </is>
      </c>
      <c r="D68" s="21" t="inlineStr">
        <is>
          <t>PCS</t>
        </is>
      </c>
      <c r="E68" s="27">
        <f>SUMPRODUCT((TableBOM[Item ID]=A68)*TableBOM[Per 1000 Units]*(1+TableBOM[Scrap %])*SUMIF($D$3:$D$10,TableBOM[Product ID],$H$3:$H$10)/1000)</f>
        <v/>
      </c>
      <c r="F68" s="27">
        <f>IFERROR(INDEX(TableInventory[Store Balance],MATCH(A67,TableInventory[Item ID],0)),0)+IFERROR(INDEX(TableInventory[Work In Process],MATCH(A67,TableInventory[Item ID],0)),0)</f>
        <v/>
      </c>
      <c r="G68" s="31">
        <f>F67-E67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>
        <f>IF(E67=0,"Not needed",IF(G67&lt;0,"SHORTAGE",IF(G67&lt;F67*0.1,"LOW","OK")))</f>
        <v/>
      </c>
      <c r="J68">
        <f>IF(B67&lt;&gt;"CAP","",SUMPRODUCT((ISNUMBER(SEARCH("Cap Not Available",'FG Stock'!$H$4:$H$100)))*('FG Stock'!$I$4:$I$100=A67)*'FG Stock'!$F$4:$F$100))</f>
        <v/>
      </c>
      <c r="K68">
        <f>IF(E67=0,"",MAX(0,E67+IFERROR(J67*1,0)-F67))</f>
        <v/>
      </c>
    </row>
    <row r="69" ht="24" customHeight="1" s="237">
      <c r="A69" s="21" t="n">
        <v>9903</v>
      </c>
      <c r="B69" s="21" t="inlineStr">
        <is>
          <t>CARTON</t>
        </is>
      </c>
      <c r="C69" s="21" t="inlineStr">
        <is>
          <t>CARTON 12.5MM (est)</t>
        </is>
      </c>
      <c r="D69" s="21" t="inlineStr">
        <is>
          <t>PCS</t>
        </is>
      </c>
      <c r="E69" s="27">
        <f>SUMPRODUCT((TableBOM[Item ID]=A69)*TableBOM[Per 1000 Units]*(1+TableBOM[Scrap %])*SUMIF($D$3:$D$10,TableBOM[Product ID],$H$3:$H$10)/1000)</f>
        <v/>
      </c>
      <c r="F69" s="27">
        <f>IFERROR(INDEX(TableInventory[Store Balance],MATCH(A68,TableInventory[Item ID],0)),0)+IFERROR(INDEX(TableInventory[Work In Process],MATCH(A68,TableInventory[Item ID],0)),0)</f>
        <v/>
      </c>
      <c r="G69" s="31">
        <f>F68-E68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>
        <f>IF(E68=0,"Not needed",IF(G68&lt;0,"SHORTAGE",IF(G68&lt;F68*0.1,"LOW","OK")))</f>
        <v/>
      </c>
      <c r="J69">
        <f>IF(B68&lt;&gt;"CAP","",SUMPRODUCT((ISNUMBER(SEARCH("Cap Not Available",'FG Stock'!$H$4:$H$100)))*('FG Stock'!$I$4:$I$100=A68)*'FG Stock'!$F$4:$F$100))</f>
        <v/>
      </c>
      <c r="K69">
        <f>IF(E68=0,"",MAX(0,E68+IFERROR(J68*1,0)-F68))</f>
        <v/>
      </c>
    </row>
    <row r="70">
      <c r="A70" s="21" t="n">
        <v>36</v>
      </c>
      <c r="B70" s="21" t="inlineStr">
        <is>
          <t>CARTON</t>
        </is>
      </c>
      <c r="C70" s="21" t="inlineStr">
        <is>
          <t>16X200 3Ply</t>
        </is>
      </c>
      <c r="D70" s="21" t="inlineStr">
        <is>
          <t>PCS</t>
        </is>
      </c>
      <c r="E70" s="27">
        <f>SUMPRODUCT((TableBOM[Item ID]=A70)*TableBOM[Per 1000 Units]*(1+TableBOM[Scrap %])*SUMIF($D$3:$D$10,TableBOM[Product ID],$H$3:$H$10)/1000)</f>
        <v/>
      </c>
      <c r="F70" s="27">
        <f>IFERROR(INDEX(TableInventory[Store Balance],MATCH(A69,TableInventory[Item ID],0)),0)+IFERROR(INDEX(TableInventory[Work In Process],MATCH(A69,TableInventory[Item ID],0)),0)</f>
        <v/>
      </c>
      <c r="G70" s="31">
        <f>F69-E69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  <c r="I70" s="30" t="inlineStr">
        <is>
          <t>Hold. CAPS Not Approved</t>
        </is>
      </c>
      <c r="J70">
        <f>IF(B69&lt;&gt;"CAP","",SUMPRODUCT((ISNUMBER(SEARCH("Cap Not Available",'FG Stock'!$H$4:$H$100)))*('FG Stock'!$I$4:$I$100=A69)*'FG Stock'!$F$4:$F$100))</f>
        <v/>
      </c>
      <c r="K70">
        <f>IF(E69=0,"",MAX(0,E69+IFERROR(J69*1,0)-F69))</f>
        <v/>
      </c>
    </row>
    <row r="71" hidden="1" s="237">
      <c r="A71" s="21" t="n">
        <v>200</v>
      </c>
      <c r="B71" s="21" t="inlineStr">
        <is>
          <t>CARTON</t>
        </is>
      </c>
      <c r="C71" s="21" t="inlineStr">
        <is>
          <t>DIA 16 5Ply</t>
        </is>
      </c>
      <c r="D71" s="21" t="inlineStr">
        <is>
          <t>PCS</t>
        </is>
      </c>
      <c r="E71" s="27">
        <f>SUMPRODUCT((TableBOM[Item ID]=A71)*TableBOM[Per 1000 Units]*(1+TableBOM[Scrap %])*SUMIF($D$3:$D$10,TableBOM[Product ID],$H$3:$H$10)/1000)</f>
        <v/>
      </c>
      <c r="F71" s="27">
        <f>IFERROR(INDEX(TableInventory[Store Balance],MATCH(A70,TableInventory[Item ID],0)),0)+IFERROR(INDEX(TableInventory[Work In Process],MATCH(A70,TableInventory[Item ID],0)),0)</f>
        <v/>
      </c>
      <c r="G71" s="31">
        <f>F70-E70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  <c r="I71" s="30" t="inlineStr">
        <is>
          <t>Hold. CAPS Not Approved</t>
        </is>
      </c>
      <c r="J71" s="30">
        <f>IF(B70&lt;&gt;"CAP","",SUMPRODUCT((ISNUMBER(SEARCH("Cap Not Available",'FG Stock'!$H$4:$H$100)))*('FG Stock'!$I$4:$I$100=A70)*'FG Stock'!$F$4:$F$100))</f>
        <v/>
      </c>
      <c r="K71" s="30">
        <f>IF(E70=0,"",MAX(0,E70+IFERROR(J70*1,0)-F70))</f>
        <v/>
      </c>
    </row>
    <row r="72" hidden="1" s="237">
      <c r="A72" s="21" t="n">
        <v>39</v>
      </c>
      <c r="B72" s="21" t="inlineStr">
        <is>
          <t>CARTON</t>
        </is>
      </c>
      <c r="C72" s="21" t="inlineStr">
        <is>
          <t>19X200 3Ply</t>
        </is>
      </c>
      <c r="D72" s="21" t="inlineStr">
        <is>
          <t>PCS</t>
        </is>
      </c>
      <c r="E72" s="27">
        <f>SUMPRODUCT((TableBOM[Item ID]=A72)*TableBOM[Per 1000 Units]*(1+TableBOM[Scrap %])*SUMIF($D$3:$D$10,TableBOM[Product ID],$H$3:$H$10)/1000)</f>
        <v/>
      </c>
      <c r="F72" s="27">
        <f>IFERROR(INDEX(TableInventory[Store Balance],MATCH(A71,TableInventory[Item ID],0)),0)+IFERROR(INDEX(TableInventory[Work In Process],MATCH(A71,TableInventory[Item ID],0)),0)</f>
        <v/>
      </c>
      <c r="G72" s="31">
        <f>F71-E71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>
        <f>IF(E71=0,"Not needed",IF(G71&lt;0,"SHORTAGE",IF(G71&lt;F71*0.1,"LOW","OK")))</f>
        <v/>
      </c>
      <c r="J72" s="30">
        <f>IF(B71&lt;&gt;"CAP","",SUMPRODUCT((ISNUMBER(SEARCH("Cap Not Available",'FG Stock'!$H$4:$H$100)))*('FG Stock'!$I$4:$I$100=A71)*'FG Stock'!$F$4:$F$100))</f>
        <v/>
      </c>
      <c r="K72" s="30">
        <f>IF(E71=0,"",MAX(0,E71+IFERROR(J71*1,0)-F71))</f>
        <v/>
      </c>
    </row>
    <row r="73" ht="24" customHeight="1" s="237">
      <c r="A73" s="21" t="n">
        <v>3619</v>
      </c>
      <c r="B73" s="21" t="inlineStr">
        <is>
          <t>CARTON</t>
        </is>
      </c>
      <c r="C73" s="21" t="inlineStr">
        <is>
          <t>20.5x510 5ply</t>
        </is>
      </c>
      <c r="D73" s="21" t="inlineStr">
        <is>
          <t>PCS</t>
        </is>
      </c>
      <c r="E73" s="27">
        <f>SUMPRODUCT((TableBOM[Item ID]=A73)*TableBOM[Per 1000 Units]*(1+TableBOM[Scrap %])*SUMIF($D$3:$D$10,TableBOM[Product ID],$H$3:$H$10)/1000)</f>
        <v/>
      </c>
      <c r="F73" s="27">
        <f>IFERROR(INDEX(TableInventory[Store Balance],MATCH(A72,TableInventory[Item ID],0)),0)+IFERROR(INDEX(TableInventory[Work In Process],MATCH(A72,TableInventory[Item ID],0)),0)</f>
        <v/>
      </c>
      <c r="G73" s="31">
        <f>F72-E72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>
        <f>IF(E72=0,"Not needed",IF(G72&lt;0,"SHORTAGE",IF(G72&lt;F72*0.1,"LOW","OK")))</f>
        <v/>
      </c>
      <c r="J73" s="30">
        <f>IF(B72&lt;&gt;"CAP","",SUMPRODUCT((ISNUMBER(SEARCH("Cap Not Available",'FG Stock'!$H$4:$H$100)))*('FG Stock'!$I$4:$I$100=A72)*'FG Stock'!$F$4:$F$100))</f>
        <v/>
      </c>
      <c r="K73" s="30">
        <f>IF(E72=0,"",MAX(0,E72+IFERROR(J72*1,0)-F72))</f>
        <v/>
      </c>
    </row>
    <row r="74" hidden="1" s="237">
      <c r="A74" s="21" t="n">
        <v>3598</v>
      </c>
      <c r="B74" s="21" t="inlineStr">
        <is>
          <t>CARTON</t>
        </is>
      </c>
      <c r="C74" s="21" t="inlineStr">
        <is>
          <t>25x336 5Ply</t>
        </is>
      </c>
      <c r="D74" s="21" t="inlineStr">
        <is>
          <t>PCS</t>
        </is>
      </c>
      <c r="E74" s="27">
        <f>SUMPRODUCT((TableBOM[Item ID]=A74)*TableBOM[Per 1000 Units]*(1+TableBOM[Scrap %])*SUMIF($D$3:$D$10,TableBOM[Product ID],$H$3:$H$10)/1000)</f>
        <v/>
      </c>
      <c r="F74" s="27">
        <f>IFERROR(INDEX(TableInventory[Store Balance],MATCH(A73,TableInventory[Item ID],0)),0)+IFERROR(INDEX(TableInventory[Work In Process],MATCH(A73,TableInventory[Item ID],0)),0)</f>
        <v/>
      </c>
      <c r="G74" s="31">
        <f>F73-E73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/>
      </c>
      <c r="I74" s="30">
        <f>IF(E73=0,"Not needed",IF(G73&lt;0,"SHORTAGE",IF(G73&lt;F73*0.1,"LOW","OK")))</f>
        <v/>
      </c>
      <c r="J74" s="30">
        <f>IF(B73&lt;&gt;"CAP","",SUMPRODUCT((ISNUMBER(SEARCH("Cap Not Available",'FG Stock'!$H$4:$H$100)))*('FG Stock'!$I$4:$I$100=A73)*'FG Stock'!$F$4:$F$100))</f>
        <v/>
      </c>
      <c r="K74" s="30">
        <f>IF(E73=0,"",MAX(0,E73+IFERROR(J73*1,0)-F73))</f>
        <v/>
      </c>
    </row>
    <row r="75">
      <c r="A75" s="21" t="n">
        <v>45</v>
      </c>
      <c r="B75" s="21" t="inlineStr">
        <is>
          <t>CARTON</t>
        </is>
      </c>
      <c r="C75" s="21" t="inlineStr">
        <is>
          <t>30X150 3Ply</t>
        </is>
      </c>
      <c r="D75" s="21" t="inlineStr">
        <is>
          <t>PCS</t>
        </is>
      </c>
      <c r="E75" s="27">
        <f>SUMPRODUCT((TableBOM[Item ID]=A75)*TableBOM[Per 1000 Units]*(1+TableBOM[Scrap %])*SUMIF($D$3:$D$10,TableBOM[Product ID],$H$3:$H$10)/1000)</f>
        <v/>
      </c>
      <c r="F75" s="27">
        <f>IFERROR(INDEX(TableInventory[Store Balance],MATCH(A74,TableInventory[Item ID],0)),0)+IFERROR(INDEX(TableInventory[Work In Process],MATCH(A74,TableInventory[Item ID],0)),0)</f>
        <v/>
      </c>
      <c r="G75" s="31">
        <f>F74-E74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>
        <f>IF(E74=0,"Not needed",IF(G74&lt;0,"SHORTAGE",IF(G74&lt;F74*0.1,"LOW","OK")))</f>
        <v/>
      </c>
      <c r="J75" s="30">
        <f>IF(B74&lt;&gt;"CAP","",SUMPRODUCT((ISNUMBER(SEARCH("Cap Not Available",'FG Stock'!$H$4:$H$100)))*('FG Stock'!$I$4:$I$100=A74)*'FG Stock'!$F$4:$F$100))</f>
        <v/>
      </c>
      <c r="K75" s="30">
        <f>IF(E74=0,"",MAX(0,E74+IFERROR(J74*1,0)-F74))</f>
        <v/>
      </c>
    </row>
    <row r="76" hidden="1" s="237">
      <c r="A76" s="21" t="n">
        <v>3988</v>
      </c>
      <c r="B76" s="21" t="inlineStr">
        <is>
          <t>CARTON</t>
        </is>
      </c>
      <c r="C76" s="21" t="inlineStr">
        <is>
          <t>35x165 5ply</t>
        </is>
      </c>
      <c r="D76" s="21" t="inlineStr">
        <is>
          <t>PCS</t>
        </is>
      </c>
      <c r="E76" s="27">
        <f>SUMPRODUCT((TableBOM[Item ID]=A76)*TableBOM[Per 1000 Units]*(1+TableBOM[Scrap %])*SUMIF($D$3:$D$10,TableBOM[Product ID],$H$3:$H$10)/1000)</f>
        <v/>
      </c>
      <c r="F76" s="27">
        <f>IFERROR(INDEX(TableInventory[Store Balance],MATCH(A75,TableInventory[Item ID],0)),0)+IFERROR(INDEX(TableInventory[Work In Process],MATCH(A75,TableInventory[Item ID],0)),0)</f>
        <v/>
      </c>
      <c r="G76" s="31">
        <f>F75-E75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/>
      </c>
      <c r="I76" s="30">
        <f>IF(E75=0,"Not needed",IF(G75&lt;0,"SHORTAGE",IF(G75&lt;F75*0.1,"LOW","OK")))</f>
        <v/>
      </c>
      <c r="J76" s="30">
        <f>IF(B75&lt;&gt;"CAP","",SUMPRODUCT((ISNUMBER(SEARCH("Cap Not Available",'FG Stock'!$H$4:$H$100)))*('FG Stock'!$I$4:$I$100=A75)*'FG Stock'!$F$4:$F$100))</f>
        <v/>
      </c>
      <c r="K76" s="30">
        <f>IF(E75=0,"",MAX(0,E75+IFERROR(J75*1,0)-F75))</f>
        <v/>
      </c>
    </row>
    <row r="77" ht="48" customHeight="1" s="237">
      <c r="A77" s="21" t="n">
        <v>5977</v>
      </c>
      <c r="B77" s="21" t="inlineStr">
        <is>
          <t>CARTON</t>
        </is>
      </c>
      <c r="C77" s="21" t="inlineStr">
        <is>
          <t>MASTER CARTON 38"X24"X15.5"</t>
        </is>
      </c>
      <c r="D77" s="21" t="inlineStr">
        <is>
          <t>PCS</t>
        </is>
      </c>
      <c r="E77" s="27">
        <f>SUMPRODUCT((TableBOM[Item ID]=A77)*TableBOM[Per 1000 Units]*(1+TableBOM[Scrap %])*SUMIF($D$3:$D$10,TableBOM[Product ID],$H$3:$H$10)/1000)</f>
        <v/>
      </c>
      <c r="F77" s="27">
        <f>IFERROR(INDEX(TableInventory[Store Balance],MATCH(A76,TableInventory[Item ID],0)),0)+IFERROR(INDEX(TableInventory[Work In Process],MATCH(A76,TableInventory[Item ID],0)),0)</f>
        <v/>
      </c>
      <c r="G77" s="31">
        <f>F76-E76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>
        <f>IF(E76=0,"Not needed",IF(G76&lt;0,"SHORTAGE",IF(G76&lt;F76*0.1,"LOW","OK")))</f>
        <v/>
      </c>
      <c r="J77" s="30">
        <f>IF(B76&lt;&gt;"CAP","",SUMPRODUCT((ISNUMBER(SEARCH("Cap Not Available",'FG Stock'!$H$4:$H$100)))*('FG Stock'!$I$4:$I$100=A76)*'FG Stock'!$F$4:$F$100))</f>
        <v/>
      </c>
      <c r="K77" s="30">
        <f>IF(E76=0,"",MAX(0,E76+IFERROR(J76*1,0)-F76))</f>
        <v/>
      </c>
    </row>
    <row r="78">
      <c r="A78" s="21" t="n">
        <v>3635</v>
      </c>
      <c r="B78" s="21" t="inlineStr">
        <is>
          <t>TAPE</t>
        </is>
      </c>
      <c r="C78" s="21" t="inlineStr">
        <is>
          <t>PACKING TAPE 2" OF 60 YARDS</t>
        </is>
      </c>
      <c r="D78" s="21" t="inlineStr">
        <is>
          <t>PCS</t>
        </is>
      </c>
      <c r="E78" s="27">
        <f>SUMPRODUCT((TableBOM[Item ID]=A78)*TableBOM[Per 1000 Units]*(1+TableBOM[Scrap %])*SUMIF($D$3:$D$10,TableBOM[Product ID],$H$3:$H$10)/1000)</f>
        <v/>
      </c>
      <c r="F78" s="27">
        <f>IFERROR(INDEX(TableInventory[Store Balance],MATCH(A77,TableInventory[Item ID],0)),0)+IFERROR(INDEX(TableInventory[Work In Process],MATCH(A77,TableInventory[Item ID],0)),0)</f>
        <v/>
      </c>
      <c r="G78" s="31">
        <f>F77-E77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/>
      </c>
      <c r="I78" s="30">
        <f>IF(E77=0,"Not needed",IF(G77&lt;0,"SHORTAGE",IF(G77&lt;F77*0.1,"LOW","OK")))</f>
        <v/>
      </c>
      <c r="J78" s="30">
        <f>IF(B77&lt;&gt;"CAP","",SUMPRODUCT((ISNUMBER(SEARCH("Cap Not Available",'FG Stock'!$H$4:$H$100)))*('FG Stock'!$I$4:$I$100=A77)*'FG Stock'!$F$4:$F$100))</f>
        <v/>
      </c>
      <c r="K78" s="30">
        <f>IF(E77=0,"",MAX(0,E77+IFERROR(J77*1,0)-F77))</f>
        <v/>
      </c>
    </row>
    <row r="79" hidden="1" ht="15" customHeight="1" s="237">
      <c r="A79" s="21" t="n">
        <v>190</v>
      </c>
      <c r="B79" s="21" t="inlineStr">
        <is>
          <t>THINNER</t>
        </is>
      </c>
      <c r="C79" s="21" t="inlineStr">
        <is>
          <t>THINNER FOR LACQUER SOL R/C</t>
        </is>
      </c>
      <c r="D79" s="21" t="inlineStr">
        <is>
          <t>L</t>
        </is>
      </c>
      <c r="E79" s="27">
        <f>SUMPRODUCT((TableBOM[Item ID]=A79)*TableBOM[Per 1000 Units]*(1+TableBOM[Scrap %])*SUMIF($D$3:$D$10,TableBOM[Product ID],$H$3:$H$10)/1000)</f>
        <v/>
      </c>
      <c r="F79" s="27">
        <f>IFERROR(INDEX(TableInventory[Store Balance],MATCH(A78,TableInventory[Item ID],0)),0)+IFERROR(INDEX(TableInventory[Work In Process],MATCH(A78,TableInventory[Item ID],0)),0)</f>
        <v/>
      </c>
      <c r="G79" s="31">
        <f>F78-E78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  <c r="I79" s="30">
        <f>IF(E78=0,"Not needed",IF(G78&lt;0,"SHORTAGE",IF(G78&lt;F78*0.1,"LOW","OK")))</f>
        <v/>
      </c>
      <c r="J79" s="30">
        <f>IF(B78&lt;&gt;"CAP","",SUMPRODUCT((ISNUMBER(SEARCH("Cap Not Available",'FG Stock'!$H$4:$H$100)))*('FG Stock'!$I$4:$I$100=A78)*'FG Stock'!$F$4:$F$100))</f>
        <v/>
      </c>
      <c r="K79" s="30">
        <f>IF(E78=0,"",MAX(0,E78+IFERROR(J78*1,0)-F78))</f>
        <v/>
      </c>
    </row>
    <row r="80" hidden="1" ht="15" customHeight="1" s="237">
      <c r="A80" s="21" t="n">
        <v>191</v>
      </c>
      <c r="B80" s="21" t="inlineStr">
        <is>
          <t>THINNER</t>
        </is>
      </c>
      <c r="C80" s="21" t="inlineStr">
        <is>
          <t>THINNER LACQUER SOL EPOXY</t>
        </is>
      </c>
      <c r="D80" s="21" t="inlineStr">
        <is>
          <t>L</t>
        </is>
      </c>
      <c r="E80" s="27">
        <f>SUMPRODUCT((TableBOM[Item ID]=A80)*TableBOM[Per 1000 Units]*(1+TableBOM[Scrap %])*SUMIF($D$3:$D$10,TableBOM[Product ID],$H$3:$H$10)/1000)</f>
        <v/>
      </c>
      <c r="F80" s="27">
        <f>IFERROR(INDEX(TableInventory[Store Balance],MATCH(A79,TableInventory[Item ID],0)),0)+IFERROR(INDEX(TableInventory[Work In Process],MATCH(A79,TableInventory[Item ID],0)),0)</f>
        <v/>
      </c>
      <c r="G80" s="31">
        <f>F79-E79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>
        <f>IF(E79=0,"Not needed",IF(G79&lt;0,"SHORTAGE",IF(G79&lt;F79*0.1,"LOW","OK")))</f>
        <v/>
      </c>
      <c r="J80" s="30">
        <f>IF(B79&lt;&gt;"CAP","",SUMPRODUCT((ISNUMBER(SEARCH("Cap Not Available",'FG Stock'!$H$4:$H$100)))*('FG Stock'!$I$4:$I$100=A79)*'FG Stock'!$F$4:$F$100))</f>
        <v/>
      </c>
      <c r="K80" s="30">
        <f>IF(E79=0,"",MAX(0,E79+IFERROR(J79*1,0)-F79))</f>
        <v/>
      </c>
    </row>
    <row r="81" hidden="1" ht="15" customHeight="1" s="237">
      <c r="A81" s="21" t="n">
        <v>2680</v>
      </c>
      <c r="B81" s="21" t="inlineStr">
        <is>
          <t>PET RESIN</t>
        </is>
      </c>
      <c r="C81" s="21" t="inlineStr">
        <is>
          <t>PET RESIN A-84</t>
        </is>
      </c>
      <c r="D81" s="21" t="inlineStr">
        <is>
          <t>kg</t>
        </is>
      </c>
      <c r="E81" s="27">
        <f>SUMPRODUCT((TableBOM[Item ID]=A81)*TableBOM[Per 1000 Units]*(1+TableBOM[Scrap %])*SUMIF($D$3:$D$10,TableBOM[Product ID],$H$3:$H$10)/1000)</f>
        <v/>
      </c>
      <c r="F81" s="27">
        <f>IFERROR(INDEX(TableInventory[Store Balance],MATCH(A80,TableInventory[Item ID],0)),0)+IFERROR(INDEX(TableInventory[Work In Process],MATCH(A80,TableInventory[Item ID],0)),0)</f>
        <v/>
      </c>
      <c r="G81" s="31">
        <f>F80-E80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>
        <f>IF(E80=0,"Not needed",IF(G80&lt;0,"SHORTAGE",IF(G80&lt;F80*0.1,"LOW","OK")))</f>
        <v/>
      </c>
      <c r="J81" s="30">
        <f>IF(B80&lt;&gt;"CAP","",SUMPRODUCT((ISNUMBER(SEARCH("Cap Not Available",'FG Stock'!$H$4:$H$100)))*('FG Stock'!$I$4:$I$100=A80)*'FG Stock'!$F$4:$F$100))</f>
        <v/>
      </c>
      <c r="K81" s="30">
        <f>IF(E80=0,"",MAX(0,E80+IFERROR(J80*1,0)-F80))</f>
        <v/>
      </c>
    </row>
    <row r="82" hidden="1" ht="15" customHeight="1" s="237">
      <c r="A82" s="21" t="n">
        <v>3492</v>
      </c>
      <c r="B82" s="21" t="inlineStr">
        <is>
          <t>MASTER BATCH</t>
        </is>
      </c>
      <c r="C82" s="21" t="inlineStr">
        <is>
          <t>MASTER BATCH (PA M27) GREEN</t>
        </is>
      </c>
      <c r="D82" s="21" t="inlineStr">
        <is>
          <t>kg</t>
        </is>
      </c>
      <c r="E82" s="27">
        <f>SUMPRODUCT((TableBOM[Item ID]=A82)*TableBOM[Per 1000 Units]*(1+TableBOM[Scrap %])*SUMIF($D$3:$D$10,TableBOM[Product ID],$H$3:$H$10)/1000)</f>
        <v/>
      </c>
      <c r="F82" s="27">
        <f>IFERROR(INDEX(TableInventory[Store Balance],MATCH(A81,TableInventory[Item ID],0)),0)+IFERROR(INDEX(TableInventory[Work In Process],MATCH(A81,TableInventory[Item ID],0)),0)</f>
        <v/>
      </c>
      <c r="G82" s="31">
        <f>F81-E81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>
        <f>IF(E81=0,"Not needed",IF(G81&lt;0,"SHORTAGE",IF(G81&lt;F81*0.1,"LOW","OK")))</f>
        <v/>
      </c>
      <c r="J82" s="30">
        <f>IF(B81&lt;&gt;"CAP","",SUMPRODUCT((ISNUMBER(SEARCH("Cap Not Available",'FG Stock'!$H$4:$H$100)))*('FG Stock'!$I$4:$I$100=A81)*'FG Stock'!$F$4:$F$100))</f>
        <v/>
      </c>
      <c r="K82" s="30">
        <f>IF(E81=0,"",MAX(0,E81+IFERROR(J81*1,0)-F81))</f>
        <v/>
      </c>
    </row>
    <row r="83" hidden="1" ht="15" customHeight="1" s="237">
      <c r="A83" s="21" t="n">
        <v>4002</v>
      </c>
      <c r="B83" s="21" t="inlineStr">
        <is>
          <t>MASTER BATCH</t>
        </is>
      </c>
      <c r="C83" s="21" t="inlineStr">
        <is>
          <t>MASTER BATCH YELLOW CMN# 3087</t>
        </is>
      </c>
      <c r="D83" s="21" t="inlineStr">
        <is>
          <t>kg</t>
        </is>
      </c>
      <c r="E83" s="27">
        <f>SUMPRODUCT((TableBOM[Item ID]=A83)*TableBOM[Per 1000 Units]*(1+TableBOM[Scrap %])*SUMIF($D$3:$D$10,TableBOM[Product ID],$H$3:$H$10)/1000)</f>
        <v/>
      </c>
      <c r="F83" s="27">
        <f>IFERROR(INDEX(TableInventory[Store Balance],MATCH(A82,TableInventory[Item ID],0)),0)+IFERROR(INDEX(TableInventory[Work In Process],MATCH(A82,TableInventory[Item ID],0)),0)</f>
        <v/>
      </c>
      <c r="G83" s="31">
        <f>F82-E82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>
        <f>IF(E82=0,"Not needed",IF(G82&lt;0,"SHORTAGE",IF(G82&lt;F82*0.1,"LOW","OK")))</f>
        <v/>
      </c>
      <c r="J83" s="30">
        <f>IF(B82&lt;&gt;"CAP","",SUMPRODUCT((ISNUMBER(SEARCH("Cap Not Available",'FG Stock'!$H$4:$H$100)))*('FG Stock'!$I$4:$I$100=A82)*'FG Stock'!$F$4:$F$100))</f>
        <v/>
      </c>
      <c r="K83" s="30">
        <f>IF(E82=0,"",MAX(0,E82+IFERROR(J82*1,0)-F82))</f>
        <v/>
      </c>
    </row>
    <row r="84" hidden="1" ht="15" customHeight="1" s="237">
      <c r="A84" s="21" t="n">
        <v>4070</v>
      </c>
      <c r="B84" s="21" t="inlineStr">
        <is>
          <t>MASTER BATCH</t>
        </is>
      </c>
      <c r="C84" s="21" t="inlineStr">
        <is>
          <t>MASTER BATCH ONCOLOR YELLOW NE12340208-ZN</t>
        </is>
      </c>
      <c r="D84" s="21" t="inlineStr">
        <is>
          <t>kg</t>
        </is>
      </c>
      <c r="E84" s="27">
        <f>SUMPRODUCT((TableBOM[Item ID]=A84)*TableBOM[Per 1000 Units]*(1+TableBOM[Scrap %])*SUMIF($D$3:$D$10,TableBOM[Product ID],$H$3:$H$10)/1000)</f>
        <v/>
      </c>
      <c r="F84" s="27">
        <f>IFERROR(INDEX(TableInventory[Store Balance],MATCH(A83,TableInventory[Item ID],0)),0)+IFERROR(INDEX(TableInventory[Work In Process],MATCH(A83,TableInventory[Item ID],0)),0)</f>
        <v/>
      </c>
      <c r="G84" s="31">
        <f>F83-E83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>
        <f>IF(E83=0,"Not needed",IF(G83&lt;0,"SHORTAGE",IF(G83&lt;F83*0.1,"LOW","OK")))</f>
        <v/>
      </c>
      <c r="J84" s="30">
        <f>IF(B83&lt;&gt;"CAP","",SUMPRODUCT((ISNUMBER(SEARCH("Cap Not Available",'FG Stock'!$H$4:$H$100)))*('FG Stock'!$I$4:$I$100=A83)*'FG Stock'!$F$4:$F$100))</f>
        <v/>
      </c>
      <c r="K84" s="30">
        <f>IF(E83=0,"",MAX(0,E83+IFERROR(J83*1,0)-F83))</f>
        <v/>
      </c>
    </row>
    <row r="85" hidden="1" ht="15" customHeight="1" s="237">
      <c r="A85" s="21" t="n">
        <v>4310</v>
      </c>
      <c r="B85" s="21" t="inlineStr">
        <is>
          <t>MASTER BATCH</t>
        </is>
      </c>
      <c r="C85" s="21" t="inlineStr">
        <is>
          <t>MASTER BATCH BEIGE (RCW-25)</t>
        </is>
      </c>
      <c r="D85" s="21" t="inlineStr">
        <is>
          <t>kg</t>
        </is>
      </c>
      <c r="E85" s="27">
        <f>SUMPRODUCT((TableBOM[Item ID]=A85)*TableBOM[Per 1000 Units]*(1+TableBOM[Scrap %])*SUMIF($D$3:$D$10,TableBOM[Product ID],$H$3:$H$10)/1000)</f>
        <v/>
      </c>
      <c r="F85" s="27">
        <f>IFERROR(INDEX(TableInventory[Store Balance],MATCH(A84,TableInventory[Item ID],0)),0)+IFERROR(INDEX(TableInventory[Work In Process],MATCH(A84,TableInventory[Item ID],0)),0)</f>
        <v/>
      </c>
      <c r="G85" s="31">
        <f>F84-E84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>
        <f>IF(E84=0,"Not needed",IF(G84&lt;0,"SHORTAGE",IF(G84&lt;F84*0.1,"LOW","OK")))</f>
        <v/>
      </c>
      <c r="J85" s="30">
        <f>IF(B84&lt;&gt;"CAP","",SUMPRODUCT((ISNUMBER(SEARCH("Cap Not Available",'FG Stock'!$H$4:$H$100)))*('FG Stock'!$I$4:$I$100=A84)*'FG Stock'!$F$4:$F$100))</f>
        <v/>
      </c>
      <c r="K85" s="30">
        <f>IF(E84=0,"",MAX(0,E84+IFERROR(J84*1,0)-F84))</f>
        <v/>
      </c>
    </row>
    <row r="86" hidden="1" ht="15" customHeight="1" s="237">
      <c r="A86" s="21" t="n">
        <v>5625</v>
      </c>
      <c r="B86" s="21" t="inlineStr">
        <is>
          <t>MASTER BATCH</t>
        </is>
      </c>
      <c r="C86" s="21" t="inlineStr">
        <is>
          <t>MASTER BATCH AMBAR BR-535n</t>
        </is>
      </c>
      <c r="D86" s="21" t="inlineStr">
        <is>
          <t>kg</t>
        </is>
      </c>
      <c r="E86" s="27">
        <f>SUMPRODUCT((TableBOM[Item ID]=A86)*TableBOM[Per 1000 Units]*(1+TableBOM[Scrap %])*SUMIF($D$3:$D$10,TableBOM[Product ID],$H$3:$H$10)/1000)</f>
        <v/>
      </c>
      <c r="F86" s="27">
        <f>IFERROR(INDEX(TableInventory[Store Balance],MATCH(A85,TableInventory[Item ID],0)),0)+IFERROR(INDEX(TableInventory[Work In Process],MATCH(A85,TableInventory[Item ID],0)),0)</f>
        <v/>
      </c>
      <c r="G86" s="31">
        <f>F85-E85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>
        <f>IF(E85=0,"Not needed",IF(G85&lt;0,"SHORTAGE",IF(G85&lt;F85*0.1,"LOW","OK")))</f>
        <v/>
      </c>
      <c r="J86" s="30">
        <f>IF(B85&lt;&gt;"CAP","",SUMPRODUCT((ISNUMBER(SEARCH("Cap Not Available",'FG Stock'!$H$4:$H$100)))*('FG Stock'!$I$4:$I$100=A85)*'FG Stock'!$F$4:$F$100))</f>
        <v/>
      </c>
      <c r="K86" s="30">
        <f>IF(E85=0,"",MAX(0,E85+IFERROR(J85*1,0)-F85))</f>
        <v/>
      </c>
    </row>
    <row r="87" hidden="1" ht="15" customHeight="1" s="237">
      <c r="A87" s="21" t="n">
        <v>5816</v>
      </c>
      <c r="B87" s="21" t="inlineStr">
        <is>
          <t>MASTER BATCH</t>
        </is>
      </c>
      <c r="C87" s="21" t="inlineStr">
        <is>
          <t>MASTER BATCH WHITE PRC-MC ET02340000</t>
        </is>
      </c>
      <c r="D87" s="21" t="inlineStr">
        <is>
          <t>kg</t>
        </is>
      </c>
      <c r="E87" s="27">
        <f>SUMPRODUCT((TableBOM[Item ID]=A87)*TableBOM[Per 1000 Units]*(1+TableBOM[Scrap %])*SUMIF($D$3:$D$10,TableBOM[Product ID],$H$3:$H$10)/1000)</f>
        <v/>
      </c>
      <c r="F87" s="27">
        <f>IFERROR(INDEX(TableInventory[Store Balance],MATCH(A86,TableInventory[Item ID],0)),0)+IFERROR(INDEX(TableInventory[Work In Process],MATCH(A86,TableInventory[Item ID],0)),0)</f>
        <v/>
      </c>
      <c r="G87" s="31">
        <f>F86-E86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>
        <f>IF(E86=0,"Not needed",IF(G86&lt;0,"SHORTAGE",IF(G86&lt;F86*0.1,"LOW","OK")))</f>
        <v/>
      </c>
      <c r="J87" s="30">
        <f>IF(B86&lt;&gt;"CAP","",SUMPRODUCT((ISNUMBER(SEARCH("Cap Not Available",'FG Stock'!$H$4:$H$100)))*('FG Stock'!$I$4:$I$100=A86)*'FG Stock'!$F$4:$F$100))</f>
        <v/>
      </c>
      <c r="K87" s="30">
        <f>IF(E86=0,"",MAX(0,E86+IFERROR(J86*1,0)-F86))</f>
        <v/>
      </c>
    </row>
    <row r="88" hidden="1" ht="15" customHeight="1" s="237">
      <c r="A88" s="21" t="n">
        <v>6135</v>
      </c>
      <c r="B88" s="21" t="inlineStr">
        <is>
          <t>MASTER BATCH</t>
        </is>
      </c>
      <c r="C88" s="21" t="inlineStr">
        <is>
          <t>MASTER BATCH RENOL-GREEN NE60340193-MN</t>
        </is>
      </c>
      <c r="D88" s="21" t="inlineStr">
        <is>
          <t>kg</t>
        </is>
      </c>
      <c r="E88" s="27">
        <f>SUMPRODUCT((TableBOM[Item ID]=A88)*TableBOM[Per 1000 Units]*(1+TableBOM[Scrap %])*SUMIF($D$3:$D$10,TableBOM[Product ID],$H$3:$H$10)/1000)</f>
        <v/>
      </c>
      <c r="F88" s="27">
        <f>IFERROR(INDEX(TableInventory[Store Balance],MATCH(A87,TableInventory[Item ID],0)),0)+IFERROR(INDEX(TableInventory[Work In Process],MATCH(A87,TableInventory[Item ID],0)),0)</f>
        <v/>
      </c>
      <c r="G88" s="31">
        <f>F87-E87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>
        <f>IF(E87=0,"Not needed",IF(G87&lt;0,"SHORTAGE",IF(G87&lt;F87*0.1,"LOW","OK")))</f>
        <v/>
      </c>
      <c r="J88" s="30">
        <f>IF(B87&lt;&gt;"CAP","",SUMPRODUCT((ISNUMBER(SEARCH("Cap Not Available",'FG Stock'!$H$4:$H$100)))*('FG Stock'!$I$4:$I$100=A87)*'FG Stock'!$F$4:$F$100))</f>
        <v/>
      </c>
      <c r="K88" s="30">
        <f>IF(E87=0,"",MAX(0,E87+IFERROR(J87*1,0)-F87))</f>
        <v/>
      </c>
    </row>
    <row r="89" hidden="1" ht="15" customHeight="1" s="237">
      <c r="A89" s="21" t="n">
        <v>7133</v>
      </c>
      <c r="B89" s="21" t="inlineStr">
        <is>
          <t>MASTER BATCH</t>
        </is>
      </c>
      <c r="C89" s="21" t="inlineStr">
        <is>
          <t>MASTER BATCH GREEN PE63340532-ZN FA</t>
        </is>
      </c>
      <c r="D89" s="21" t="inlineStr">
        <is>
          <t>kg</t>
        </is>
      </c>
      <c r="E89" s="27">
        <f>SUMPRODUCT((TableBOM[Item ID]=A89)*TableBOM[Per 1000 Units]*(1+TableBOM[Scrap %])*SUMIF($D$3:$D$10,TableBOM[Product ID],$H$3:$H$10)/1000)</f>
        <v/>
      </c>
      <c r="F89" s="27">
        <f>IFERROR(INDEX(TableInventory[Store Balance],MATCH(A88,TableInventory[Item ID],0)),0)+IFERROR(INDEX(TableInventory[Work In Process],MATCH(A88,TableInventory[Item ID],0)),0)</f>
        <v/>
      </c>
      <c r="G89" s="31">
        <f>F88-E88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>
        <f>IF(E88=0,"Not needed",IF(G88&lt;0,"SHORTAGE",IF(G88&lt;F88*0.1,"LOW","OK")))</f>
        <v/>
      </c>
      <c r="J89" s="30">
        <f>IF(B88&lt;&gt;"CAP","",SUMPRODUCT((ISNUMBER(SEARCH("Cap Not Available",'FG Stock'!$H$4:$H$100)))*('FG Stock'!$I$4:$I$100=A88)*'FG Stock'!$F$4:$F$100))</f>
        <v/>
      </c>
      <c r="K89" s="30">
        <f>IF(E88=0,"",MAX(0,E88+IFERROR(J88*1,0)-F88))</f>
        <v/>
      </c>
    </row>
    <row r="90" hidden="1" ht="15" customHeight="1" s="237">
      <c r="A90" s="21" t="n">
        <v>7412</v>
      </c>
      <c r="B90" s="21" t="inlineStr">
        <is>
          <t>MASTER BATCH</t>
        </is>
      </c>
      <c r="C90" s="21" t="inlineStr">
        <is>
          <t>MASTER BATCH BLACK DP# 6411</t>
        </is>
      </c>
      <c r="D90" s="21" t="inlineStr">
        <is>
          <t>kg</t>
        </is>
      </c>
      <c r="E90" s="27">
        <f>SUMPRODUCT((TableBOM[Item ID]=A90)*TableBOM[Per 1000 Units]*(1+TableBOM[Scrap %])*SUMIF($D$3:$D$10,TableBOM[Product ID],$H$3:$H$10)/1000)</f>
        <v/>
      </c>
      <c r="F90" s="27">
        <f>IFERROR(INDEX(TableInventory[Store Balance],MATCH(A89,TableInventory[Item ID],0)),0)+IFERROR(INDEX(TableInventory[Work In Process],MATCH(A89,TableInventory[Item ID],0)),0)</f>
        <v/>
      </c>
      <c r="G90" s="31">
        <f>F89-E89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>
        <f>IF(E89=0,"Not needed",IF(G89&lt;0,"SHORTAGE",IF(G89&lt;F89*0.1,"LOW","OK")))</f>
        <v/>
      </c>
      <c r="J90" s="30">
        <f>IF(B89&lt;&gt;"CAP","",SUMPRODUCT((ISNUMBER(SEARCH("Cap Not Available",'FG Stock'!$H$4:$H$100)))*('FG Stock'!$I$4:$I$100=A89)*'FG Stock'!$F$4:$F$100))</f>
        <v/>
      </c>
      <c r="K90" s="30">
        <f>IF(E89=0,"",MAX(0,E89+IFERROR(J89*1,0)-F89))</f>
        <v/>
      </c>
    </row>
    <row r="91" hidden="1" ht="15" customHeight="1" s="237">
      <c r="A91" s="21" t="n">
        <v>3752</v>
      </c>
      <c r="B91" s="21" t="inlineStr">
        <is>
          <t>GRANULES</t>
        </is>
      </c>
      <c r="C91" s="21" t="inlineStr">
        <is>
          <t>HIGH DENSITY POLY ETHYLINE (HDPE) 200050</t>
        </is>
      </c>
      <c r="D91" s="21" t="inlineStr">
        <is>
          <t>kg</t>
        </is>
      </c>
      <c r="E91" s="27">
        <f>SUMPRODUCT((TableBOM[Item ID]=A91)*TableBOM[Per 1000 Units]*(1+TableBOM[Scrap %])*SUMIF($D$3:$D$10,TableBOM[Product ID],$H$3:$H$10)/1000)</f>
        <v/>
      </c>
      <c r="F91" s="27">
        <f>IFERROR(INDEX(TableInventory[Store Balance],MATCH(A90,TableInventory[Item ID],0)),0)+IFERROR(INDEX(TableInventory[Work In Process],MATCH(A90,TableInventory[Item ID],0)),0)</f>
        <v/>
      </c>
      <c r="G91" s="31">
        <f>F90-E90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>
        <f>IF(E90=0,"Not needed",IF(G90&lt;0,"SHORTAGE",IF(G90&lt;F90*0.1,"LOW","OK")))</f>
        <v/>
      </c>
      <c r="J91" s="30">
        <f>IF(B90&lt;&gt;"CAP","",SUMPRODUCT((ISNUMBER(SEARCH("Cap Not Available",'FG Stock'!$H$4:$H$100)))*('FG Stock'!$I$4:$I$100=A90)*'FG Stock'!$F$4:$F$100))</f>
        <v/>
      </c>
      <c r="K91" s="30">
        <f>IF(E90=0,"",MAX(0,E90+IFERROR(J90*1,0)-F90))</f>
        <v/>
      </c>
    </row>
    <row r="92" hidden="1" ht="15" customHeight="1" s="237">
      <c r="A92" s="21" t="n">
        <v>4248</v>
      </c>
      <c r="B92" s="21" t="inlineStr">
        <is>
          <t>GRANULES</t>
        </is>
      </c>
      <c r="C92" s="21" t="inlineStr">
        <is>
          <t>LOW DENSITY POLY ETHYLENE ( LDPE 4025AS AB247Y01)</t>
        </is>
      </c>
      <c r="D92" s="21" t="inlineStr">
        <is>
          <t>kg</t>
        </is>
      </c>
      <c r="E92" s="27">
        <f>SUMPRODUCT((TableBOM[Item ID]=A92)*TableBOM[Per 1000 Units]*(1+TableBOM[Scrap %])*SUMIF($D$3:$D$10,TableBOM[Product ID],$H$3:$H$10)/1000)</f>
        <v/>
      </c>
      <c r="F92" s="27">
        <f>IFERROR(INDEX(TableInventory[Store Balance],MATCH(A91,TableInventory[Item ID],0)),0)+IFERROR(INDEX(TableInventory[Work In Process],MATCH(A91,TableInventory[Item ID],0)),0)</f>
        <v/>
      </c>
      <c r="G92" s="31">
        <f>F91-E91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>
        <f>IF(E91=0,"Not needed",IF(G91&lt;0,"SHORTAGE",IF(G91&lt;F91*0.1,"LOW","OK")))</f>
        <v/>
      </c>
      <c r="J92" s="30">
        <f>IF(B91&lt;&gt;"CAP","",SUMPRODUCT((ISNUMBER(SEARCH("Cap Not Available",'FG Stock'!$H$4:$H$100)))*('FG Stock'!$I$4:$I$100=A91)*'FG Stock'!$F$4:$F$100))</f>
        <v/>
      </c>
      <c r="K92" s="30">
        <f>IF(E91=0,"",MAX(0,E91+IFERROR(J91*1,0)-F91))</f>
        <v/>
      </c>
    </row>
    <row r="93" hidden="1" ht="16.5" customHeight="1" s="237">
      <c r="A93" s="21" t="n">
        <v>6042</v>
      </c>
      <c r="B93" s="21" t="inlineStr">
        <is>
          <t>GRANULES</t>
        </is>
      </c>
      <c r="C93" s="21" t="inlineStr">
        <is>
          <t>HDPE BLOW NATURAL ( MARLEX )</t>
        </is>
      </c>
      <c r="D93" s="21" t="inlineStr">
        <is>
          <t>kg</t>
        </is>
      </c>
      <c r="E93" s="27">
        <f>SUMPRODUCT((TableBOM[Item ID]=A93)*TableBOM[Per 1000 Units]*(1+TableBOM[Scrap %])*SUMIF($D$3:$D$10,TableBOM[Product ID],$H$3:$H$10)/1000)</f>
        <v/>
      </c>
      <c r="F93" s="27">
        <f>IFERROR(INDEX(TableInventory[Store Balance],MATCH(A92,TableInventory[Item ID],0)),0)+IFERROR(INDEX(TableInventory[Work In Process],MATCH(A92,TableInventory[Item ID],0)),0)</f>
        <v/>
      </c>
      <c r="G93" s="31">
        <f>F92-E92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>
        <f>IF(E92=0,"Not needed",IF(G92&lt;0,"SHORTAGE",IF(G92&lt;F92*0.1,"LOW","OK")))</f>
        <v/>
      </c>
      <c r="J93" s="30">
        <f>IF(B92&lt;&gt;"CAP","",SUMPRODUCT((ISNUMBER(SEARCH("Cap Not Available",'FG Stock'!$H$4:$H$100)))*('FG Stock'!$I$4:$I$100=A92)*'FG Stock'!$F$4:$F$100))</f>
        <v/>
      </c>
      <c r="K93" s="30">
        <f>IF(E92=0,"",MAX(0,E92+IFERROR(J92*1,0)-F92))</f>
        <v/>
      </c>
    </row>
    <row r="94" hidden="1" ht="15" customHeight="1" s="237">
      <c r="A94" s="21" t="n">
        <v>2267</v>
      </c>
      <c r="B94" s="21" t="inlineStr">
        <is>
          <t>POLY BAG</t>
        </is>
      </c>
      <c r="C94" s="21" t="inlineStr">
        <is>
          <t>POLY BAG 20X30 (LDPE)</t>
        </is>
      </c>
      <c r="D94" s="21" t="inlineStr">
        <is>
          <t>PCS</t>
        </is>
      </c>
      <c r="E94" s="27">
        <f>SUMPRODUCT((TableBOM[Item ID]=A94)*TableBOM[Per 1000 Units]*(1+TableBOM[Scrap %])*SUMIF($D$3:$D$10,TableBOM[Product ID],$H$3:$H$10)/1000)</f>
        <v/>
      </c>
      <c r="F94" s="27">
        <f>IFERROR(INDEX(TableInventory[Store Balance],MATCH(A93,TableInventory[Item ID],0)),0)+IFERROR(INDEX(TableInventory[Work In Process],MATCH(A93,TableInventory[Item ID],0)),0)</f>
        <v/>
      </c>
      <c r="G94" s="31">
        <f>F93-E93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>
        <f>IF(E93=0,"Not needed",IF(G93&lt;0,"SHORTAGE",IF(G93&lt;F93*0.1,"LOW","OK")))</f>
        <v/>
      </c>
      <c r="J94" s="30">
        <f>IF(B93&lt;&gt;"CAP","",SUMPRODUCT((ISNUMBER(SEARCH("Cap Not Available",'FG Stock'!$H$4:$H$100)))*('FG Stock'!$I$4:$I$100=A93)*'FG Stock'!$F$4:$F$100))</f>
        <v/>
      </c>
      <c r="K94" s="30">
        <f>IF(E93=0,"",MAX(0,E93+IFERROR(J93*1,0)-F93))</f>
        <v/>
      </c>
    </row>
    <row r="95" ht="15" customHeight="1" s="237">
      <c r="A95" s="21" t="n">
        <v>3043</v>
      </c>
      <c r="B95" s="21" t="inlineStr">
        <is>
          <t>PACKING</t>
        </is>
      </c>
      <c r="C95" s="21" t="inlineStr">
        <is>
          <t>PLASTIC DOORI</t>
        </is>
      </c>
      <c r="D95" s="21" t="inlineStr">
        <is>
          <t>ROLL</t>
        </is>
      </c>
      <c r="E95" s="27">
        <f>SUMPRODUCT((TableBOM[Item ID]=A95)*TableBOM[Per 1000 Units]*(1+TableBOM[Scrap %])*SUMIF($D$3:$D$10,TableBOM[Product ID],$H$3:$H$10)/1000)</f>
        <v/>
      </c>
      <c r="F95" s="27">
        <f>IFERROR(INDEX(TableInventory[Store Balance],MATCH(A94,TableInventory[Item ID],0)),0)+IFERROR(INDEX(TableInventory[Work In Process],MATCH(A94,TableInventory[Item ID],0)),0)</f>
        <v/>
      </c>
      <c r="G95" s="31">
        <f>F94-E94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>
        <f>IF(E94=0,"Not needed",IF(G94&lt;0,"SHORTAGE",IF(G94&lt;F94*0.1,"LOW","OK")))</f>
        <v/>
      </c>
      <c r="J95" s="30">
        <f>IF(B94&lt;&gt;"CAP","",SUMPRODUCT((ISNUMBER(SEARCH("Cap Not Available",'FG Stock'!$H$4:$H$100)))*('FG Stock'!$I$4:$I$100=A94)*'FG Stock'!$F$4:$F$100))</f>
        <v/>
      </c>
      <c r="K95" s="30">
        <f>IF(E94=0,"",MAX(0,E94+IFERROR(J94*1,0)-F94))</f>
        <v/>
      </c>
    </row>
    <row r="96" ht="15" customHeight="1" s="237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37">
      <c r="A97" s="21" t="n"/>
      <c r="B97" s="21" t="n"/>
      <c r="C97" s="21" t="n"/>
      <c r="D97" s="21" t="n"/>
      <c r="E97" s="33" t="n"/>
      <c r="F97" s="33" t="n"/>
      <c r="G97" s="22" t="n"/>
      <c r="H97" s="28" t="n"/>
      <c r="I97" s="30" t="n"/>
    </row>
    <row r="98" ht="15" customHeight="1" s="237">
      <c r="A98" s="189" t="inlineStr">
        <is>
          <t>June 2026 PET Required Pet Orders</t>
        </is>
      </c>
      <c r="B98" s="222" t="n"/>
      <c r="C98" s="222" t="n"/>
      <c r="D98" s="222" t="n"/>
      <c r="E98" s="222" t="n"/>
      <c r="F98" s="222" t="n"/>
      <c r="G98" s="188" t="n"/>
      <c r="H98" s="222" t="n"/>
      <c r="I98" s="223" t="n"/>
    </row>
    <row r="99" ht="15" customHeight="1" s="237">
      <c r="A99" s="12" t="inlineStr">
        <is>
          <t>Dia</t>
        </is>
      </c>
      <c r="B99" s="12" t="inlineStr">
        <is>
          <t>Customer</t>
        </is>
      </c>
      <c r="C99" s="13" t="inlineStr">
        <is>
          <t>Product Name</t>
        </is>
      </c>
      <c r="D99" s="13" t="inlineStr">
        <is>
          <t>Product ID</t>
        </is>
      </c>
      <c r="E99" s="14" t="inlineStr">
        <is>
          <t>Job Order #</t>
        </is>
      </c>
      <c r="F99" s="14" t="inlineStr">
        <is>
          <t>Required Qty</t>
        </is>
      </c>
      <c r="G99" s="15" t="inlineStr">
        <is>
          <t>Produced</t>
        </is>
      </c>
      <c r="H99" s="12" t="inlineStr">
        <is>
          <t>Remaining Balance</t>
        </is>
      </c>
      <c r="I99" s="13" t="inlineStr">
        <is>
          <t>Priority</t>
        </is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2" t="n"/>
    </row>
    <row r="100" ht="15" customHeight="1" s="237">
      <c r="A100" s="35" t="inlineStr">
        <is>
          <t>120 ml</t>
        </is>
      </c>
      <c r="B100" s="35" t="inlineStr">
        <is>
          <t>Samsol International Private Limited</t>
        </is>
      </c>
      <c r="C100" s="36" t="inlineStr">
        <is>
          <t>PET BOTTLE SMALL (120ML) YELLOW</t>
        </is>
      </c>
      <c r="D100" s="35" t="n">
        <v>8005</v>
      </c>
      <c r="E100" s="37" t="inlineStr">
        <is>
          <t>336 &amp; 337</t>
        </is>
      </c>
      <c r="F100" s="37" t="n">
        <v>20000</v>
      </c>
      <c r="G100" s="38" t="n">
        <v>0</v>
      </c>
      <c r="H100" s="39">
        <f>F100-G100</f>
        <v/>
      </c>
      <c r="I100" s="29" t="n">
        <v>5</v>
      </c>
    </row>
    <row r="101" ht="15" customHeight="1" s="237">
      <c r="A101" s="35" t="inlineStr">
        <is>
          <t>150 ml</t>
        </is>
      </c>
      <c r="B101" s="35" t="inlineStr">
        <is>
          <t>Alpha Labs PVT LTD</t>
        </is>
      </c>
      <c r="C101" s="36" t="inlineStr">
        <is>
          <t>TRANSPARENT BOTTLE 150ML</t>
        </is>
      </c>
      <c r="D101" s="35" t="n">
        <v>8001</v>
      </c>
      <c r="E101" s="37" t="n">
        <v>319</v>
      </c>
      <c r="F101" s="37" t="n">
        <v>220000</v>
      </c>
      <c r="G101" s="38" t="n">
        <v>0</v>
      </c>
      <c r="H101" s="39">
        <f>F101-G101</f>
        <v/>
      </c>
      <c r="I101" s="29" t="n">
        <v>1</v>
      </c>
    </row>
    <row r="102" ht="36" customHeight="1" s="237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PET BOTTLE LARGE 200ML WHITE</t>
        </is>
      </c>
      <c r="D102" s="35" t="n">
        <v>8007</v>
      </c>
      <c r="E102" s="37" t="inlineStr">
        <is>
          <t>334 &amp; 338</t>
        </is>
      </c>
      <c r="F102" s="37" t="n">
        <v>10000</v>
      </c>
      <c r="G102" s="38">
        <f>SUMPRODUCT((Production_Log!$F$3:$F$8963=D97)*(MONTH(Production_Log!$A$3:$A$8963)=MONTH($H$1))*(YEAR(Production_Log!$A$3:$A$8963)=YEAR($H$1))*Production_Log!$H$3:$H$8963)</f>
        <v/>
      </c>
      <c r="H102" s="39">
        <f>F102-G102</f>
        <v/>
      </c>
      <c r="I102" s="29" t="n">
        <v>3</v>
      </c>
    </row>
    <row r="103">
      <c r="A103" s="35" t="inlineStr">
        <is>
          <t>200 ml</t>
        </is>
      </c>
      <c r="B103" s="35" t="inlineStr">
        <is>
          <t>Samsol International Private Limited</t>
        </is>
      </c>
      <c r="C103" s="36" t="inlineStr">
        <is>
          <t>BT-200ML MUSTARD OIL (TRANSPARENT)</t>
        </is>
      </c>
      <c r="D103" s="35" t="n">
        <v>8014</v>
      </c>
      <c r="E103" s="37" t="inlineStr">
        <is>
          <t>339</t>
        </is>
      </c>
      <c r="F103" s="37" t="n">
        <v>10000</v>
      </c>
      <c r="G103" s="38">
        <f>SUMPRODUCT((Production_Log!$F$3:$F$8963=D99)*(MONTH(Production_Log!$A$3:$A$8963)=MONTH($H$1))*(YEAR(Production_Log!$A$3:$A$8963)=YEAR($H$1))*Production_Log!$H$3:$H$8963)</f>
        <v/>
      </c>
      <c r="H103" s="39">
        <f>F103-G103</f>
        <v/>
      </c>
      <c r="I103" s="29" t="n">
        <v>2</v>
      </c>
    </row>
    <row r="104" ht="15" customHeight="1" s="237">
      <c r="A104" s="21" t="n"/>
      <c r="B104" s="21" t="n"/>
      <c r="C104" s="21" t="n"/>
      <c r="D104" s="21" t="n"/>
      <c r="E104" s="22" t="inlineStr">
        <is>
          <t>TOTAL:</t>
        </is>
      </c>
      <c r="F104" s="22">
        <f>SUBTOTAL(9,F100:F103)</f>
        <v/>
      </c>
      <c r="G104" s="22">
        <f>SUBTOTAL(9,G100:G103)</f>
        <v/>
      </c>
      <c r="H104" s="22">
        <f>SUBTOTAL(9,H100:H103)</f>
        <v/>
      </c>
      <c r="I104" s="11" t="n"/>
      <c r="J104" s="11" t="n"/>
    </row>
    <row r="105" ht="15" customHeight="1" s="237">
      <c r="A105" s="16" t="n"/>
      <c r="B105" s="16" t="n"/>
      <c r="C105" s="17" t="n"/>
      <c r="D105" s="16" t="n"/>
      <c r="E105" s="18" t="n"/>
      <c r="F105" s="18" t="n"/>
      <c r="G105" s="40" t="n"/>
      <c r="H105" s="18" t="n"/>
      <c r="I105" s="29" t="n"/>
    </row>
    <row r="106" ht="15" customHeight="1" s="237">
      <c r="A106" s="190" t="inlineStr">
        <is>
          <t>JUNE PET MATERIAL REQUIREMENT PLAN</t>
        </is>
      </c>
      <c r="B106" s="222" t="n"/>
      <c r="C106" s="222" t="n"/>
      <c r="D106" s="222" t="n"/>
      <c r="E106" s="222" t="n"/>
      <c r="F106" s="222" t="n"/>
      <c r="G106" s="188" t="n"/>
      <c r="H106" s="222" t="n"/>
      <c r="I106" s="222" t="n"/>
    </row>
    <row r="107" ht="15" customHeight="1" s="237">
      <c r="A107" s="41" t="inlineStr">
        <is>
          <t>Item ID</t>
        </is>
      </c>
      <c r="B107" s="41" t="inlineStr">
        <is>
          <t>Category</t>
        </is>
      </c>
      <c r="C107" s="42" t="inlineStr">
        <is>
          <t>Item Name</t>
        </is>
      </c>
      <c r="D107" s="41" t="inlineStr">
        <is>
          <t>UOM</t>
        </is>
      </c>
      <c r="E107" s="43" t="inlineStr">
        <is>
          <t>Required Qty</t>
        </is>
      </c>
      <c r="F107" s="15" t="inlineStr">
        <is>
          <t>Current Stock (Store + WIP)</t>
        </is>
      </c>
      <c r="G107" s="15" t="inlineStr">
        <is>
          <t>Surplus / (Deficit)</t>
        </is>
      </c>
      <c r="H107" s="43" t="inlineStr">
        <is>
          <t>Product Name(s)</t>
        </is>
      </c>
      <c r="I107" s="44" t="inlineStr">
        <is>
          <t>Status</t>
        </is>
      </c>
      <c r="K107" s="44" t="inlineStr">
        <is>
          <t>ORDER QTY</t>
        </is>
      </c>
    </row>
    <row r="108" ht="15" customHeight="1" s="237">
      <c r="A108" s="21" t="n">
        <v>2680</v>
      </c>
      <c r="B108" s="21" t="inlineStr">
        <is>
          <t>PET RESIN</t>
        </is>
      </c>
      <c r="C108" s="45" t="inlineStr">
        <is>
          <t>PET RESIN A-84</t>
        </is>
      </c>
      <c r="D108" s="21" t="inlineStr">
        <is>
          <t>kg</t>
        </is>
      </c>
      <c r="E108" s="32">
        <f>SUMPRODUCT((TableBOM[Item ID]=A108)*TableBOM[Per 1000 Units]*(1+TableBOM[Scrap %])*SUMIF($D$100:$D$103,TableBOM[Product ID],$H$100:$H$103)/1000)</f>
        <v/>
      </c>
      <c r="F108" s="32">
        <f>IFERROR(INDEX(TableInventory[Store Balance],MATCH(A103,TableInventory[Item ID],0)),0)+IFERROR(INDEX(TableInventory[Work In Process],MATCH(A103,TableInventory[Item ID],0)),0)</f>
        <v/>
      </c>
      <c r="G108" s="22">
        <f>F103-E103</f>
        <v/>
      </c>
      <c r="H108" s="46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/>
      </c>
      <c r="I108" s="47">
        <f>IF(E103=0,"Not needed",IF(G103&lt;0,"SHORTAGE",IF(G103&lt;F103*0.1,"LOW","OK")))</f>
        <v/>
      </c>
      <c r="K108" s="47">
        <f>IF(E103=0,"",MAX(0,E103-F103))</f>
        <v/>
      </c>
    </row>
    <row r="109" ht="15" customHeight="1" s="237">
      <c r="A109" s="21" t="n">
        <v>4070</v>
      </c>
      <c r="B109" s="21" t="inlineStr">
        <is>
          <t>MASTER BATCH</t>
        </is>
      </c>
      <c r="C109" s="45" t="inlineStr">
        <is>
          <t>MASTER BATCH ONCOLOR YELLOW NE12340208-ZN</t>
        </is>
      </c>
      <c r="D109" s="21" t="inlineStr">
        <is>
          <t>kg</t>
        </is>
      </c>
      <c r="E109" s="32">
        <f>SUMPRODUCT((TableBOM[Item ID]=A109)*TableBOM[Per 1000 Units]*(1+TableBOM[Scrap %])*SUMIF($D$100:$D$103,TableBOM[Product ID],$H$100:$H$103)/1000)</f>
        <v/>
      </c>
      <c r="F109" s="32">
        <f>IFERROR(INDEX(TableInventory[Store Balance],MATCH(A104,TableInventory[Item ID],0)),0)+IFERROR(INDEX(TableInventory[Work In Process],MATCH(A104,TableInventory[Item ID],0)),0)</f>
        <v/>
      </c>
      <c r="G109" s="22">
        <f>F104-E104</f>
        <v/>
      </c>
      <c r="H109" s="46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/>
      </c>
      <c r="I109" s="47">
        <f>IF(E104=0,"Not needed",IF(G104&lt;0,"SHORTAGE",IF(G104&lt;F104*0.1,"LOW","OK")))</f>
        <v/>
      </c>
      <c r="K109" s="47">
        <f>IF(E104=0,"",MAX(0,E104-F104))</f>
        <v/>
      </c>
    </row>
    <row r="110" ht="15" customHeight="1" s="237">
      <c r="A110" s="21" t="n">
        <v>5816</v>
      </c>
      <c r="B110" s="21" t="inlineStr">
        <is>
          <t>MASTER BATCH</t>
        </is>
      </c>
      <c r="C110" s="45" t="inlineStr">
        <is>
          <t>MASTER BATCH WHITE PRC-MC ET02340000</t>
        </is>
      </c>
      <c r="D110" s="21" t="inlineStr">
        <is>
          <t>kg</t>
        </is>
      </c>
      <c r="E110" s="32">
        <f>SUMPRODUCT((TableBOM[Item ID]=A110)*TableBOM[Per 1000 Units]*(1+TableBOM[Scrap %])*SUMIF($D$100:$D$103,TableBOM[Product ID],$H$100:$H$103)/1000)</f>
        <v/>
      </c>
      <c r="F110" s="32">
        <f>IFERROR(INDEX(TableInventory[Store Balance],MATCH(A105,TableInventory[Item ID],0)),0)+IFERROR(INDEX(TableInventory[Work In Process],MATCH(A105,TableInventory[Item ID],0)),0)</f>
        <v/>
      </c>
      <c r="G110" s="22">
        <f>F105-E105</f>
        <v/>
      </c>
      <c r="H110" s="46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/>
      </c>
      <c r="I110" s="47">
        <f>IF(E105=0,"Not needed",IF(G105&lt;0,"SHORTAGE",IF(G105&lt;F105*0.1,"LOW","OK")))</f>
        <v/>
      </c>
      <c r="K110" s="47">
        <f>IF(E105=0,"",MAX(0,E105-F105))</f>
        <v/>
      </c>
    </row>
    <row r="111" ht="18" customHeight="1" s="237">
      <c r="A111" s="261" t="n">
        <v>5977</v>
      </c>
      <c r="B111" s="222" t="n"/>
      <c r="C111" s="222" t="n"/>
      <c r="D111" s="222" t="n"/>
      <c r="E111" s="222" t="n"/>
      <c r="F111" s="222" t="n"/>
      <c r="G111" s="222" t="n"/>
      <c r="H111" s="222" t="n"/>
      <c r="I111" s="223" t="n"/>
      <c r="K111" s="47">
        <f>IF(E106=0,"",MAX(0,E106-F106))</f>
        <v/>
      </c>
    </row>
    <row r="112" ht="30" customHeight="1" s="237">
      <c r="A112" s="261" t="n">
        <v>2267</v>
      </c>
      <c r="B112" s="222" t="n"/>
      <c r="C112" s="222" t="n"/>
      <c r="D112" s="222" t="n"/>
      <c r="E112" s="222" t="n"/>
      <c r="F112" s="222" t="n"/>
      <c r="G112" s="222" t="n"/>
      <c r="H112" s="222" t="n"/>
      <c r="I112" s="223" t="n"/>
      <c r="K112" s="48">
        <f>IF(E107=0,"",MAX(0,E107-F107))</f>
        <v/>
      </c>
    </row>
    <row r="113" ht="15" customHeight="1" s="237">
      <c r="A113" s="21" t="n">
        <v>3006</v>
      </c>
      <c r="B113" s="21" t="inlineStr">
        <is>
          <t>POLY BAG</t>
        </is>
      </c>
      <c r="C113" s="45" t="inlineStr">
        <is>
          <t>POLY BAG 24X36 (LDPE)</t>
        </is>
      </c>
      <c r="D113" s="21" t="inlineStr">
        <is>
          <t>PCS</t>
        </is>
      </c>
      <c r="E113" s="32">
        <f>SUMPRODUCT((TableBOM[Item ID]=A113)*TableBOM[Per 1000 Units]*(1+TableBOM[Scrap %])*SUMIF($D$100:$D$103,TableBOM[Product ID],$H$100:$H$103)/1000)</f>
        <v/>
      </c>
      <c r="F113" s="32">
        <f>IFERROR(INDEX(TableInventory[Store Balance],MATCH(A108,TableInventory[Item ID],0)),0)+IFERROR(INDEX(TableInventory[Work In Process],MATCH(A108,TableInventory[Item ID],0)),0)</f>
        <v/>
      </c>
      <c r="G113" s="22">
        <f>F108-E108</f>
        <v/>
      </c>
      <c r="H113" s="46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/>
      </c>
      <c r="I113" s="48">
        <f>IF(E108=0,"Not needed",IF(G108&lt;0,"SHORTAGE",IF(G108&lt;F108*0.1,"LOW","OK")))</f>
        <v/>
      </c>
      <c r="K113" s="48">
        <f>IF(E108=0,"",MAX(0,E108-F108))</f>
        <v/>
      </c>
    </row>
    <row r="114" ht="15" customHeight="1" s="237">
      <c r="A114" s="21" t="n">
        <v>3635</v>
      </c>
      <c r="B114" s="21" t="inlineStr">
        <is>
          <t>TAPE</t>
        </is>
      </c>
      <c r="C114" s="45" t="inlineStr">
        <is>
          <t>PACKING TAPE 2" OF 60 YARDS</t>
        </is>
      </c>
      <c r="D114" s="21" t="inlineStr">
        <is>
          <t>PCS</t>
        </is>
      </c>
      <c r="E114" s="32">
        <f>SUMPRODUCT((TableBOM[Item ID]=A114)*TableBOM[Per 1000 Units]*(1+TableBOM[Scrap %])*SUMIF($D$100:$D$103,TableBOM[Product ID],$H$100:$H$103)/1000)</f>
        <v/>
      </c>
      <c r="F114" s="32">
        <f>IFERROR(INDEX(TableInventory[Store Balance],MATCH(A109,TableInventory[Item ID],0)),0)+IFERROR(INDEX(TableInventory[Work In Process],MATCH(A109,TableInventory[Item ID],0)),0)</f>
        <v/>
      </c>
      <c r="G114" s="22">
        <f>F109-E109</f>
        <v/>
      </c>
      <c r="H114" s="46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/>
      </c>
      <c r="I114" s="48">
        <f>IF(E109=0,"Not needed",IF(G109&lt;0,"SHORTAGE",IF(G109&lt;F109*0.1,"LOW","OK")))</f>
        <v/>
      </c>
      <c r="K114" s="48">
        <f>IF(E109=0,"",MAX(0,E109-F109))</f>
        <v/>
      </c>
    </row>
    <row r="115" ht="15" customHeight="1" s="237">
      <c r="A115" s="21" t="n">
        <v>3043</v>
      </c>
      <c r="B115" s="21" t="inlineStr">
        <is>
          <t>PACKING</t>
        </is>
      </c>
      <c r="C115" s="45" t="inlineStr">
        <is>
          <t>PLASTIC DOORI</t>
        </is>
      </c>
      <c r="D115" s="21" t="inlineStr">
        <is>
          <t>ROLL</t>
        </is>
      </c>
      <c r="E115" s="32">
        <f>SUMPRODUCT((TableBOM[Item ID]=A115)*TableBOM[Per 1000 Units]*(1+TableBOM[Scrap %])*SUMIF($D$100:$D$103,TableBOM[Product ID],$H$100:$H$103)/1000)</f>
        <v/>
      </c>
      <c r="F115" s="32">
        <f>IFERROR(INDEX(TableInventory[Store Balance],MATCH(A110,TableInventory[Item ID],0)),0)+IFERROR(INDEX(TableInventory[Work In Process],MATCH(A110,TableInventory[Item ID],0)),0)</f>
        <v/>
      </c>
      <c r="G115" s="22">
        <f>F110-E110</f>
        <v/>
      </c>
      <c r="H115" s="46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/>
      </c>
      <c r="I115" s="48">
        <f>IF(E110=0,"Not needed",IF(G110&lt;0,"SHORTAGE",IF(G110&lt;F110*0.1,"LOW","OK")))</f>
        <v/>
      </c>
      <c r="K115" s="48">
        <f>IF(E110=0,"",MAX(0,E110-F110))</f>
        <v/>
      </c>
    </row>
    <row r="116" ht="15" customHeight="1" s="237">
      <c r="A116" s="187" t="n"/>
      <c r="B116" s="222" t="n"/>
      <c r="C116" s="222" t="n"/>
      <c r="D116" s="222" t="n"/>
      <c r="E116" s="222" t="n"/>
      <c r="F116" s="222" t="n"/>
      <c r="G116" s="188" t="n"/>
      <c r="H116" s="222" t="n"/>
      <c r="I116" s="223" t="n"/>
    </row>
    <row r="117" ht="15" customHeight="1" s="237">
      <c r="A117" s="6" t="inlineStr">
        <is>
          <t xml:space="preserve">  INK — Avg Monthly Usage  |  Data: May 2025 – Apr 2026  |  271.9 kg issued  /  8,617,293 tubes  =  31.6 g / 1,000 tubes</t>
        </is>
      </c>
      <c r="B117" s="7" t="n"/>
      <c r="C117" s="7" t="n"/>
      <c r="D117" s="7" t="n"/>
      <c r="E117" s="7" t="n"/>
      <c r="F117" s="7" t="n"/>
      <c r="G117" s="7" t="n"/>
      <c r="H117" s="34" t="n"/>
      <c r="I117" s="34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37">
      <c r="A118" s="41" t="inlineStr">
        <is>
          <t>Item ID</t>
        </is>
      </c>
      <c r="B118" s="41" t="inlineStr">
        <is>
          <t>Category</t>
        </is>
      </c>
      <c r="C118" s="42" t="inlineStr">
        <is>
          <t>Item Name</t>
        </is>
      </c>
      <c r="D118" s="41" t="inlineStr">
        <is>
          <t>UOM</t>
        </is>
      </c>
      <c r="E118" s="164" t="inlineStr">
        <is>
          <t>Avg Monthly
Usage (kg)</t>
        </is>
      </c>
      <c r="F118" s="14" t="inlineStr">
        <is>
          <t>Days of
Stock Left</t>
        </is>
      </c>
      <c r="G118" s="15" t="inlineStr">
        <is>
          <t>Status</t>
        </is>
      </c>
      <c r="H118" s="164" t="inlineStr">
        <is>
          <t>Current Stock
(Store + WIP)</t>
        </is>
      </c>
      <c r="I118" s="41" t="inlineStr">
        <is>
          <t>g / 1,000
tubes (ref)</t>
        </is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37">
      <c r="A119" s="21" t="n">
        <v>3734</v>
      </c>
      <c r="B119" s="21" t="inlineStr">
        <is>
          <t>INK</t>
        </is>
      </c>
      <c r="C119" s="45" t="inlineStr">
        <is>
          <t>MAGENTA (LOCAL) 32500</t>
        </is>
      </c>
      <c r="D119" s="21" t="inlineStr">
        <is>
          <t>kg</t>
        </is>
      </c>
      <c r="E119" s="33">
        <f>SUMPRODUCT((TableBOM[Item ID]=A114)*TableBOM[Per 1000 Units]*(1+TableBOM[Scrap %])*SUMIF($D$3:$D$9,TableBOM[Product ID],$H$3:$H$9)/1000)</f>
        <v/>
      </c>
      <c r="F119" s="165">
        <f>IF(E114=0,0,ROUND(H114/E114*30,1))</f>
        <v/>
      </c>
      <c r="G119" s="22">
        <f>IF(E114=0,"Not needed",IF(H114-E114&lt;0,"SHORTAGE",IF(H114-E114&lt;E114,"LOW","OK")))</f>
        <v/>
      </c>
      <c r="H119" s="33">
        <f>IFERROR(INDEX(TableInventory[Store Balance],MATCH(A114,TableInventory[Item ID],0)),0)+IFERROR(INDEX(TableInventory[Work In Process],MATCH(A114,TableInventory[Item ID],0)),0)</f>
        <v/>
      </c>
      <c r="I119" s="166" t="n">
        <v>6.38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37">
      <c r="A120" s="21" t="n">
        <v>6038</v>
      </c>
      <c r="B120" s="21" t="inlineStr">
        <is>
          <t>INK</t>
        </is>
      </c>
      <c r="C120" s="45" t="inlineStr">
        <is>
          <t>INK BLUE PC</t>
        </is>
      </c>
      <c r="D120" s="21" t="inlineStr">
        <is>
          <t>kg</t>
        </is>
      </c>
      <c r="E120" s="33">
        <f>SUMPRODUCT((TableBOM[Item ID]=A115)*TableBOM[Per 1000 Units]*(1+TableBOM[Scrap %])*SUMIF($D$3:$D$9,TableBOM[Product ID],$H$3:$H$9)/1000)</f>
        <v/>
      </c>
      <c r="F120" s="165">
        <f>IF(E115=0,0,ROUND(H115/E115*30,1))</f>
        <v/>
      </c>
      <c r="G120" s="22">
        <f>IF(E115=0,"Not needed",IF(H115-E115&lt;0,"SHORTAGE",IF(H115-E115&lt;E115,"LOW","OK")))</f>
        <v/>
      </c>
      <c r="H120" s="33">
        <f>IFERROR(INDEX(TableInventory[Store Balance],MATCH(A115,TableInventory[Item ID],0)),0)+IFERROR(INDEX(TableInventory[Work In Process],MATCH(A115,TableInventory[Item ID],0)),0)</f>
        <v/>
      </c>
      <c r="I120" s="166" t="n">
        <v>2.9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37">
      <c r="A121" s="21" t="n">
        <v>3858</v>
      </c>
      <c r="B121" s="21" t="inlineStr">
        <is>
          <t>INK</t>
        </is>
      </c>
      <c r="C121" s="45" t="inlineStr">
        <is>
          <t>GOLD (LOCAL) 97035</t>
        </is>
      </c>
      <c r="D121" s="21" t="inlineStr">
        <is>
          <t>kg</t>
        </is>
      </c>
      <c r="E121" s="33">
        <f>SUMPRODUCT((TableBOM[Item ID]=A116)*TableBOM[Per 1000 Units]*(1+TableBOM[Scrap %])*SUMIF($D$3:$D$9,TableBOM[Product ID],$H$3:$H$9)/1000)</f>
        <v/>
      </c>
      <c r="F121" s="165">
        <f>IF(E116=0,0,ROUND(H116/E116*30,1))</f>
        <v/>
      </c>
      <c r="G121" s="22">
        <f>IF(E116=0,"Not needed",IF(H116-E116&lt;0,"SHORTAGE",IF(H116-E116&lt;E116,"LOW","OK")))</f>
        <v/>
      </c>
      <c r="H121" s="33">
        <f>IFERROR(INDEX(TableInventory[Store Balance],MATCH(A116,TableInventory[Item ID],0)),0)+IFERROR(INDEX(TableInventory[Work In Process],MATCH(A116,TableInventory[Item ID],0)),0)</f>
        <v/>
      </c>
      <c r="I121" s="166" t="n">
        <v>2.8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37">
      <c r="A122" s="21" t="n">
        <v>3754</v>
      </c>
      <c r="B122" s="21" t="inlineStr">
        <is>
          <t>INK</t>
        </is>
      </c>
      <c r="C122" s="45" t="inlineStr">
        <is>
          <t>RED BRONZE (LOCAL) 32519</t>
        </is>
      </c>
      <c r="D122" s="21" t="inlineStr">
        <is>
          <t>kg</t>
        </is>
      </c>
      <c r="E122" s="33">
        <f>SUMPRODUCT((TableBOM[Item ID]=A117)*TableBOM[Per 1000 Units]*(1+TableBOM[Scrap %])*SUMIF($D$3:$D$9,TableBOM[Product ID],$H$3:$H$9)/1000)</f>
        <v/>
      </c>
      <c r="F122" s="165">
        <f>IF(E117=0,0,ROUND(H117/E117*30,1))</f>
        <v/>
      </c>
      <c r="G122" s="22">
        <f>IF(E117=0,"Not needed",IF(H117-E117&lt;0,"SHORTAGE",IF(H117-E117&lt;E117,"LOW","OK")))</f>
        <v/>
      </c>
      <c r="H122" s="33">
        <f>IFERROR(INDEX(TableInventory[Store Balance],MATCH(A117,TableInventory[Item ID],0)),0)+IFERROR(INDEX(TableInventory[Work In Process],MATCH(A117,TableInventory[Item ID],0)),0)</f>
        <v/>
      </c>
      <c r="I122" s="166" t="n">
        <v>2.67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37">
      <c r="A123" s="21" t="n">
        <v>3755</v>
      </c>
      <c r="B123" s="21" t="inlineStr">
        <is>
          <t>INK</t>
        </is>
      </c>
      <c r="C123" s="45" t="inlineStr">
        <is>
          <t>INK BLUE ES 164</t>
        </is>
      </c>
      <c r="D123" s="21" t="inlineStr">
        <is>
          <t>kg</t>
        </is>
      </c>
      <c r="E123" s="33">
        <f>SUMPRODUCT((TableBOM[Item ID]=A118)*TableBOM[Per 1000 Units]*(1+TableBOM[Scrap %])*SUMIF($D$3:$D$9,TableBOM[Product ID],$H$3:$H$9)/1000)</f>
        <v/>
      </c>
      <c r="F123" s="165">
        <f>IF(E118=0,0,ROUND(H118/E118*30,1))</f>
        <v/>
      </c>
      <c r="G123" s="22">
        <f>IF(E118=0,"Not needed",IF(H118-E118&lt;0,"SHORTAGE",IF(H118-E118&lt;E118,"LOW","OK")))</f>
        <v/>
      </c>
      <c r="H123" s="33">
        <f>IFERROR(INDEX(TableInventory[Store Balance],MATCH(A118,TableInventory[Item ID],0)),0)+IFERROR(INDEX(TableInventory[Work In Process],MATCH(A118,TableInventory[Item ID],0)),0)</f>
        <v/>
      </c>
      <c r="I123" s="166" t="n">
        <v>2.44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37">
      <c r="A124" s="21" t="n">
        <v>1928</v>
      </c>
      <c r="B124" s="21" t="inlineStr">
        <is>
          <t>INK</t>
        </is>
      </c>
      <c r="C124" s="45" t="inlineStr">
        <is>
          <t>BLACK (LOCAL) 77842</t>
        </is>
      </c>
      <c r="D124" s="21" t="inlineStr">
        <is>
          <t>kg</t>
        </is>
      </c>
      <c r="E124" s="33">
        <f>SUMPRODUCT((TableBOM[Item ID]=A119)*TableBOM[Per 1000 Units]*(1+TableBOM[Scrap %])*SUMIF($D$3:$D$9,TableBOM[Product ID],$H$3:$H$9)/1000)</f>
        <v/>
      </c>
      <c r="F124" s="165">
        <f>IF(E119=0,0,ROUND(H119/E119*30,1))</f>
        <v/>
      </c>
      <c r="G124" s="22">
        <f>IF(E119=0,"Not needed",IF(H119-E119&lt;0,"SHORTAGE",IF(H119-E119&lt;E119,"LOW","OK")))</f>
        <v/>
      </c>
      <c r="H124" s="33">
        <f>IFERROR(INDEX(TableInventory[Store Balance],MATCH(A119,TableInventory[Item ID],0)),0)+IFERROR(INDEX(TableInventory[Work In Process],MATCH(A119,TableInventory[Item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37">
      <c r="A125" s="21" t="n">
        <v>7094</v>
      </c>
      <c r="B125" s="21" t="inlineStr">
        <is>
          <t>INK</t>
        </is>
      </c>
      <c r="C125" s="45" t="inlineStr">
        <is>
          <t>INK GOLD V0221267AT-401363 IMPORTED</t>
        </is>
      </c>
      <c r="D125" s="21" t="inlineStr">
        <is>
          <t>kg</t>
        </is>
      </c>
      <c r="E125" s="33">
        <f>SUMPRODUCT((TableBOM[Item ID]=A120)*TableBOM[Per 1000 Units]*(1+TableBOM[Scrap %])*SUMIF($D$3:$D$9,TableBOM[Product ID],$H$3:$H$9)/1000)</f>
        <v/>
      </c>
      <c r="F125" s="165">
        <f>IF(E120=0,0,ROUND(H120/E120*30,1))</f>
        <v/>
      </c>
      <c r="G125" s="22">
        <f>IF(E120=0,"Not needed",IF(H120-E120&lt;0,"SHORTAGE",IF(H120-E120&lt;E120,"LOW","OK")))</f>
        <v/>
      </c>
      <c r="H125" s="33">
        <f>IFERROR(INDEX(TableInventory[Store Balance],MATCH(A120,TableInventory[Item ID],0)),0)+IFERROR(INDEX(TableInventory[Work In Process],MATCH(A120,TableInventory[Item ID],0)),0)</f>
        <v/>
      </c>
      <c r="I125" s="166" t="n">
        <v>2.32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37">
      <c r="A126" s="21" t="n">
        <v>3736</v>
      </c>
      <c r="B126" s="21" t="inlineStr">
        <is>
          <t>INK</t>
        </is>
      </c>
      <c r="C126" s="45" t="inlineStr">
        <is>
          <t>WHITE (LOCAL) 07094</t>
        </is>
      </c>
      <c r="D126" s="21" t="inlineStr">
        <is>
          <t>kg</t>
        </is>
      </c>
      <c r="E126" s="33">
        <f>SUMPRODUCT((TableBOM[Item ID]=A121)*TableBOM[Per 1000 Units]*(1+TableBOM[Scrap %])*SUMIF($D$3:$D$9,TableBOM[Product ID],$H$3:$H$9)/1000)</f>
        <v/>
      </c>
      <c r="F126" s="165">
        <f>IF(E121=0,0,ROUND(H121/E121*30,1))</f>
        <v/>
      </c>
      <c r="G126" s="22">
        <f>IF(E121=0,"Not needed",IF(H121-E121&lt;0,"SHORTAGE",IF(H121-E121&lt;E121,"LOW","OK")))</f>
        <v/>
      </c>
      <c r="H126" s="33">
        <f>IFERROR(INDEX(TableInventory[Store Balance],MATCH(A121,TableInventory[Item ID],0)),0)+IFERROR(INDEX(TableInventory[Work In Process],MATCH(A121,TableInventory[Item ID],0)),0)</f>
        <v/>
      </c>
      <c r="I126" s="166" t="n">
        <v>1.6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37">
      <c r="A127" s="21" t="n">
        <v>3955</v>
      </c>
      <c r="B127" s="21" t="inlineStr">
        <is>
          <t>INK</t>
        </is>
      </c>
      <c r="C127" s="45" t="inlineStr">
        <is>
          <t>GERANIUM (EVER SHINE) ES-130</t>
        </is>
      </c>
      <c r="D127" s="21" t="inlineStr">
        <is>
          <t>kg</t>
        </is>
      </c>
      <c r="E127" s="33">
        <f>SUMPRODUCT((TableBOM[Item ID]=A122)*TableBOM[Per 1000 Units]*(1+TableBOM[Scrap %])*SUMIF($D$3:$D$9,TableBOM[Product ID],$H$3:$H$9)/1000)</f>
        <v/>
      </c>
      <c r="F127" s="165">
        <f>IF(E122=0,0,ROUND(H122/E122*30,1))</f>
        <v/>
      </c>
      <c r="G127" s="22">
        <f>IF(E122=0,"Not needed",IF(H122-E122&lt;0,"SHORTAGE",IF(H122-E122&lt;E122,"LOW","OK")))</f>
        <v/>
      </c>
      <c r="H127" s="33">
        <f>IFERROR(INDEX(TableInventory[Store Balance],MATCH(A122,TableInventory[Item ID],0)),0)+IFERROR(INDEX(TableInventory[Work In Process],MATCH(A122,TableInventory[Item ID],0)),0)</f>
        <v/>
      </c>
      <c r="I127" s="166" t="n">
        <v>1.28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37">
      <c r="A128" s="21" t="n">
        <v>7398</v>
      </c>
      <c r="B128" s="21" t="inlineStr">
        <is>
          <t>INK</t>
        </is>
      </c>
      <c r="C128" s="45" t="inlineStr">
        <is>
          <t>PURPLE 48054</t>
        </is>
      </c>
      <c r="D128" s="21" t="inlineStr">
        <is>
          <t>kg</t>
        </is>
      </c>
      <c r="E128" s="33">
        <f>SUMPRODUCT((TableBOM[Item ID]=A123)*TableBOM[Per 1000 Units]*(1+TableBOM[Scrap %])*SUMIF($D$3:$D$9,TableBOM[Product ID],$H$3:$H$9)/1000)</f>
        <v/>
      </c>
      <c r="F128" s="165">
        <f>IF(E123=0,0,ROUND(H123/E123*30,1))</f>
        <v/>
      </c>
      <c r="G128" s="22">
        <f>IF(E123=0,"Not needed",IF(H123-E123&lt;0,"SHORTAGE",IF(H123-E123&lt;E123,"LOW","OK")))</f>
        <v/>
      </c>
      <c r="H128" s="33">
        <f>IFERROR(INDEX(TableInventory[Store Balance],MATCH(A123,TableInventory[Item ID],0)),0)+IFERROR(INDEX(TableInventory[Work In Process],MATCH(A123,TableInventory[Item ID],0)),0)</f>
        <v/>
      </c>
      <c r="I128" s="166" t="n">
        <v>1.04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37">
      <c r="A129" s="21" t="n">
        <v>3857</v>
      </c>
      <c r="B129" s="21" t="inlineStr">
        <is>
          <t>INK</t>
        </is>
      </c>
      <c r="C129" s="45" t="inlineStr">
        <is>
          <t>ORANGE (LOCAL)</t>
        </is>
      </c>
      <c r="D129" s="21" t="inlineStr">
        <is>
          <t>kg</t>
        </is>
      </c>
      <c r="E129" s="33">
        <f>SUMPRODUCT((TableBOM[Item ID]=A124)*TableBOM[Per 1000 Units]*(1+TableBOM[Scrap %])*SUMIF($D$3:$D$9,TableBOM[Product ID],$H$3:$H$9)/1000)</f>
        <v/>
      </c>
      <c r="F129" s="165">
        <f>IF(E124=0,0,ROUND(H124/E124*30,1))</f>
        <v/>
      </c>
      <c r="G129" s="22">
        <f>IF(E124=0,"Not needed",IF(H124-E124&lt;0,"SHORTAGE",IF(H124-E124&lt;E124,"LOW","OK")))</f>
        <v/>
      </c>
      <c r="H129" s="33">
        <f>IFERROR(INDEX(TableInventory[Store Balance],MATCH(A124,TableInventory[Item ID],0)),0)+IFERROR(INDEX(TableInventory[Work In Process],MATCH(A124,TableInventory[Item ID],0)),0)</f>
        <v/>
      </c>
      <c r="I129" s="166" t="n">
        <v>0.8100000000000001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37">
      <c r="A130" s="21" t="n">
        <v>6040</v>
      </c>
      <c r="B130" s="21" t="inlineStr">
        <is>
          <t>INK</t>
        </is>
      </c>
      <c r="C130" s="45" t="inlineStr">
        <is>
          <t>INK CYAN PROCESS 51650</t>
        </is>
      </c>
      <c r="D130" s="21" t="inlineStr">
        <is>
          <t>kg</t>
        </is>
      </c>
      <c r="E130" s="33">
        <f>SUMPRODUCT((TableBOM[Item ID]=A125)*TableBOM[Per 1000 Units]*(1+TableBOM[Scrap %])*SUMIF($D$3:$D$9,TableBOM[Product ID],$H$3:$H$9)/1000)</f>
        <v/>
      </c>
      <c r="F130" s="165">
        <f>IF(E125=0,0,ROUND(H125/E125*30,1))</f>
        <v/>
      </c>
      <c r="G130" s="22">
        <f>IF(E125=0,"Not needed",IF(H125-E125&lt;0,"SHORTAGE",IF(H125-E125&lt;E125,"LOW","OK")))</f>
        <v/>
      </c>
      <c r="H130" s="33">
        <f>IFERROR(INDEX(TableInventory[Store Balance],MATCH(A125,TableInventory[Item ID],0)),0)+IFERROR(INDEX(TableInventory[Work In Process],MATCH(A125,TableInventory[Item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37">
      <c r="A131" s="21" t="n">
        <v>5107</v>
      </c>
      <c r="B131" s="21" t="inlineStr">
        <is>
          <t>INK</t>
        </is>
      </c>
      <c r="C131" s="45" t="inlineStr">
        <is>
          <t>YELLOW LEMON 18600</t>
        </is>
      </c>
      <c r="D131" s="21" t="inlineStr">
        <is>
          <t>kg</t>
        </is>
      </c>
      <c r="E131" s="33">
        <f>SUMPRODUCT((TableBOM[Item ID]=A126)*TableBOM[Per 1000 Units]*(1+TableBOM[Scrap %])*SUMIF($D$3:$D$9,TableBOM[Product ID],$H$3:$H$9)/1000)</f>
        <v/>
      </c>
      <c r="F131" s="165">
        <f>IF(E126=0,0,ROUND(H126/E126*30,1))</f>
        <v/>
      </c>
      <c r="G131" s="22">
        <f>IF(E126=0,"Not needed",IF(H126-E126&lt;0,"SHORTAGE",IF(H126-E126&lt;E126,"LOW","OK")))</f>
        <v/>
      </c>
      <c r="H131" s="33">
        <f>IFERROR(INDEX(TableInventory[Store Balance],MATCH(A126,TableInventory[Item ID],0)),0)+IFERROR(INDEX(TableInventory[Work In Process],MATCH(A126,TableInventory[Item ID],0)),0)</f>
        <v/>
      </c>
      <c r="I131" s="166" t="n">
        <v>0.7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37">
      <c r="A132" s="21" t="n">
        <v>7152</v>
      </c>
      <c r="B132" s="21" t="inlineStr">
        <is>
          <t>INK</t>
        </is>
      </c>
      <c r="C132" s="45" t="inlineStr">
        <is>
          <t>INK GREEN ES 166</t>
        </is>
      </c>
      <c r="D132" s="21" t="inlineStr">
        <is>
          <t>kg</t>
        </is>
      </c>
      <c r="E132" s="33">
        <f>SUMPRODUCT((TableBOM[Item ID]=A127)*TableBOM[Per 1000 Units]*(1+TableBOM[Scrap %])*SUMIF($D$3:$D$9,TableBOM[Product ID],$H$3:$H$9)/1000)</f>
        <v/>
      </c>
      <c r="F132" s="165">
        <f>IF(E127=0,0,ROUND(H127/E127*30,1))</f>
        <v/>
      </c>
      <c r="G132" s="22">
        <f>IF(E127=0,"Not needed",IF(H127-E127&lt;0,"SHORTAGE",IF(H127-E127&lt;E127,"LOW","OK")))</f>
        <v/>
      </c>
      <c r="H132" s="33">
        <f>IFERROR(INDEX(TableInventory[Store Balance],MATCH(A127,TableInventory[Item ID],0)),0)+IFERROR(INDEX(TableInventory[Work In Process],MATCH(A127,TableInventory[Item ID],0)),0)</f>
        <v/>
      </c>
      <c r="I132" s="166" t="n">
        <v>0.58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37">
      <c r="A133" s="21" t="n">
        <v>7095</v>
      </c>
      <c r="B133" s="21" t="inlineStr">
        <is>
          <t>INK</t>
        </is>
      </c>
      <c r="C133" s="45" t="inlineStr">
        <is>
          <t>INK BLACK 158000 IMPORTED</t>
        </is>
      </c>
      <c r="D133" s="21" t="inlineStr">
        <is>
          <t>kg</t>
        </is>
      </c>
      <c r="E133" s="33">
        <f>SUMPRODUCT((TableBOM[Item ID]=A128)*TableBOM[Per 1000 Units]*(1+TableBOM[Scrap %])*SUMIF($D$3:$D$9,TableBOM[Product ID],$H$3:$H$9)/1000)</f>
        <v/>
      </c>
      <c r="F133" s="165">
        <f>IF(E128=0,0,ROUND(H128/E128*30,1))</f>
        <v/>
      </c>
      <c r="G133" s="22">
        <f>IF(E128=0,"Not needed",IF(H128-E128&lt;0,"SHORTAGE",IF(H128-E128&lt;E128,"LOW","OK")))</f>
        <v/>
      </c>
      <c r="H133" s="33">
        <f>IFERROR(INDEX(TableInventory[Store Balance],MATCH(A128,TableInventory[Item ID],0)),0)+IFERROR(INDEX(TableInventory[Work In Process],MATCH(A128,TableInventory[Item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37">
      <c r="A134" s="21" t="n">
        <v>118</v>
      </c>
      <c r="B134" s="21" t="inlineStr">
        <is>
          <t>INK</t>
        </is>
      </c>
      <c r="C134" s="45" t="inlineStr">
        <is>
          <t>SILVER (LOCAL)</t>
        </is>
      </c>
      <c r="D134" s="21" t="inlineStr">
        <is>
          <t>kg</t>
        </is>
      </c>
      <c r="E134" s="33">
        <f>SUMPRODUCT((TableBOM[Item ID]=A129)*TableBOM[Per 1000 Units]*(1+TableBOM[Scrap %])*SUMIF($D$3:$D$9,TableBOM[Product ID],$H$3:$H$9)/1000)</f>
        <v/>
      </c>
      <c r="F134" s="165">
        <f>IF(E129=0,0,ROUND(H129/E129*30,1))</f>
        <v/>
      </c>
      <c r="G134" s="22">
        <f>IF(E129=0,"Not needed",IF(H129-E129&lt;0,"SHORTAGE",IF(H129-E129&lt;E129,"LOW","OK")))</f>
        <v/>
      </c>
      <c r="H134" s="33">
        <f>IFERROR(INDEX(TableInventory[Store Balance],MATCH(A129,TableInventory[Item ID],0)),0)+IFERROR(INDEX(TableInventory[Work In Process],MATCH(A129,TableInventory[Item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37">
      <c r="A135" s="21" t="n">
        <v>2284</v>
      </c>
      <c r="B135" s="21" t="inlineStr">
        <is>
          <t>INK</t>
        </is>
      </c>
      <c r="C135" s="45" t="inlineStr">
        <is>
          <t>YELLOW (PASTAL-C)</t>
        </is>
      </c>
      <c r="D135" s="21" t="inlineStr">
        <is>
          <t>kg</t>
        </is>
      </c>
      <c r="E135" s="33">
        <f>SUMPRODUCT((TableBOM[Item ID]=A130)*TableBOM[Per 1000 Units]*(1+TableBOM[Scrap %])*SUMIF($D$3:$D$9,TableBOM[Product ID],$H$3:$H$9)/1000)</f>
        <v/>
      </c>
      <c r="F135" s="165">
        <f>IF(E130=0,0,ROUND(H130/E130*30,1))</f>
        <v/>
      </c>
      <c r="G135" s="22">
        <f>IF(E130=0,"Not needed",IF(H130-E130&lt;0,"SHORTAGE",IF(H130-E130&lt;E130,"LOW","OK")))</f>
        <v/>
      </c>
      <c r="H135" s="33">
        <f>IFERROR(INDEX(TableInventory[Store Balance],MATCH(A130,TableInventory[Item ID],0)),0)+IFERROR(INDEX(TableInventory[Work In Process],MATCH(A130,TableInventory[Item ID],0)),0)</f>
        <v/>
      </c>
      <c r="I135" s="166" t="n">
        <v>0.46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37">
      <c r="A136" s="21" t="n">
        <v>110</v>
      </c>
      <c r="B136" s="21" t="inlineStr">
        <is>
          <t>INK</t>
        </is>
      </c>
      <c r="C136" s="45" t="inlineStr">
        <is>
          <t>GREEN 165000</t>
        </is>
      </c>
      <c r="D136" s="21" t="inlineStr">
        <is>
          <t>kg</t>
        </is>
      </c>
      <c r="E136" s="33">
        <f>SUMPRODUCT((TableBOM[Item ID]=A131)*TableBOM[Per 1000 Units]*(1+TableBOM[Scrap %])*SUMIF($D$3:$D$9,TableBOM[Product ID],$H$3:$H$9)/1000)</f>
        <v/>
      </c>
      <c r="F136" s="165">
        <f>IF(E131=0,0,ROUND(H131/E131*30,1))</f>
        <v/>
      </c>
      <c r="G136" s="22">
        <f>IF(E131=0,"Not needed",IF(H131-E131&lt;0,"SHORTAGE",IF(H131-E131&lt;E131,"LOW","OK")))</f>
        <v/>
      </c>
      <c r="H136" s="33">
        <f>IFERROR(INDEX(TableInventory[Store Balance],MATCH(A131,TableInventory[Item ID],0)),0)+IFERROR(INDEX(TableInventory[Work In Process],MATCH(A131,TableInventory[Item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37">
      <c r="A137" s="21" t="n">
        <v>129</v>
      </c>
      <c r="B137" s="21" t="inlineStr">
        <is>
          <t>INK</t>
        </is>
      </c>
      <c r="C137" s="45" t="inlineStr">
        <is>
          <t>MEGENTA RED 152166</t>
        </is>
      </c>
      <c r="D137" s="21" t="inlineStr">
        <is>
          <t>kg</t>
        </is>
      </c>
      <c r="E137" s="33">
        <f>SUMPRODUCT((TableBOM[Item ID]=A132)*TableBOM[Per 1000 Units]*(1+TableBOM[Scrap %])*SUMIF($D$3:$D$9,TableBOM[Product ID],$H$3:$H$9)/1000)</f>
        <v/>
      </c>
      <c r="F137" s="165">
        <f>IF(E132=0,0,ROUND(H132/E132*30,1))</f>
        <v/>
      </c>
      <c r="G137" s="22">
        <f>IF(E132=0,"Not needed",IF(H132-E132&lt;0,"SHORTAGE",IF(H132-E132&lt;E132,"LOW","OK")))</f>
        <v/>
      </c>
      <c r="H137" s="33">
        <f>IFERROR(INDEX(TableInventory[Store Balance],MATCH(A132,TableInventory[Item ID],0)),0)+IFERROR(INDEX(TableInventory[Work In Process],MATCH(A132,TableInventory[Item ID],0)),0)</f>
        <v/>
      </c>
      <c r="I137" s="166" t="n">
        <v>0.35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37">
      <c r="A138" s="21" t="n">
        <v>6049</v>
      </c>
      <c r="B138" s="21" t="inlineStr">
        <is>
          <t>INK</t>
        </is>
      </c>
      <c r="C138" s="45" t="inlineStr">
        <is>
          <t>DARK BLUE EAZI COLOR 401168</t>
        </is>
      </c>
      <c r="D138" s="21" t="inlineStr">
        <is>
          <t>kg</t>
        </is>
      </c>
      <c r="E138" s="33">
        <f>SUMPRODUCT((TableBOM[Item ID]=A133)*TableBOM[Per 1000 Units]*(1+TableBOM[Scrap %])*SUMIF($D$3:$D$9,TableBOM[Product ID],$H$3:$H$9)/1000)</f>
        <v/>
      </c>
      <c r="F138" s="165">
        <f>IF(E133=0,0,ROUND(H133/E133*30,1))</f>
        <v/>
      </c>
      <c r="G138" s="22">
        <f>IF(E133=0,"Not needed",IF(H133-E133&lt;0,"SHORTAGE",IF(H133-E133&lt;E133,"LOW","OK")))</f>
        <v/>
      </c>
      <c r="H138" s="33">
        <f>IFERROR(INDEX(TableInventory[Store Balance],MATCH(A133,TableInventory[Item ID],0)),0)+IFERROR(INDEX(TableInventory[Work In Process],MATCH(A133,TableInventory[Item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37">
      <c r="A139" s="21" t="n">
        <v>3770</v>
      </c>
      <c r="B139" s="21" t="inlineStr">
        <is>
          <t>INK</t>
        </is>
      </c>
      <c r="C139" s="45" t="inlineStr">
        <is>
          <t>GREEN PC</t>
        </is>
      </c>
      <c r="D139" s="21" t="inlineStr">
        <is>
          <t>kg</t>
        </is>
      </c>
      <c r="E139" s="33">
        <f>SUMPRODUCT((TableBOM[Item ID]=A134)*TableBOM[Per 1000 Units]*(1+TableBOM[Scrap %])*SUMIF($D$3:$D$9,TableBOM[Product ID],$H$3:$H$9)/1000)</f>
        <v/>
      </c>
      <c r="F139" s="165">
        <f>IF(E134=0,0,ROUND(H134/E134*30,1))</f>
        <v/>
      </c>
      <c r="G139" s="22">
        <f>IF(E134=0,"Not needed",IF(H134-E134&lt;0,"SHORTAGE",IF(H134-E134&lt;E134,"LOW","OK")))</f>
        <v/>
      </c>
      <c r="H139" s="33">
        <f>IFERROR(INDEX(TableInventory[Store Balance],MATCH(A134,TableInventory[Item ID],0)),0)+IFERROR(INDEX(TableInventory[Work In Process],MATCH(A134,TableInventory[Item ID],0)),0)</f>
        <v/>
      </c>
      <c r="I139" s="166" t="n">
        <v>0.23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37">
      <c r="A140" s="21" t="n">
        <v>130</v>
      </c>
      <c r="B140" s="21" t="inlineStr">
        <is>
          <t>INK</t>
        </is>
      </c>
      <c r="C140" s="45" t="inlineStr">
        <is>
          <t>BLUE 165743</t>
        </is>
      </c>
      <c r="D140" s="21" t="inlineStr">
        <is>
          <t>kg</t>
        </is>
      </c>
      <c r="E140" s="33">
        <f>SUMPRODUCT((TableBOM[Item ID]=A135)*TableBOM[Per 1000 Units]*(1+TableBOM[Scrap %])*SUMIF($D$3:$D$9,TableBOM[Product ID],$H$3:$H$9)/1000)</f>
        <v/>
      </c>
      <c r="F140" s="165">
        <f>IF(E135=0,0,ROUND(H135/E135*30,1))</f>
        <v/>
      </c>
      <c r="G140" s="22">
        <f>IF(E135=0,"Not needed",IF(H135-E135&lt;0,"SHORTAGE",IF(H135-E135&lt;E135,"LOW","OK")))</f>
        <v/>
      </c>
      <c r="H140" s="33">
        <f>IFERROR(INDEX(TableInventory[Store Balance],MATCH(A135,TableInventory[Item ID],0)),0)+IFERROR(INDEX(TableInventory[Work In Process],MATCH(A135,TableInventory[Item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37">
      <c r="A141" s="21" t="n">
        <v>124</v>
      </c>
      <c r="B141" s="21" t="inlineStr">
        <is>
          <t>INK</t>
        </is>
      </c>
      <c r="C141" s="45" t="inlineStr">
        <is>
          <t>BROWN 157662</t>
        </is>
      </c>
      <c r="D141" s="21" t="inlineStr">
        <is>
          <t>kg</t>
        </is>
      </c>
      <c r="E141" s="33">
        <f>SUMPRODUCT((TableBOM[Item ID]=A136)*TableBOM[Per 1000 Units]*(1+TableBOM[Scrap %])*SUMIF($D$3:$D$9,TableBOM[Product ID],$H$3:$H$9)/1000)</f>
        <v/>
      </c>
      <c r="F141" s="165">
        <f>IF(E136=0,0,ROUND(H136/E136*30,1))</f>
        <v/>
      </c>
      <c r="G141" s="22">
        <f>IF(E136=0,"Not needed",IF(H136-E136&lt;0,"SHORTAGE",IF(H136-E136&lt;E136,"LOW","OK")))</f>
        <v/>
      </c>
      <c r="H141" s="33">
        <f>IFERROR(INDEX(TableInventory[Store Balance],MATCH(A136,TableInventory[Item ID],0)),0)+IFERROR(INDEX(TableInventory[Work In Process],MATCH(A136,TableInventory[Item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37">
      <c r="A142" s="21" t="n">
        <v>3968</v>
      </c>
      <c r="B142" s="21" t="inlineStr">
        <is>
          <t>INK</t>
        </is>
      </c>
      <c r="C142" s="45" t="inlineStr">
        <is>
          <t>BLUE BRONZE (LOCAL) 51168</t>
        </is>
      </c>
      <c r="D142" s="21" t="inlineStr">
        <is>
          <t>kg</t>
        </is>
      </c>
      <c r="E142" s="33">
        <f>SUMPRODUCT((TableBOM[Item ID]=A137)*TableBOM[Per 1000 Units]*(1+TableBOM[Scrap %])*SUMIF($D$3:$D$9,TableBOM[Product ID],$H$3:$H$9)/1000)</f>
        <v/>
      </c>
      <c r="F142" s="165">
        <f>IF(E137=0,0,ROUND(H137/E137*30,1))</f>
        <v/>
      </c>
      <c r="G142" s="22">
        <f>IF(E137=0,"Not needed",IF(H137-E137&lt;0,"SHORTAGE",IF(H137-E137&lt;E137,"LOW","OK")))</f>
        <v/>
      </c>
      <c r="H142" s="33">
        <f>IFERROR(INDEX(TableInventory[Store Balance],MATCH(A137,TableInventory[Item ID],0)),0)+IFERROR(INDEX(TableInventory[Work In Process],MATCH(A137,TableInventory[Item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37">
      <c r="A143" s="21" t="n">
        <v>3642</v>
      </c>
      <c r="B143" s="21" t="inlineStr">
        <is>
          <t>INK</t>
        </is>
      </c>
      <c r="C143" s="45" t="inlineStr">
        <is>
          <t>INK JET BLACK 77842</t>
        </is>
      </c>
      <c r="D143" s="21" t="inlineStr">
        <is>
          <t>kg</t>
        </is>
      </c>
      <c r="E143" s="33">
        <f>SUMPRODUCT((TableBOM[Item ID]=A138)*TableBOM[Per 1000 Units]*(1+TableBOM[Scrap %])*SUMIF($D$3:$D$9,TableBOM[Product ID],$H$3:$H$9)/1000)</f>
        <v/>
      </c>
      <c r="F143" s="165">
        <f>IF(E138=0,0,ROUND(H138/E138*30,1))</f>
        <v/>
      </c>
      <c r="G143" s="22">
        <f>IF(E138=0,"Not needed",IF(H138-E138&lt;0,"SHORTAGE",IF(H138-E138&lt;E138,"LOW","OK")))</f>
        <v/>
      </c>
      <c r="H143" s="33">
        <f>IFERROR(INDEX(TableInventory[Store Balance],MATCH(A138,TableInventory[Item ID],0)),0)+IFERROR(INDEX(TableInventory[Work In Process],MATCH(A138,TableInventory[Item ID],0)),0)</f>
        <v/>
      </c>
      <c r="I143" s="166" t="n">
        <v>0.12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37">
      <c r="A144" s="21" t="n">
        <v>104</v>
      </c>
      <c r="B144" s="21" t="inlineStr">
        <is>
          <t>INK</t>
        </is>
      </c>
      <c r="C144" s="45" t="inlineStr">
        <is>
          <t>VIOLET 501 IMP</t>
        </is>
      </c>
      <c r="D144" s="21" t="inlineStr">
        <is>
          <t>kg</t>
        </is>
      </c>
      <c r="E144" s="33">
        <f>SUMPRODUCT((TableBOM[Item ID]=A139)*TableBOM[Per 1000 Units]*(1+TableBOM[Scrap %])*SUMIF($D$3:$D$9,TableBOM[Product ID],$H$3:$H$9)/1000)</f>
        <v/>
      </c>
      <c r="F144" s="165">
        <f>IF(E139=0,0,ROUND(H139/E139*30,1))</f>
        <v/>
      </c>
      <c r="G144" s="22">
        <f>IF(E139=0,"Not needed",IF(H139-E139&lt;0,"SHORTAGE",IF(H139-E139&lt;E139,"LOW","OK")))</f>
        <v/>
      </c>
      <c r="H144" s="33">
        <f>IFERROR(INDEX(TableInventory[Store Balance],MATCH(A139,TableInventory[Item ID],0)),0)+IFERROR(INDEX(TableInventory[Work In Process],MATCH(A139,TableInventory[Item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105</v>
      </c>
      <c r="B145" s="21" t="inlineStr">
        <is>
          <t>INK</t>
        </is>
      </c>
      <c r="C145" s="45" t="inlineStr">
        <is>
          <t>VIOLET 502 IMP</t>
        </is>
      </c>
      <c r="D145" s="21" t="inlineStr">
        <is>
          <t>kg</t>
        </is>
      </c>
      <c r="E145" s="33">
        <f>SUMPRODUCT((TableBOM[Item ID]=A140)*TableBOM[Per 1000 Units]*(1+TableBOM[Scrap %])*SUMIF($D$3:$D$9,TableBOM[Product ID],$H$3:$H$9)/1000)</f>
        <v/>
      </c>
      <c r="F145" s="165">
        <f>IF(E140=0,0,ROUND(H140/E140*30,1))</f>
        <v/>
      </c>
      <c r="G145" s="22">
        <f>IF(E140=0,"Not needed",IF(H140-E140&lt;0,"SHORTAGE",IF(H140-E140&lt;E140,"LOW","OK")))</f>
        <v/>
      </c>
      <c r="H145" s="33">
        <f>IFERROR(INDEX(TableInventory[Store Balance],MATCH(A140,TableInventory[Item ID],0)),0)+IFERROR(INDEX(TableInventory[Work In Process],MATCH(A140,TableInventory[Item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127</v>
      </c>
      <c r="B146" s="21" t="inlineStr">
        <is>
          <t>INK</t>
        </is>
      </c>
      <c r="C146" s="45" t="inlineStr">
        <is>
          <t>BLUE 126039</t>
        </is>
      </c>
      <c r="D146" s="21" t="inlineStr">
        <is>
          <t>kg</t>
        </is>
      </c>
      <c r="E146" s="33">
        <f>SUMPRODUCT((TableBOM[Item ID]=A141)*TableBOM[Per 1000 Units]*(1+TableBOM[Scrap %])*SUMIF($D$3:$D$9,TableBOM[Product ID],$H$3:$H$9)/1000)</f>
        <v/>
      </c>
      <c r="F146" s="165">
        <f>IF(E141=0,0,ROUND(H141/E141*30,1))</f>
        <v/>
      </c>
      <c r="G146" s="22">
        <f>IF(E141=0,"Not needed",IF(H141-E141&lt;0,"SHORTAGE",IF(H141-E141&lt;E141,"LOW","OK")))</f>
        <v/>
      </c>
      <c r="H146" s="33">
        <f>IFERROR(INDEX(TableInventory[Store Balance],MATCH(A141,TableInventory[Item ID],0)),0)+IFERROR(INDEX(TableInventory[Work In Process],MATCH(A141,TableInventory[Item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37">
      <c r="A147" s="21" t="n">
        <v>3800</v>
      </c>
      <c r="B147" s="21" t="inlineStr">
        <is>
          <t>INK</t>
        </is>
      </c>
      <c r="C147" s="45" t="inlineStr">
        <is>
          <t>VIOLET 400484</t>
        </is>
      </c>
      <c r="D147" s="21" t="inlineStr">
        <is>
          <t>kg</t>
        </is>
      </c>
      <c r="E147" s="33">
        <f>SUMPRODUCT((TableBOM[Item ID]=A142)*TableBOM[Per 1000 Units]*(1+TableBOM[Scrap %])*SUMIF($D$3:$D$9,TableBOM[Product ID],$H$3:$H$9)/1000)</f>
        <v/>
      </c>
      <c r="F147" s="165">
        <f>IF(E142=0,0,ROUND(H142/E142*30,1))</f>
        <v/>
      </c>
      <c r="G147" s="22">
        <f>IF(E142=0,"Not needed",IF(H142-E142&lt;0,"SHORTAGE",IF(H142-E142&lt;E142,"LOW","OK")))</f>
        <v/>
      </c>
      <c r="H147" s="33">
        <f>IFERROR(INDEX(TableInventory[Store Balance],MATCH(A142,TableInventory[Item ID],0)),0)+IFERROR(INDEX(TableInventory[Work In Process],MATCH(A142,TableInventory[Item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37">
      <c r="A148" s="21" t="n">
        <v>4216</v>
      </c>
      <c r="B148" s="21" t="inlineStr">
        <is>
          <t>INK</t>
        </is>
      </c>
      <c r="C148" s="45" t="inlineStr">
        <is>
          <t>PINK FLUORESCENT</t>
        </is>
      </c>
      <c r="D148" s="21" t="inlineStr">
        <is>
          <t>kg</t>
        </is>
      </c>
      <c r="E148" s="33">
        <f>SUMPRODUCT((TableBOM[Item ID]=A143)*TableBOM[Per 1000 Units]*(1+TableBOM[Scrap %])*SUMIF($D$3:$D$9,TableBOM[Product ID],$H$3:$H$9)/1000)</f>
        <v/>
      </c>
      <c r="F148" s="165">
        <f>IF(E143=0,0,ROUND(H143/E143*30,1))</f>
        <v/>
      </c>
      <c r="G148" s="22">
        <f>IF(E143=0,"Not needed",IF(H143-E143&lt;0,"SHORTAGE",IF(H143-E143&lt;E143,"LOW","OK")))</f>
        <v/>
      </c>
      <c r="H148" s="33">
        <f>IFERROR(INDEX(TableInventory[Store Balance],MATCH(A143,TableInventory[Item ID],0)),0)+IFERROR(INDEX(TableInventory[Work In Process],MATCH(A143,TableInventory[Item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37">
      <c r="A149" s="21" t="n">
        <v>4306</v>
      </c>
      <c r="B149" s="21" t="inlineStr">
        <is>
          <t>INK</t>
        </is>
      </c>
      <c r="C149" s="45" t="inlineStr">
        <is>
          <t>VIOLET TUB 400011</t>
        </is>
      </c>
      <c r="D149" s="21" t="inlineStr">
        <is>
          <t>kg</t>
        </is>
      </c>
      <c r="E149" s="33">
        <f>SUMPRODUCT((TableBOM[Item ID]=A144)*TableBOM[Per 1000 Units]*(1+TableBOM[Scrap %])*SUMIF($D$3:$D$9,TableBOM[Product ID],$H$3:$H$9)/1000)</f>
        <v/>
      </c>
      <c r="F149" s="165">
        <f>IF(E144=0,0,ROUND(H144/E144*30,1))</f>
        <v/>
      </c>
      <c r="G149" s="22">
        <f>IF(E144=0,"Not needed",IF(H144-E144&lt;0,"SHORTAGE",IF(H144-E144&lt;E144,"LOW","OK")))</f>
        <v/>
      </c>
      <c r="H149" s="33">
        <f>IFERROR(INDEX(TableInventory[Store Balance],MATCH(A144,TableInventory[Item ID],0)),0)+IFERROR(INDEX(TableInventory[Work In Process],MATCH(A144,TableInventory[Item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37">
      <c r="A150" s="21" t="n">
        <v>6935</v>
      </c>
      <c r="B150" s="21" t="inlineStr">
        <is>
          <t>INK</t>
        </is>
      </c>
      <c r="C150" s="45" t="inlineStr">
        <is>
          <t>GOLD V0221267-RF-401363</t>
        </is>
      </c>
      <c r="D150" s="21" t="inlineStr">
        <is>
          <t>kg</t>
        </is>
      </c>
      <c r="E150" s="33">
        <f>SUMPRODUCT((TableBOM[Item ID]=A145)*TableBOM[Per 1000 Units]*(1+TableBOM[Scrap %])*SUMIF($D$3:$D$9,TableBOM[Product ID],$H$3:$H$9)/1000)</f>
        <v/>
      </c>
      <c r="F150" s="165">
        <f>IF(E145=0,0,ROUND(H145/E145*30,1))</f>
        <v/>
      </c>
      <c r="G150" s="22">
        <f>IF(E145=0,"Not needed",IF(H145-E145&lt;0,"SHORTAGE",IF(H145-E145&lt;E145,"LOW","OK")))</f>
        <v/>
      </c>
      <c r="H150" s="33">
        <f>IFERROR(INDEX(TableInventory[Store Balance],MATCH(A145,TableInventory[Item ID],0)),0)+IFERROR(INDEX(TableInventory[Work In Process],MATCH(A145,TableInventory[Item ID],0)),0)</f>
        <v/>
      </c>
      <c r="I150" s="166" t="n">
        <v>0</v>
      </c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</row>
    <row r="151" ht="15" customHeight="1" s="237"/>
    <row r="152" ht="15" customHeight="1" s="237"/>
    <row r="153" ht="15" customHeight="1" s="237">
      <c r="A153" s="6" t="inlineStr">
        <is>
          <t>FG STOCK — CAPS ON HOLD  |  Detail breakdown for Col K above</t>
        </is>
      </c>
      <c r="B153" s="7" t="n"/>
      <c r="C153" s="7" t="n"/>
      <c r="D153" s="7" t="n"/>
      <c r="E153" s="7" t="n"/>
      <c r="F153" s="7" t="n"/>
      <c r="G153" s="7" t="n"/>
    </row>
    <row r="154" ht="24" customHeight="1" s="237">
      <c r="A154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5">
      <c r="A155" s="41" t="inlineStr">
        <is>
          <t>PID</t>
        </is>
      </c>
      <c r="B155" s="41" t="inlineStr">
        <is>
          <t>Customer</t>
        </is>
      </c>
      <c r="C155" s="42" t="inlineStr">
        <is>
          <t>Product Name</t>
        </is>
      </c>
      <c r="D155" s="41" t="inlineStr">
        <is>
          <t>Cap Item ID</t>
        </is>
      </c>
      <c r="E155" s="164" t="inlineStr">
        <is>
          <t>Cap Item Name</t>
        </is>
      </c>
      <c r="F155" s="14" t="inlineStr">
        <is>
          <t>FG Qty On Hold</t>
        </is>
      </c>
      <c r="G155" s="15" t="inlineStr">
        <is>
          <t>Notes</t>
        </is>
      </c>
    </row>
    <row r="156">
      <c r="A156" s="21" t="n">
        <v>5782</v>
      </c>
      <c r="B156" s="45">
        <f>IFERROR(VLOOKUP(A151,Product_Catalog!$A$3:$D$100,3,0),"-")</f>
        <v/>
      </c>
      <c r="C156" s="45">
        <f>IFERROR(VLOOKUP(A151,Product_Catalog!$A$3:$D$100,4,0),"-")</f>
        <v/>
      </c>
      <c r="D156" s="21" t="n">
        <v>1285</v>
      </c>
      <c r="E156" s="167">
        <f>IFERROR(INDEX($C$42:$C$63,MATCH(D151,$A$42:$A$63,0)),"-")</f>
        <v/>
      </c>
      <c r="F156" s="27">
        <f>SUMPRODUCT(('FG Stock'!$B$4:$B$100=A151)*(ISNUMBER(SEARCH("Cap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6624</v>
      </c>
      <c r="B157" s="45">
        <f>IFERROR(VLOOKUP(A152,Product_Catalog!$A$3:$D$100,3,0),"-")</f>
        <v/>
      </c>
      <c r="C157" s="45">
        <f>IFERROR(VLOOKUP(A152,Product_Catalog!$A$3:$D$100,4,0),"-")</f>
        <v/>
      </c>
      <c r="D157" s="21" t="n">
        <v>80</v>
      </c>
      <c r="E157" s="167">
        <f>IFERROR(INDEX($C$42:$C$63,MATCH(D152,$A$42:$A$63,0)),"-")</f>
        <v/>
      </c>
      <c r="F157" s="27">
        <f>SUMPRODUCT(('FG Stock'!$B$4:$B$100=A152)*(ISNUMBER(SEARCH("Cap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5699</v>
      </c>
      <c r="B158" s="45">
        <f>IFERROR(VLOOKUP(A153,Product_Catalog!$A$3:$D$100,3,0),"-")</f>
        <v/>
      </c>
      <c r="C158" s="45">
        <f>IFERROR(VLOOKUP(A153,Product_Catalog!$A$3:$D$100,4,0),"-")</f>
        <v/>
      </c>
      <c r="D158" s="21" t="n">
        <v>6971</v>
      </c>
      <c r="E158" s="167">
        <f>IFERROR(INDEX($C$42:$C$63,MATCH(D153,$A$42:$A$63,0)),"-")</f>
        <v/>
      </c>
      <c r="F158" s="27">
        <f>SUMPRODUCT(('FG Stock'!$B$4:$B$100=A153)*(ISNUMBER(SEARCH("Cap Not Available",'FG Stock'!$H$4:$H$100)))*'FG Stock'!$F$4:$F$100)</f>
        <v/>
      </c>
      <c r="G158" s="168" t="inlineStr">
        <is>
          <t>Included in ORDER QTY above</t>
        </is>
      </c>
    </row>
    <row r="159">
      <c r="A159" s="21" t="n">
        <v>5731</v>
      </c>
      <c r="B159" s="45">
        <f>IFERROR(VLOOKUP(A154,Product_Catalog!$A$3:$D$100,3,0),"-")</f>
        <v/>
      </c>
      <c r="C159" s="45">
        <f>IFERROR(VLOOKUP(A154,Product_Catalog!$A$3:$D$100,4,0),"-")</f>
        <v/>
      </c>
      <c r="D159" s="21" t="n">
        <v>6971</v>
      </c>
      <c r="E159" s="167">
        <f>IFERROR(INDEX($C$42:$C$63,MATCH(D154,$A$42:$A$63,0)),"-")</f>
        <v/>
      </c>
      <c r="F159" s="27">
        <f>SUMPRODUCT(('FG Stock'!$B$4:$B$100=A154)*(ISNUMBER(SEARCH("Cap Not Available",'FG Stock'!$H$4:$H$100)))*'FG Stock'!$F$4:$F$100)</f>
        <v/>
      </c>
      <c r="G159" s="168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38"/>
        <filter val="15"/>
        <filter val="167"/>
        <filter val="183"/>
        <filter val="188"/>
        <filter val="194"/>
        <filter val="2"/>
        <filter val="25"/>
        <filter val="25,500"/>
        <filter val="3"/>
        <filter val="36,006"/>
        <filter val="364"/>
        <filter val="59,135"/>
        <filter val="69"/>
        <filter val="73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7"/>
  <sheetViews>
    <sheetView topLeftCell="A60" zoomScaleNormal="100" workbookViewId="0">
      <selection activeCell="C2" sqref="C2"/>
    </sheetView>
  </sheetViews>
  <sheetFormatPr baseColWidth="8" defaultColWidth="8.7109375" defaultRowHeight="15"/>
  <cols>
    <col width="20.85546875" customWidth="1" style="237" min="1" max="1"/>
    <col width="14" customWidth="1" style="237" min="2" max="2"/>
    <col width="34" customWidth="1" style="238" min="3" max="3"/>
    <col width="21.7109375" customWidth="1" style="238" min="4" max="4"/>
    <col width="12" customWidth="1" style="237" min="5" max="6"/>
    <col width="14" customWidth="1" style="237" min="7" max="7"/>
    <col width="20" customWidth="1" style="237" min="8" max="8"/>
    <col width="12.85546875" customWidth="1" style="237" min="9" max="9"/>
    <col width="10" customWidth="1" style="237" min="10" max="10"/>
    <col width="14" customWidth="1" style="237" min="11" max="12"/>
    <col width="18" customWidth="1" style="237" min="13" max="13"/>
    <col width="14" customWidth="1" style="237" min="14" max="15"/>
    <col width="18" customWidth="1" style="237" min="16" max="16"/>
    <col width="17.140625" customWidth="1" style="237" min="17" max="17"/>
    <col width="16" customWidth="1" style="237" min="18" max="18"/>
  </cols>
  <sheetData>
    <row r="1" ht="15" customHeight="1" s="237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37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t="15" customHeight="1" s="237">
      <c r="A3" s="273" t="n">
        <v>46174</v>
      </c>
      <c r="B3" s="270" t="inlineStr">
        <is>
          <t>Lacquer-02</t>
        </is>
      </c>
      <c r="C3" s="270" t="inlineStr">
        <is>
          <t>Samsol International Private Limited</t>
        </is>
      </c>
      <c r="D3" s="270" t="inlineStr">
        <is>
          <t>S-45</t>
        </is>
      </c>
      <c r="E3" s="270" t="n">
        <v>25</v>
      </c>
      <c r="F3" s="270" t="n">
        <v>5389</v>
      </c>
      <c r="G3" s="271" t="n">
        <v>14000</v>
      </c>
      <c r="H3" s="271" t="n">
        <v>13770</v>
      </c>
      <c r="I3" s="271" t="n">
        <v>230</v>
      </c>
      <c r="J3" s="272">
        <f>IFERROR(I3/(H3+I3),"")</f>
        <v/>
      </c>
      <c r="K3" s="270" t="n"/>
      <c r="L3" s="270" t="n"/>
      <c r="M3" s="270" t="n">
        <v>120</v>
      </c>
      <c r="N3" s="270" t="n"/>
      <c r="O3" s="270" t="n"/>
      <c r="P3" s="270" t="n"/>
      <c r="Q3" s="270" t="n"/>
      <c r="R3" s="270" t="n"/>
      <c r="S3" s="270" t="n"/>
    </row>
    <row r="4" ht="15" customHeight="1" s="237">
      <c r="A4" s="273" t="n">
        <v>46174</v>
      </c>
      <c r="B4" s="270" t="inlineStr">
        <is>
          <t>Lacquer-04</t>
        </is>
      </c>
      <c r="C4" s="270" t="inlineStr">
        <is>
          <t>Golden Pearl Cosmetics (PVT) LTD</t>
        </is>
      </c>
      <c r="D4" s="270" t="inlineStr">
        <is>
          <t>HELLO HAIR COLOR</t>
        </is>
      </c>
      <c r="E4" s="270" t="n">
        <v>30</v>
      </c>
      <c r="F4" s="270" t="n">
        <v>6206</v>
      </c>
      <c r="G4" s="271" t="n">
        <v>3000</v>
      </c>
      <c r="H4" s="271" t="n">
        <v>2940</v>
      </c>
      <c r="I4" s="271" t="n">
        <v>60</v>
      </c>
      <c r="J4" s="272">
        <f>IFERROR(I4/(H4+I4),"")</f>
        <v/>
      </c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</row>
    <row r="5" ht="15" customHeight="1" s="237">
      <c r="A5" s="273" t="n">
        <v>46174</v>
      </c>
      <c r="B5" s="270" t="inlineStr">
        <is>
          <t>Latex-01</t>
        </is>
      </c>
      <c r="C5" s="270" t="inlineStr">
        <is>
          <t>Golden Pearl Cosmetics (PVT) LTD</t>
        </is>
      </c>
      <c r="D5" s="270" t="inlineStr">
        <is>
          <t>HELLO HAIR COLOR</t>
        </is>
      </c>
      <c r="E5" s="270" t="n">
        <v>30</v>
      </c>
      <c r="F5" s="270" t="n">
        <v>6206</v>
      </c>
      <c r="G5" s="271" t="n">
        <v>26000</v>
      </c>
      <c r="H5" s="271" t="n">
        <v>25990</v>
      </c>
      <c r="I5" s="271" t="n">
        <v>10</v>
      </c>
      <c r="J5" s="272">
        <f>IFERROR(I5/(H5+I5),"")</f>
        <v/>
      </c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</row>
    <row r="6" ht="15" customHeight="1" s="237">
      <c r="A6" s="273" t="n">
        <v>46174</v>
      </c>
      <c r="B6" s="270" t="inlineStr">
        <is>
          <t>PF Machine</t>
        </is>
      </c>
      <c r="C6" s="270" t="inlineStr">
        <is>
          <t>Alpha Labs PVT LTD</t>
        </is>
      </c>
      <c r="D6" s="270" t="inlineStr">
        <is>
          <t>TRANSPARENT BOTTLE 150ML</t>
        </is>
      </c>
      <c r="E6" s="270" t="inlineStr">
        <is>
          <t>150 ml</t>
        </is>
      </c>
      <c r="F6" s="270" t="n">
        <v>8001</v>
      </c>
      <c r="G6" s="271" t="n">
        <v>0</v>
      </c>
      <c r="H6" s="271" t="n">
        <v>0</v>
      </c>
      <c r="I6" s="271" t="n">
        <v>0</v>
      </c>
      <c r="J6" s="272">
        <f>IFERROR(I6/(H6+I6),"")</f>
        <v/>
      </c>
      <c r="K6" s="270" t="n"/>
      <c r="L6" s="270" t="n"/>
      <c r="M6" s="270" t="n"/>
      <c r="N6" s="270" t="n"/>
      <c r="O6" s="270" t="n">
        <v>480</v>
      </c>
      <c r="P6" s="270" t="n"/>
      <c r="Q6" s="270" t="n"/>
      <c r="R6" s="270" t="n"/>
      <c r="S6" s="270" t="n"/>
    </row>
    <row r="7" ht="15" customHeight="1" s="237">
      <c r="A7" s="273" t="n">
        <v>46174</v>
      </c>
      <c r="B7" s="270" t="inlineStr">
        <is>
          <t>Press-04</t>
        </is>
      </c>
      <c r="C7" s="270" t="inlineStr">
        <is>
          <t>Mablay Beauty PVT LTD.</t>
        </is>
      </c>
      <c r="D7" s="270" t="inlineStr">
        <is>
          <t>VINCE NURTURAL</t>
        </is>
      </c>
      <c r="E7" s="270" t="n">
        <v>30</v>
      </c>
      <c r="F7" s="270" t="n">
        <v>5814</v>
      </c>
      <c r="G7" s="271" t="n">
        <v>0</v>
      </c>
      <c r="H7" s="271" t="n">
        <v>0</v>
      </c>
      <c r="I7" s="271" t="n">
        <v>0</v>
      </c>
      <c r="J7" s="272">
        <f>IFERROR(I7/(H7+I7),"")</f>
        <v/>
      </c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</row>
    <row r="8" ht="15" customHeight="1" s="237">
      <c r="A8" s="273" t="n">
        <v>46174</v>
      </c>
      <c r="B8" s="270" t="inlineStr">
        <is>
          <t>Press-06</t>
        </is>
      </c>
      <c r="C8" s="270" t="inlineStr">
        <is>
          <t>Samsol International Private Limited</t>
        </is>
      </c>
      <c r="D8" s="270" t="inlineStr">
        <is>
          <t>S-45</t>
        </is>
      </c>
      <c r="E8" s="270" t="n">
        <v>25</v>
      </c>
      <c r="F8" s="270" t="n">
        <v>5389</v>
      </c>
      <c r="G8" s="271" t="n">
        <v>20000</v>
      </c>
      <c r="H8" s="271" t="n">
        <v>19890</v>
      </c>
      <c r="I8" s="271" t="n">
        <v>110</v>
      </c>
      <c r="J8" s="272">
        <f>IFERROR(I8/(H8+I8),"")</f>
        <v/>
      </c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</row>
    <row r="9" ht="15" customHeight="1" s="237">
      <c r="A9" s="273" t="n">
        <v>46174</v>
      </c>
      <c r="B9" s="270" t="inlineStr">
        <is>
          <t>Printing-03</t>
        </is>
      </c>
      <c r="C9" s="270" t="inlineStr">
        <is>
          <t>Samsol International Private Limited</t>
        </is>
      </c>
      <c r="D9" s="270" t="inlineStr">
        <is>
          <t>S-45</t>
        </is>
      </c>
      <c r="E9" s="270" t="n">
        <v>25</v>
      </c>
      <c r="F9" s="270" t="n">
        <v>5389</v>
      </c>
      <c r="G9" s="271" t="n">
        <v>9999</v>
      </c>
      <c r="H9" s="271" t="n">
        <v>9744</v>
      </c>
      <c r="I9" s="271" t="n">
        <v>255</v>
      </c>
      <c r="J9" s="272">
        <f>IFERROR(I9/(H9+I9),"")</f>
        <v/>
      </c>
      <c r="K9" s="270" t="n"/>
      <c r="L9" s="270" t="n">
        <v>60</v>
      </c>
      <c r="M9" s="270" t="n">
        <v>180</v>
      </c>
      <c r="N9" s="270" t="n"/>
      <c r="O9" s="270" t="n"/>
      <c r="P9" s="270" t="n"/>
      <c r="Q9" s="270" t="n"/>
      <c r="R9" s="270" t="n"/>
      <c r="S9" s="270" t="n"/>
    </row>
    <row r="10" ht="15" customHeight="1" s="237">
      <c r="A10" s="273" t="n">
        <v>46174</v>
      </c>
      <c r="B10" s="270" t="inlineStr">
        <is>
          <t>Printing-04</t>
        </is>
      </c>
      <c r="C10" s="270" t="inlineStr">
        <is>
          <t>Golden Pearl Cosmetics (PVT) LTD</t>
        </is>
      </c>
      <c r="D10" s="270" t="inlineStr">
        <is>
          <t>HELLO HAIR COLOR</t>
        </is>
      </c>
      <c r="E10" s="270" t="n">
        <v>30</v>
      </c>
      <c r="F10" s="270" t="n">
        <v>6206</v>
      </c>
      <c r="G10" s="271" t="n">
        <v>2728</v>
      </c>
      <c r="H10" s="271" t="n">
        <v>2618</v>
      </c>
      <c r="I10" s="271" t="n">
        <v>110</v>
      </c>
      <c r="J10" s="272">
        <f>IFERROR(I10/(H10+I10),"")</f>
        <v/>
      </c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</row>
    <row r="11" ht="15" customHeight="1" s="237">
      <c r="A11" s="273" t="n">
        <v>46175</v>
      </c>
      <c r="B11" s="270" t="inlineStr">
        <is>
          <t>Lacquer-02</t>
        </is>
      </c>
      <c r="C11" s="270" t="inlineStr">
        <is>
          <t>Samsol International Private Limited</t>
        </is>
      </c>
      <c r="D11" s="270" t="inlineStr">
        <is>
          <t>S-45</t>
        </is>
      </c>
      <c r="E11" s="270" t="n">
        <v>25</v>
      </c>
      <c r="F11" s="270" t="n">
        <v>5389</v>
      </c>
      <c r="G11" s="271" t="n">
        <v>8000</v>
      </c>
      <c r="H11" s="271" t="n">
        <v>7880</v>
      </c>
      <c r="I11" s="271" t="n">
        <v>120</v>
      </c>
      <c r="J11" s="272">
        <f>IFERROR(I11/(H11+I11),"")</f>
        <v/>
      </c>
      <c r="K11" s="270" t="n"/>
      <c r="L11" s="270" t="n"/>
      <c r="M11" s="270" t="n"/>
      <c r="N11" s="270" t="n"/>
      <c r="O11" s="270" t="n"/>
      <c r="P11" s="270" t="n">
        <v>60</v>
      </c>
      <c r="Q11" s="270" t="n"/>
      <c r="R11" s="270" t="n"/>
      <c r="S11" s="270" t="n"/>
    </row>
    <row r="12" ht="15" customHeight="1" s="237">
      <c r="A12" s="273" t="n">
        <v>46175</v>
      </c>
      <c r="B12" s="270" t="inlineStr">
        <is>
          <t>Lacquer-04</t>
        </is>
      </c>
      <c r="C12" s="270" t="inlineStr">
        <is>
          <t>Golden Pearl Cosmetics (PVT) LTD</t>
        </is>
      </c>
      <c r="D12" s="270" t="inlineStr">
        <is>
          <t>HELLO HAIR COLOR</t>
        </is>
      </c>
      <c r="E12" s="270" t="n">
        <v>30</v>
      </c>
      <c r="F12" s="270" t="n">
        <v>6206</v>
      </c>
      <c r="G12" s="271" t="n">
        <v>4000</v>
      </c>
      <c r="H12" s="271" t="n">
        <v>3905</v>
      </c>
      <c r="I12" s="271" t="n">
        <v>95</v>
      </c>
      <c r="J12" s="272">
        <f>IFERROR(I12/(H12+I12),"")</f>
        <v/>
      </c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</row>
    <row r="13" ht="15" customHeight="1" s="237">
      <c r="A13" s="273" t="n">
        <v>46175</v>
      </c>
      <c r="B13" s="270" t="inlineStr">
        <is>
          <t>Latex-01</t>
        </is>
      </c>
      <c r="C13" s="270" t="inlineStr">
        <is>
          <t>Golden Pearl Cosmetics (PVT) LTD</t>
        </is>
      </c>
      <c r="D13" s="270" t="inlineStr">
        <is>
          <t>HELLO HAIR COLOR</t>
        </is>
      </c>
      <c r="E13" s="270" t="n">
        <v>30</v>
      </c>
      <c r="F13" s="270" t="n">
        <v>6206</v>
      </c>
      <c r="G13" s="271" t="n">
        <v>22134</v>
      </c>
      <c r="H13" s="271" t="n">
        <v>22124</v>
      </c>
      <c r="I13" s="271" t="n">
        <v>10</v>
      </c>
      <c r="J13" s="272">
        <f>IFERROR(I13/(H13+I13),"")</f>
        <v/>
      </c>
      <c r="K13" s="270" t="n"/>
      <c r="L13" s="270" t="n"/>
      <c r="M13" s="270" t="n"/>
      <c r="N13" s="270" t="n"/>
      <c r="O13" s="270" t="n"/>
      <c r="P13" s="270" t="n">
        <v>60</v>
      </c>
      <c r="Q13" s="270" t="n"/>
      <c r="R13" s="270" t="n"/>
      <c r="S13" s="270" t="n"/>
    </row>
    <row r="14" ht="15" customHeight="1" s="237">
      <c r="A14" s="273" t="n">
        <v>46175</v>
      </c>
      <c r="B14" s="270" t="inlineStr">
        <is>
          <t>PF Machine</t>
        </is>
      </c>
      <c r="C14" s="270" t="inlineStr">
        <is>
          <t>Alpha Labs PVT LTD</t>
        </is>
      </c>
      <c r="D14" s="270" t="inlineStr">
        <is>
          <t>TRANSPARENT BOTTLE 150ML</t>
        </is>
      </c>
      <c r="E14" s="270" t="inlineStr">
        <is>
          <t>150 ml</t>
        </is>
      </c>
      <c r="F14" s="270" t="n">
        <v>8001</v>
      </c>
      <c r="G14" s="271" t="n">
        <v>0</v>
      </c>
      <c r="H14" s="271" t="n">
        <v>0</v>
      </c>
      <c r="I14" s="271" t="n">
        <v>0</v>
      </c>
      <c r="J14" s="272">
        <f>IFERROR(I14/(H14+I14),"")</f>
        <v/>
      </c>
      <c r="K14" s="270" t="n"/>
      <c r="L14" s="270" t="n"/>
      <c r="M14" s="270" t="n"/>
      <c r="N14" s="270" t="n"/>
      <c r="O14" s="270" t="n">
        <v>480</v>
      </c>
      <c r="P14" s="270" t="n"/>
      <c r="Q14" s="270" t="n"/>
      <c r="R14" s="270" t="n"/>
      <c r="S14" s="270" t="n"/>
    </row>
    <row r="15" ht="15" customHeight="1" s="237">
      <c r="A15" s="273" t="n">
        <v>46175</v>
      </c>
      <c r="B15" s="270" t="inlineStr">
        <is>
          <t>Press-04</t>
        </is>
      </c>
      <c r="C15" s="270" t="inlineStr">
        <is>
          <t>Mablay Beauty PVT LTD.</t>
        </is>
      </c>
      <c r="D15" s="270" t="inlineStr">
        <is>
          <t>VINCE NURTURAL</t>
        </is>
      </c>
      <c r="E15" s="270" t="n">
        <v>30</v>
      </c>
      <c r="F15" s="270" t="n">
        <v>5814</v>
      </c>
      <c r="G15" s="271" t="n">
        <v>0</v>
      </c>
      <c r="H15" s="271" t="n">
        <v>0</v>
      </c>
      <c r="I15" s="271" t="n">
        <v>0</v>
      </c>
      <c r="J15" s="272">
        <f>IFERROR(I15/(H15+I15),"")</f>
        <v/>
      </c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</row>
    <row r="16" ht="15" customHeight="1" s="237">
      <c r="A16" s="273" t="n">
        <v>46175</v>
      </c>
      <c r="B16" s="270" t="inlineStr">
        <is>
          <t>Press-06</t>
        </is>
      </c>
      <c r="C16" s="270" t="inlineStr">
        <is>
          <t>Samsol International Private Limited</t>
        </is>
      </c>
      <c r="D16" s="270" t="inlineStr">
        <is>
          <t>S-45</t>
        </is>
      </c>
      <c r="E16" s="270" t="n">
        <v>25</v>
      </c>
      <c r="F16" s="270" t="n">
        <v>5389</v>
      </c>
      <c r="G16" s="271" t="n">
        <v>1000</v>
      </c>
      <c r="H16" s="271" t="n">
        <v>980</v>
      </c>
      <c r="I16" s="271" t="n">
        <v>20</v>
      </c>
      <c r="J16" s="272">
        <f>IFERROR(I16/(H16+I16),"")</f>
        <v/>
      </c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</row>
    <row r="17" ht="15" customHeight="1" s="237">
      <c r="A17" s="273" t="n">
        <v>46175</v>
      </c>
      <c r="B17" s="270" t="inlineStr">
        <is>
          <t>Printing-03</t>
        </is>
      </c>
      <c r="C17" s="270" t="inlineStr">
        <is>
          <t>Samsol International Private Limited</t>
        </is>
      </c>
      <c r="D17" s="270" t="inlineStr">
        <is>
          <t>S-45</t>
        </is>
      </c>
      <c r="E17" s="270" t="n">
        <v>25</v>
      </c>
      <c r="F17" s="270" t="n">
        <v>5389</v>
      </c>
      <c r="G17" s="271" t="n">
        <v>12687</v>
      </c>
      <c r="H17" s="271" t="n">
        <v>12432</v>
      </c>
      <c r="I17" s="271" t="n">
        <v>255</v>
      </c>
      <c r="J17" s="272">
        <f>IFERROR(I17/(H17+I17),"")</f>
        <v/>
      </c>
      <c r="K17" s="270" t="n"/>
      <c r="L17" s="270" t="n"/>
      <c r="M17" s="270" t="n"/>
      <c r="N17" s="270" t="n"/>
      <c r="O17" s="270" t="n"/>
      <c r="P17" s="270" t="n">
        <v>60</v>
      </c>
      <c r="Q17" s="270" t="n"/>
      <c r="R17" s="270" t="n"/>
      <c r="S17" s="270" t="n"/>
    </row>
    <row r="18" ht="15" customHeight="1" s="237">
      <c r="A18" s="273" t="n">
        <v>46175</v>
      </c>
      <c r="B18" s="270" t="inlineStr">
        <is>
          <t>Printing-04</t>
        </is>
      </c>
      <c r="C18" s="270" t="inlineStr">
        <is>
          <t>Golden Pearl Cosmetics (PVT) LTD</t>
        </is>
      </c>
      <c r="D18" s="270" t="inlineStr">
        <is>
          <t>HELLO HAIR COLOR</t>
        </is>
      </c>
      <c r="E18" s="270" t="n">
        <v>30</v>
      </c>
      <c r="F18" s="270" t="n">
        <v>6206</v>
      </c>
      <c r="G18" s="271" t="n">
        <v>0</v>
      </c>
      <c r="H18" s="271" t="n">
        <v>0</v>
      </c>
      <c r="I18" s="271" t="n">
        <v>0</v>
      </c>
      <c r="J18" s="272">
        <f>IFERROR(I18/(H18+I18),"")</f>
        <v/>
      </c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</row>
    <row r="19" ht="15" customHeight="1" s="237">
      <c r="A19" s="273" t="n">
        <v>46177</v>
      </c>
      <c r="B19" s="270" t="inlineStr">
        <is>
          <t>Lacquer-02</t>
        </is>
      </c>
      <c r="C19" s="270" t="inlineStr"/>
      <c r="D19" s="270" t="inlineStr"/>
      <c r="E19" s="270" t="inlineStr"/>
      <c r="F19" s="270" t="n"/>
      <c r="G19" s="271" t="n">
        <v>0</v>
      </c>
      <c r="H19" s="271" t="n">
        <v>0</v>
      </c>
      <c r="I19" s="271" t="n">
        <v>0</v>
      </c>
      <c r="J19" s="272">
        <f>IFERROR(I19/(H19+I19),"")</f>
        <v/>
      </c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</row>
    <row r="20" ht="15" customHeight="1" s="237">
      <c r="A20" s="273" t="n">
        <v>46177</v>
      </c>
      <c r="B20" s="270" t="inlineStr">
        <is>
          <t>Lacquer-04</t>
        </is>
      </c>
      <c r="C20" s="270" t="inlineStr"/>
      <c r="D20" s="270" t="inlineStr"/>
      <c r="E20" s="270" t="inlineStr"/>
      <c r="F20" s="270" t="n"/>
      <c r="G20" s="271" t="n">
        <v>0</v>
      </c>
      <c r="H20" s="271" t="n">
        <v>0</v>
      </c>
      <c r="I20" s="271" t="n">
        <v>0</v>
      </c>
      <c r="J20" s="272">
        <f>IFERROR(I20/(H20+I20),"")</f>
        <v/>
      </c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</row>
    <row r="21" ht="15" customHeight="1" s="237">
      <c r="A21" s="273" t="n">
        <v>46177</v>
      </c>
      <c r="B21" s="270" t="inlineStr">
        <is>
          <t>Latex-01</t>
        </is>
      </c>
      <c r="C21" s="270" t="inlineStr"/>
      <c r="D21" s="270" t="inlineStr"/>
      <c r="E21" s="270" t="inlineStr"/>
      <c r="F21" s="270" t="n"/>
      <c r="G21" s="271" t="n">
        <v>0</v>
      </c>
      <c r="H21" s="271" t="n">
        <v>0</v>
      </c>
      <c r="I21" s="271" t="n">
        <v>0</v>
      </c>
      <c r="J21" s="272">
        <f>IFERROR(I21/(H21+I21),"")</f>
        <v/>
      </c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</row>
    <row r="22" ht="15" customHeight="1" s="237">
      <c r="A22" s="273" t="n">
        <v>46177</v>
      </c>
      <c r="B22" s="270" t="inlineStr">
        <is>
          <t>PF Machine</t>
        </is>
      </c>
      <c r="C22" s="270" t="inlineStr">
        <is>
          <t>Alpha Labs PVT LTD</t>
        </is>
      </c>
      <c r="D22" s="270" t="inlineStr">
        <is>
          <t>TRANSPARENT BOTTLE 150ML</t>
        </is>
      </c>
      <c r="E22" s="270" t="inlineStr">
        <is>
          <t>150 ml</t>
        </is>
      </c>
      <c r="F22" s="270" t="n">
        <v>8001</v>
      </c>
      <c r="G22" s="271" t="n">
        <v>4525</v>
      </c>
      <c r="H22" s="271" t="n">
        <v>4025</v>
      </c>
      <c r="I22" s="271" t="n">
        <v>500</v>
      </c>
      <c r="J22" s="272">
        <f>IFERROR(I22/(H22+I22),"")</f>
        <v/>
      </c>
      <c r="K22" s="270" t="n"/>
      <c r="L22" s="270" t="n">
        <v>580</v>
      </c>
      <c r="M22" s="270" t="n"/>
      <c r="N22" s="270" t="n"/>
      <c r="O22" s="270" t="n"/>
      <c r="P22" s="270" t="n">
        <v>80</v>
      </c>
      <c r="Q22" s="270" t="n"/>
      <c r="R22" s="270" t="n"/>
      <c r="S22" s="270" t="n"/>
    </row>
    <row r="23" ht="15" customHeight="1" s="237">
      <c r="A23" s="273" t="n">
        <v>46177</v>
      </c>
      <c r="B23" s="270" t="inlineStr">
        <is>
          <t>Press-04</t>
        </is>
      </c>
      <c r="C23" s="270" t="inlineStr"/>
      <c r="D23" s="270" t="inlineStr"/>
      <c r="E23" s="270" t="inlineStr"/>
      <c r="F23" s="270" t="n"/>
      <c r="G23" s="271" t="n">
        <v>0</v>
      </c>
      <c r="H23" s="271" t="n">
        <v>0</v>
      </c>
      <c r="I23" s="271" t="n">
        <v>0</v>
      </c>
      <c r="J23" s="272">
        <f>IFERROR(I23/(H23+I23),"")</f>
        <v/>
      </c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</row>
    <row r="24" ht="15" customHeight="1" s="237">
      <c r="A24" s="273" t="n">
        <v>46177</v>
      </c>
      <c r="B24" s="270" t="inlineStr">
        <is>
          <t>Press-06</t>
        </is>
      </c>
      <c r="C24" s="270" t="inlineStr"/>
      <c r="D24" s="270" t="inlineStr"/>
      <c r="E24" s="270" t="inlineStr"/>
      <c r="F24" s="270" t="n"/>
      <c r="G24" s="271" t="n">
        <v>0</v>
      </c>
      <c r="H24" s="271" t="n">
        <v>0</v>
      </c>
      <c r="I24" s="271" t="n">
        <v>0</v>
      </c>
      <c r="J24" s="272">
        <f>IFERROR(I24/(H24+I24),"")</f>
        <v/>
      </c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</row>
    <row r="25" ht="15" customHeight="1" s="237">
      <c r="A25" s="273" t="n">
        <v>46177</v>
      </c>
      <c r="B25" s="270" t="inlineStr">
        <is>
          <t>Printing-03</t>
        </is>
      </c>
      <c r="C25" s="270" t="inlineStr"/>
      <c r="D25" s="270" t="inlineStr"/>
      <c r="E25" s="270" t="inlineStr"/>
      <c r="F25" s="270" t="n"/>
      <c r="G25" s="271" t="n">
        <v>0</v>
      </c>
      <c r="H25" s="271" t="n">
        <v>0</v>
      </c>
      <c r="I25" s="271" t="n">
        <v>0</v>
      </c>
      <c r="J25" s="272">
        <f>IFERROR(I25/(H25+I25),"")</f>
        <v/>
      </c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</row>
    <row r="26" ht="15" customHeight="1" s="237">
      <c r="A26" s="273" t="n">
        <v>46177</v>
      </c>
      <c r="B26" s="270" t="inlineStr">
        <is>
          <t>Printing-04</t>
        </is>
      </c>
      <c r="C26" s="270" t="inlineStr"/>
      <c r="D26" s="270" t="inlineStr"/>
      <c r="E26" s="270" t="inlineStr"/>
      <c r="F26" s="270" t="n"/>
      <c r="G26" s="271" t="n">
        <v>0</v>
      </c>
      <c r="H26" s="271" t="n">
        <v>0</v>
      </c>
      <c r="I26" s="271" t="n">
        <v>0</v>
      </c>
      <c r="J26" s="272">
        <f>IFERROR(I26/(H26+I26),"")</f>
        <v/>
      </c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</row>
    <row r="27" ht="15" customHeight="1" s="237">
      <c r="A27" s="273" t="n">
        <v>46178</v>
      </c>
      <c r="B27" s="270" t="inlineStr">
        <is>
          <t>Lacquer-02</t>
        </is>
      </c>
      <c r="C27" s="270" t="inlineStr"/>
      <c r="D27" s="270" t="inlineStr"/>
      <c r="E27" s="270" t="inlineStr"/>
      <c r="F27" s="270" t="n"/>
      <c r="G27" s="271" t="n">
        <v>0</v>
      </c>
      <c r="H27" s="271" t="n">
        <v>0</v>
      </c>
      <c r="I27" s="271" t="n">
        <v>0</v>
      </c>
      <c r="J27" s="272">
        <f>IFERROR(I27/(H27+I27),"")</f>
        <v/>
      </c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</row>
    <row r="28" ht="15" customHeight="1" s="237">
      <c r="A28" s="273" t="n">
        <v>46178</v>
      </c>
      <c r="B28" s="270" t="inlineStr">
        <is>
          <t>Lacquer-04</t>
        </is>
      </c>
      <c r="C28" s="270" t="inlineStr"/>
      <c r="D28" s="270" t="inlineStr"/>
      <c r="E28" s="270" t="inlineStr"/>
      <c r="F28" s="270" t="n"/>
      <c r="G28" s="271" t="n">
        <v>0</v>
      </c>
      <c r="H28" s="271" t="n">
        <v>0</v>
      </c>
      <c r="I28" s="271" t="n">
        <v>0</v>
      </c>
      <c r="J28" s="272">
        <f>IFERROR(I28/(H28+I28),"")</f>
        <v/>
      </c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</row>
    <row r="29" ht="15" customHeight="1" s="237">
      <c r="A29" s="273" t="n">
        <v>46178</v>
      </c>
      <c r="B29" s="270" t="inlineStr">
        <is>
          <t>Latex-01</t>
        </is>
      </c>
      <c r="C29" s="270" t="inlineStr"/>
      <c r="D29" s="270" t="inlineStr"/>
      <c r="E29" s="270" t="inlineStr"/>
      <c r="F29" s="270" t="n"/>
      <c r="G29" s="271" t="n">
        <v>0</v>
      </c>
      <c r="H29" s="271" t="n">
        <v>0</v>
      </c>
      <c r="I29" s="271" t="n">
        <v>0</v>
      </c>
      <c r="J29" s="272">
        <f>IFERROR(I29/(H29+I29),"")</f>
        <v/>
      </c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</row>
    <row r="30" ht="15" customHeight="1" s="237">
      <c r="A30" s="273" t="n">
        <v>46178</v>
      </c>
      <c r="B30" s="270" t="inlineStr">
        <is>
          <t>PF Machine</t>
        </is>
      </c>
      <c r="C30" s="270" t="inlineStr">
        <is>
          <t>Alpha Labs PVT LTD</t>
        </is>
      </c>
      <c r="D30" s="270" t="inlineStr">
        <is>
          <t>TRANSPARENT BOTTLE 150ML</t>
        </is>
      </c>
      <c r="E30" s="270" t="inlineStr">
        <is>
          <t>150 ml</t>
        </is>
      </c>
      <c r="F30" s="270" t="n">
        <v>8001</v>
      </c>
      <c r="G30" s="271" t="n">
        <v>14005</v>
      </c>
      <c r="H30" s="271" t="n">
        <v>12535</v>
      </c>
      <c r="I30" s="271" t="n">
        <v>1470</v>
      </c>
      <c r="J30" s="272">
        <f>IFERROR(I30/(H30+I30),"")</f>
        <v/>
      </c>
      <c r="K30" s="270" t="n">
        <v>140</v>
      </c>
      <c r="L30" s="270" t="n"/>
      <c r="M30" s="270" t="n"/>
      <c r="N30" s="270" t="n"/>
      <c r="O30" s="270" t="n"/>
      <c r="P30" s="270" t="n">
        <v>80</v>
      </c>
      <c r="Q30" s="270" t="n"/>
      <c r="R30" s="270" t="n"/>
      <c r="S30" s="270" t="n"/>
    </row>
    <row r="31" ht="15" customHeight="1" s="237">
      <c r="A31" s="273" t="n">
        <v>46178</v>
      </c>
      <c r="B31" s="270" t="inlineStr">
        <is>
          <t>Press-04</t>
        </is>
      </c>
      <c r="C31" s="270" t="inlineStr"/>
      <c r="D31" s="270" t="inlineStr"/>
      <c r="E31" s="270" t="inlineStr"/>
      <c r="F31" s="270" t="n"/>
      <c r="G31" s="271" t="n">
        <v>0</v>
      </c>
      <c r="H31" s="271" t="n">
        <v>0</v>
      </c>
      <c r="I31" s="271" t="n">
        <v>0</v>
      </c>
      <c r="J31" s="272">
        <f>IFERROR(I31/(H31+I31),"")</f>
        <v/>
      </c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</row>
    <row r="32" ht="15" customHeight="1" s="237">
      <c r="A32" s="273" t="n">
        <v>46178</v>
      </c>
      <c r="B32" s="270" t="inlineStr">
        <is>
          <t>Press-06</t>
        </is>
      </c>
      <c r="C32" s="270" t="inlineStr"/>
      <c r="D32" s="270" t="inlineStr"/>
      <c r="E32" s="270" t="inlineStr"/>
      <c r="F32" s="270" t="n"/>
      <c r="G32" s="271" t="n">
        <v>0</v>
      </c>
      <c r="H32" s="271" t="n">
        <v>0</v>
      </c>
      <c r="I32" s="271" t="n">
        <v>0</v>
      </c>
      <c r="J32" s="272">
        <f>IFERROR(I32/(H32+I32),"")</f>
        <v/>
      </c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</row>
    <row r="33" ht="15" customHeight="1" s="237">
      <c r="A33" s="273" t="n">
        <v>46178</v>
      </c>
      <c r="B33" s="270" t="inlineStr">
        <is>
          <t>Printing-03</t>
        </is>
      </c>
      <c r="C33" s="270" t="inlineStr"/>
      <c r="D33" s="270" t="inlineStr"/>
      <c r="E33" s="270" t="inlineStr"/>
      <c r="F33" s="270" t="n"/>
      <c r="G33" s="271" t="n">
        <v>0</v>
      </c>
      <c r="H33" s="271" t="n">
        <v>0</v>
      </c>
      <c r="I33" s="271" t="n">
        <v>0</v>
      </c>
      <c r="J33" s="272">
        <f>IFERROR(I33/(H33+I33),"")</f>
        <v/>
      </c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</row>
    <row r="34" ht="15" customHeight="1" s="237">
      <c r="A34" s="273" t="n">
        <v>46178</v>
      </c>
      <c r="B34" s="270" t="inlineStr">
        <is>
          <t>Printing-04</t>
        </is>
      </c>
      <c r="C34" s="270" t="inlineStr"/>
      <c r="D34" s="270" t="inlineStr"/>
      <c r="E34" s="270" t="inlineStr"/>
      <c r="F34" s="270" t="n"/>
      <c r="G34" s="271" t="n">
        <v>0</v>
      </c>
      <c r="H34" s="271" t="n">
        <v>0</v>
      </c>
      <c r="I34" s="271" t="n">
        <v>0</v>
      </c>
      <c r="J34" s="272">
        <f>IFERROR(I34/(H34+I34),"")</f>
        <v/>
      </c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</row>
    <row r="35" ht="15" customHeight="1" s="237">
      <c r="A35" s="273" t="n">
        <v>46179</v>
      </c>
      <c r="B35" s="270" t="inlineStr">
        <is>
          <t>Lacquer-02</t>
        </is>
      </c>
      <c r="C35" s="270" t="inlineStr"/>
      <c r="D35" s="270" t="inlineStr"/>
      <c r="E35" s="270" t="inlineStr"/>
      <c r="F35" s="270" t="n"/>
      <c r="G35" s="271" t="n">
        <v>0</v>
      </c>
      <c r="H35" s="271" t="n">
        <v>0</v>
      </c>
      <c r="I35" s="271" t="n">
        <v>0</v>
      </c>
      <c r="J35" s="272">
        <f>IFERROR(I35/(H35+I35),"")</f>
        <v/>
      </c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</row>
    <row r="36" ht="15" customHeight="1" s="237">
      <c r="A36" s="273" t="n">
        <v>46179</v>
      </c>
      <c r="B36" s="270" t="inlineStr">
        <is>
          <t>Lacquer-04</t>
        </is>
      </c>
      <c r="C36" s="270" t="inlineStr"/>
      <c r="D36" s="270" t="inlineStr"/>
      <c r="E36" s="270" t="inlineStr"/>
      <c r="F36" s="270" t="n"/>
      <c r="G36" s="271" t="n">
        <v>0</v>
      </c>
      <c r="H36" s="271" t="n">
        <v>0</v>
      </c>
      <c r="I36" s="271" t="n">
        <v>0</v>
      </c>
      <c r="J36" s="272">
        <f>IFERROR(I36/(H36+I36),"")</f>
        <v/>
      </c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</row>
    <row r="37" ht="15" customHeight="1" s="237">
      <c r="A37" s="273" t="n">
        <v>46179</v>
      </c>
      <c r="B37" s="270" t="inlineStr">
        <is>
          <t>Latex-01</t>
        </is>
      </c>
      <c r="C37" s="270" t="inlineStr"/>
      <c r="D37" s="270" t="inlineStr"/>
      <c r="E37" s="270" t="inlineStr"/>
      <c r="F37" s="270" t="n"/>
      <c r="G37" s="271" t="n">
        <v>0</v>
      </c>
      <c r="H37" s="271" t="n">
        <v>0</v>
      </c>
      <c r="I37" s="271" t="n">
        <v>0</v>
      </c>
      <c r="J37" s="272">
        <f>IFERROR(I37/(H37+I37),"")</f>
        <v/>
      </c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</row>
    <row r="38" ht="15" customHeight="1" s="237">
      <c r="A38" s="273" t="n">
        <v>46179</v>
      </c>
      <c r="B38" s="270" t="inlineStr">
        <is>
          <t>PF Machine</t>
        </is>
      </c>
      <c r="C38" s="270" t="inlineStr">
        <is>
          <t>Alpha Labs PVT LTD</t>
        </is>
      </c>
      <c r="D38" s="270" t="inlineStr">
        <is>
          <t>TRANSPARENT BOTTLE 150ML</t>
        </is>
      </c>
      <c r="E38" s="270" t="inlineStr">
        <is>
          <t>150 ml</t>
        </is>
      </c>
      <c r="F38" s="270" t="n">
        <v>8001</v>
      </c>
      <c r="G38" s="271" t="n">
        <v>12550</v>
      </c>
      <c r="H38" s="271" t="n">
        <v>11500</v>
      </c>
      <c r="I38" s="271" t="n">
        <v>1050</v>
      </c>
      <c r="J38" s="272">
        <f>IFERROR(I38/(H38+I38),"")</f>
        <v/>
      </c>
      <c r="K38" s="270" t="n">
        <v>70</v>
      </c>
      <c r="L38" s="270" t="n">
        <v>180</v>
      </c>
      <c r="M38" s="270" t="n"/>
      <c r="N38" s="270" t="n"/>
      <c r="O38" s="270" t="n"/>
      <c r="P38" s="270" t="n">
        <v>50</v>
      </c>
      <c r="Q38" s="270" t="n"/>
      <c r="R38" s="270" t="n"/>
      <c r="S38" s="270" t="n"/>
    </row>
    <row r="39" ht="15" customHeight="1" s="237">
      <c r="A39" s="273" t="n">
        <v>46179</v>
      </c>
      <c r="B39" s="270" t="inlineStr">
        <is>
          <t>Press-04</t>
        </is>
      </c>
      <c r="C39" s="270" t="inlineStr"/>
      <c r="D39" s="270" t="inlineStr"/>
      <c r="E39" s="270" t="inlineStr"/>
      <c r="F39" s="270" t="n"/>
      <c r="G39" s="271" t="n">
        <v>0</v>
      </c>
      <c r="H39" s="271" t="n">
        <v>0</v>
      </c>
      <c r="I39" s="271" t="n">
        <v>0</v>
      </c>
      <c r="J39" s="272">
        <f>IFERROR(I39/(H39+I39),"")</f>
        <v/>
      </c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</row>
    <row r="40" ht="15" customHeight="1" s="237">
      <c r="A40" s="273" t="n">
        <v>46179</v>
      </c>
      <c r="B40" s="270" t="inlineStr">
        <is>
          <t>Press-06</t>
        </is>
      </c>
      <c r="C40" s="270" t="inlineStr"/>
      <c r="D40" s="270" t="inlineStr"/>
      <c r="E40" s="270" t="inlineStr"/>
      <c r="F40" s="270" t="n"/>
      <c r="G40" s="271" t="n">
        <v>0</v>
      </c>
      <c r="H40" s="271" t="n">
        <v>0</v>
      </c>
      <c r="I40" s="271" t="n">
        <v>0</v>
      </c>
      <c r="J40" s="272">
        <f>IFERROR(I40/(H40+I40),"")</f>
        <v/>
      </c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</row>
    <row r="41" ht="15" customHeight="1" s="237">
      <c r="A41" s="273" t="n">
        <v>46179</v>
      </c>
      <c r="B41" s="270" t="inlineStr">
        <is>
          <t>Printing-03</t>
        </is>
      </c>
      <c r="C41" s="270" t="inlineStr"/>
      <c r="D41" s="270" t="inlineStr"/>
      <c r="E41" s="270" t="inlineStr"/>
      <c r="F41" s="270" t="n"/>
      <c r="G41" s="271" t="n">
        <v>0</v>
      </c>
      <c r="H41" s="271" t="n">
        <v>0</v>
      </c>
      <c r="I41" s="271" t="n">
        <v>0</v>
      </c>
      <c r="J41" s="272">
        <f>IFERROR(I41/(H41+I41),"")</f>
        <v/>
      </c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</row>
    <row r="42" ht="15" customHeight="1" s="237">
      <c r="A42" s="273" t="n">
        <v>46179</v>
      </c>
      <c r="B42" s="270" t="inlineStr">
        <is>
          <t>Printing-04</t>
        </is>
      </c>
      <c r="C42" s="270" t="inlineStr"/>
      <c r="D42" s="270" t="inlineStr"/>
      <c r="E42" s="270" t="inlineStr"/>
      <c r="F42" s="270" t="n"/>
      <c r="G42" s="271" t="n">
        <v>0</v>
      </c>
      <c r="H42" s="271" t="n">
        <v>0</v>
      </c>
      <c r="I42" s="271" t="n">
        <v>0</v>
      </c>
      <c r="J42" s="272">
        <f>IFERROR(I42/(H42+I42),"")</f>
        <v/>
      </c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</row>
    <row r="43" ht="15" customHeight="1" s="237">
      <c r="A43" s="273" t="n">
        <v>46181</v>
      </c>
      <c r="B43" s="270" t="inlineStr">
        <is>
          <t>Lacquer-02</t>
        </is>
      </c>
      <c r="C43" s="270" t="inlineStr"/>
      <c r="D43" s="270" t="inlineStr"/>
      <c r="E43" s="270" t="inlineStr"/>
      <c r="F43" s="270" t="n"/>
      <c r="G43" s="271" t="n">
        <v>0</v>
      </c>
      <c r="H43" s="271" t="n">
        <v>0</v>
      </c>
      <c r="I43" s="271" t="n">
        <v>0</v>
      </c>
      <c r="J43" s="272">
        <f>IFERROR(I43/(H43+I43),"")</f>
        <v/>
      </c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</row>
    <row r="44" ht="15" customHeight="1" s="237">
      <c r="A44" s="273" t="n">
        <v>46181</v>
      </c>
      <c r="B44" s="270" t="inlineStr">
        <is>
          <t>Lacquer-04</t>
        </is>
      </c>
      <c r="C44" s="270" t="inlineStr">
        <is>
          <t>Samsol International Private Limited</t>
        </is>
      </c>
      <c r="D44" s="270" t="inlineStr">
        <is>
          <t>TUBES COMMON RED</t>
        </is>
      </c>
      <c r="E44" s="270" t="n">
        <v>25</v>
      </c>
      <c r="F44" s="270" t="n">
        <v>6470</v>
      </c>
      <c r="G44" s="271" t="n">
        <v>21000</v>
      </c>
      <c r="H44" s="271" t="n">
        <v>20735</v>
      </c>
      <c r="I44" s="271" t="n">
        <v>265</v>
      </c>
      <c r="J44" s="272">
        <f>IFERROR(I44/(H44+I44),"")</f>
        <v/>
      </c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</row>
    <row r="45" ht="15" customHeight="1" s="237">
      <c r="A45" s="273" t="n">
        <v>46181</v>
      </c>
      <c r="B45" s="270" t="inlineStr">
        <is>
          <t>Latex-01</t>
        </is>
      </c>
      <c r="C45" s="270" t="inlineStr"/>
      <c r="D45" s="270" t="inlineStr"/>
      <c r="E45" s="270" t="inlineStr"/>
      <c r="F45" s="270" t="n"/>
      <c r="G45" s="271" t="n">
        <v>0</v>
      </c>
      <c r="H45" s="271" t="n">
        <v>0</v>
      </c>
      <c r="I45" s="271" t="n">
        <v>0</v>
      </c>
      <c r="J45" s="272">
        <f>IFERROR(I45/(H45+I45),"")</f>
        <v/>
      </c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</row>
    <row r="46" ht="15" customHeight="1" s="237">
      <c r="A46" s="273" t="n">
        <v>46181</v>
      </c>
      <c r="B46" s="270" t="inlineStr">
        <is>
          <t>PF Machine</t>
        </is>
      </c>
      <c r="C46" s="270" t="inlineStr">
        <is>
          <t>Alpha Labs PVT LTD</t>
        </is>
      </c>
      <c r="D46" s="270" t="inlineStr">
        <is>
          <t>TRANSPARENT BOTTLE 150ML</t>
        </is>
      </c>
      <c r="E46" s="270" t="inlineStr">
        <is>
          <t>150 ml</t>
        </is>
      </c>
      <c r="F46" s="270" t="n">
        <v>8001</v>
      </c>
      <c r="G46" s="271" t="n">
        <v>4080</v>
      </c>
      <c r="H46" s="271" t="n">
        <v>3680</v>
      </c>
      <c r="I46" s="271" t="n">
        <v>400</v>
      </c>
      <c r="J46" s="272">
        <f>IFERROR(I46/(H46+I46),"")</f>
        <v/>
      </c>
      <c r="K46" s="270" t="n">
        <v>150</v>
      </c>
      <c r="L46" s="270" t="n">
        <v>210</v>
      </c>
      <c r="M46" s="270" t="n"/>
      <c r="N46" s="270" t="n"/>
      <c r="O46" s="270" t="n"/>
      <c r="P46" s="270" t="n"/>
      <c r="Q46" s="270" t="n"/>
      <c r="R46" s="270" t="n"/>
      <c r="S46" s="270" t="n"/>
    </row>
    <row r="47" ht="15" customHeight="1" s="237">
      <c r="A47" s="273" t="n">
        <v>46181</v>
      </c>
      <c r="B47" s="270" t="inlineStr">
        <is>
          <t>Press-04</t>
        </is>
      </c>
      <c r="C47" s="270" t="inlineStr"/>
      <c r="D47" s="270" t="inlineStr"/>
      <c r="E47" s="270" t="inlineStr"/>
      <c r="F47" s="270" t="n"/>
      <c r="G47" s="271" t="n">
        <v>0</v>
      </c>
      <c r="H47" s="271" t="n">
        <v>0</v>
      </c>
      <c r="I47" s="271" t="n">
        <v>0</v>
      </c>
      <c r="J47" s="272">
        <f>IFERROR(I47/(H47+I47),"")</f>
        <v/>
      </c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</row>
    <row r="48" ht="15" customHeight="1" s="237">
      <c r="A48" s="273" t="n">
        <v>46181</v>
      </c>
      <c r="B48" s="270" t="inlineStr">
        <is>
          <t>Press-06</t>
        </is>
      </c>
      <c r="C48" s="270" t="inlineStr">
        <is>
          <t>Samsol International Private Limited</t>
        </is>
      </c>
      <c r="D48" s="270" t="inlineStr">
        <is>
          <t>TUBES COMMON RED</t>
        </is>
      </c>
      <c r="E48" s="270" t="n">
        <v>25</v>
      </c>
      <c r="F48" s="270" t="n">
        <v>6470</v>
      </c>
      <c r="G48" s="271" t="n">
        <v>24000</v>
      </c>
      <c r="H48" s="271" t="n">
        <v>23850</v>
      </c>
      <c r="I48" s="271" t="n">
        <v>150</v>
      </c>
      <c r="J48" s="272">
        <f>IFERROR(I48/(H48+I48),"")</f>
        <v/>
      </c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</row>
    <row r="49" ht="15" customHeight="1" s="237">
      <c r="A49" s="273" t="n">
        <v>46181</v>
      </c>
      <c r="B49" s="270" t="inlineStr">
        <is>
          <t>Printing-03</t>
        </is>
      </c>
      <c r="C49" s="270" t="inlineStr">
        <is>
          <t>Samsol International Private Limited</t>
        </is>
      </c>
      <c r="D49" s="270" t="inlineStr">
        <is>
          <t>TUBES COMMON RED</t>
        </is>
      </c>
      <c r="E49" s="270" t="n">
        <v>25</v>
      </c>
      <c r="F49" s="270" t="n">
        <v>6470</v>
      </c>
      <c r="G49" s="271" t="n">
        <v>15816</v>
      </c>
      <c r="H49" s="271" t="n">
        <v>15456</v>
      </c>
      <c r="I49" s="271" t="n">
        <v>360</v>
      </c>
      <c r="J49" s="272">
        <f>IFERROR(I49/(H49+I49),"")</f>
        <v/>
      </c>
      <c r="K49" s="270" t="n"/>
      <c r="L49" s="270" t="n"/>
      <c r="M49" s="270" t="n">
        <v>120</v>
      </c>
      <c r="N49" s="270" t="n"/>
      <c r="O49" s="270" t="n"/>
      <c r="P49" s="270" t="n"/>
      <c r="Q49" s="270" t="n"/>
      <c r="R49" s="270" t="n"/>
      <c r="S49" s="270" t="n"/>
    </row>
    <row r="50" ht="15" customHeight="1" s="237">
      <c r="A50" s="273" t="n">
        <v>46181</v>
      </c>
      <c r="B50" s="270" t="inlineStr">
        <is>
          <t>Printing-04</t>
        </is>
      </c>
      <c r="C50" s="270" t="inlineStr"/>
      <c r="D50" s="270" t="inlineStr"/>
      <c r="E50" s="270" t="inlineStr"/>
      <c r="F50" s="270" t="n"/>
      <c r="G50" s="271" t="n">
        <v>0</v>
      </c>
      <c r="H50" s="271" t="n">
        <v>0</v>
      </c>
      <c r="I50" s="271" t="n">
        <v>0</v>
      </c>
      <c r="J50" s="272">
        <f>IFERROR(I50/(H50+I50),"")</f>
        <v/>
      </c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</row>
    <row r="51" ht="15" customHeight="1" s="237">
      <c r="A51" s="273" t="n">
        <v>46182</v>
      </c>
      <c r="B51" s="270" t="inlineStr">
        <is>
          <t>Lacquer-02</t>
        </is>
      </c>
      <c r="C51" s="270" t="inlineStr"/>
      <c r="D51" s="270" t="inlineStr"/>
      <c r="E51" s="270" t="inlineStr"/>
      <c r="F51" s="270" t="n"/>
      <c r="G51" s="271" t="n">
        <v>0</v>
      </c>
      <c r="H51" s="271" t="n">
        <v>0</v>
      </c>
      <c r="I51" s="271" t="n">
        <v>0</v>
      </c>
      <c r="J51" s="272">
        <f>IFERROR(I51/(H51+I51),"")</f>
        <v/>
      </c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</row>
    <row r="52" ht="15" customHeight="1" s="237">
      <c r="A52" s="273" t="n">
        <v>46182</v>
      </c>
      <c r="B52" s="270" t="inlineStr">
        <is>
          <t>Lacquer-04</t>
        </is>
      </c>
      <c r="C52" s="270" t="inlineStr">
        <is>
          <t>Samsol International Private Limited</t>
        </is>
      </c>
      <c r="D52" s="270" t="inlineStr">
        <is>
          <t>TUBES COMMON RED</t>
        </is>
      </c>
      <c r="E52" s="270" t="n">
        <v>25</v>
      </c>
      <c r="F52" s="270" t="n">
        <v>6470</v>
      </c>
      <c r="G52" s="271" t="n">
        <v>21000</v>
      </c>
      <c r="H52" s="271" t="n">
        <v>20690</v>
      </c>
      <c r="I52" s="271" t="n">
        <v>310</v>
      </c>
      <c r="J52" s="272">
        <f>IFERROR(I52/(H52+I52),"")</f>
        <v/>
      </c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</row>
    <row r="53" ht="15" customHeight="1" s="237">
      <c r="A53" s="273" t="n">
        <v>46182</v>
      </c>
      <c r="B53" s="270" t="inlineStr">
        <is>
          <t>Latex-01</t>
        </is>
      </c>
      <c r="C53" s="270" t="inlineStr"/>
      <c r="D53" s="270" t="inlineStr"/>
      <c r="E53" s="270" t="inlineStr"/>
      <c r="F53" s="270" t="n"/>
      <c r="G53" s="271" t="n">
        <v>0</v>
      </c>
      <c r="H53" s="271" t="n">
        <v>0</v>
      </c>
      <c r="I53" s="271" t="n">
        <v>0</v>
      </c>
      <c r="J53" s="272">
        <f>IFERROR(I53/(H53+I53),"")</f>
        <v/>
      </c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</row>
    <row r="54" ht="15" customHeight="1" s="237">
      <c r="A54" s="273" t="n">
        <v>46182</v>
      </c>
      <c r="B54" s="270" t="inlineStr">
        <is>
          <t>PF Machine</t>
        </is>
      </c>
      <c r="C54" s="270" t="inlineStr">
        <is>
          <t>Alpha Labs PVT LTD</t>
        </is>
      </c>
      <c r="D54" s="270" t="inlineStr">
        <is>
          <t>TRANSPARENT BOTTLE 150ML</t>
        </is>
      </c>
      <c r="E54" s="270" t="inlineStr">
        <is>
          <t>150 ml</t>
        </is>
      </c>
      <c r="F54" s="270" t="n">
        <v>8001</v>
      </c>
      <c r="G54" s="271" t="n">
        <v>10900</v>
      </c>
      <c r="H54" s="271" t="n">
        <v>10120</v>
      </c>
      <c r="I54" s="271" t="n">
        <v>780</v>
      </c>
      <c r="J54" s="272">
        <f>IFERROR(I54/(H54+I54),"")</f>
        <v/>
      </c>
      <c r="K54" s="270" t="n">
        <v>40</v>
      </c>
      <c r="L54" s="270" t="n"/>
      <c r="M54" s="270" t="n"/>
      <c r="N54" s="270" t="n"/>
      <c r="O54" s="270" t="n"/>
      <c r="P54" s="270" t="n">
        <v>80</v>
      </c>
      <c r="Q54" s="270" t="n"/>
      <c r="R54" s="270" t="n"/>
      <c r="S54" s="270" t="n"/>
    </row>
    <row r="55" ht="15" customHeight="1" s="237">
      <c r="A55" s="273" t="n">
        <v>46182</v>
      </c>
      <c r="B55" s="270" t="inlineStr">
        <is>
          <t>Press-04</t>
        </is>
      </c>
      <c r="C55" s="270" t="inlineStr"/>
      <c r="D55" s="270" t="inlineStr"/>
      <c r="E55" s="270" t="inlineStr"/>
      <c r="F55" s="270" t="n"/>
      <c r="G55" s="271" t="n">
        <v>0</v>
      </c>
      <c r="H55" s="271" t="n">
        <v>0</v>
      </c>
      <c r="I55" s="271" t="n">
        <v>0</v>
      </c>
      <c r="J55" s="272">
        <f>IFERROR(I55/(H55+I55),"")</f>
        <v/>
      </c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</row>
    <row r="56" ht="15" customHeight="1" s="237">
      <c r="A56" s="273" t="n">
        <v>46182</v>
      </c>
      <c r="B56" s="270" t="inlineStr">
        <is>
          <t>Press-06</t>
        </is>
      </c>
      <c r="C56" s="270" t="inlineStr">
        <is>
          <t>Samsol International Private Limited</t>
        </is>
      </c>
      <c r="D56" s="270" t="inlineStr">
        <is>
          <t>TUBES COMMON RED</t>
        </is>
      </c>
      <c r="E56" s="270" t="n">
        <v>25</v>
      </c>
      <c r="F56" s="270" t="n">
        <v>6470</v>
      </c>
      <c r="G56" s="271" t="n">
        <v>23000</v>
      </c>
      <c r="H56" s="271" t="n">
        <v>22835</v>
      </c>
      <c r="I56" s="271" t="n">
        <v>165</v>
      </c>
      <c r="J56" s="272">
        <f>IFERROR(I56/(H56+I56),"")</f>
        <v/>
      </c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</row>
    <row r="57" ht="15" customHeight="1" s="237">
      <c r="A57" s="273" t="n">
        <v>46182</v>
      </c>
      <c r="B57" s="270" t="inlineStr">
        <is>
          <t>Printing-03</t>
        </is>
      </c>
      <c r="C57" s="270" t="inlineStr">
        <is>
          <t>Samsol International Private Limited</t>
        </is>
      </c>
      <c r="D57" s="270" t="inlineStr">
        <is>
          <t>TUBES COMMON RED</t>
        </is>
      </c>
      <c r="E57" s="270" t="n">
        <v>25</v>
      </c>
      <c r="F57" s="270" t="n">
        <v>6470</v>
      </c>
      <c r="G57" s="271" t="n">
        <v>22556</v>
      </c>
      <c r="H57" s="271" t="n">
        <v>22176</v>
      </c>
      <c r="I57" s="271" t="n">
        <v>380</v>
      </c>
      <c r="J57" s="272">
        <f>IFERROR(I57/(H57+I57),"")</f>
        <v/>
      </c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</row>
    <row r="58" ht="15" customHeight="1" s="237">
      <c r="A58" s="273" t="n">
        <v>46182</v>
      </c>
      <c r="B58" s="270" t="inlineStr">
        <is>
          <t>Printing-04</t>
        </is>
      </c>
      <c r="C58" s="270" t="inlineStr"/>
      <c r="D58" s="270" t="inlineStr"/>
      <c r="E58" s="270" t="inlineStr"/>
      <c r="F58" s="270" t="n"/>
      <c r="G58" s="271" t="n">
        <v>0</v>
      </c>
      <c r="H58" s="271" t="n">
        <v>0</v>
      </c>
      <c r="I58" s="271" t="n">
        <v>0</v>
      </c>
      <c r="J58" s="272">
        <f>IFERROR(I58/(H58+I58),"")</f>
        <v/>
      </c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</row>
    <row r="59" ht="15" customHeight="1" s="237">
      <c r="A59" s="273" t="n">
        <v>46183</v>
      </c>
      <c r="B59" s="270" t="inlineStr">
        <is>
          <t>Lacquer-02</t>
        </is>
      </c>
      <c r="C59" s="270" t="inlineStr"/>
      <c r="D59" s="270" t="inlineStr"/>
      <c r="E59" s="270" t="inlineStr"/>
      <c r="F59" s="270" t="n"/>
      <c r="G59" s="271" t="n">
        <v>0</v>
      </c>
      <c r="H59" s="271" t="n">
        <v>0</v>
      </c>
      <c r="I59" s="271" t="n">
        <v>0</v>
      </c>
      <c r="J59" s="272">
        <f>IFERROR(I59/(H59+I59),"")</f>
        <v/>
      </c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</row>
    <row r="60" ht="15" customHeight="1" s="237">
      <c r="A60" s="273" t="n">
        <v>46183</v>
      </c>
      <c r="B60" s="270" t="inlineStr">
        <is>
          <t>Lacquer-04</t>
        </is>
      </c>
      <c r="C60" s="270" t="inlineStr">
        <is>
          <t>Samsol International Private Limited</t>
        </is>
      </c>
      <c r="D60" s="270" t="inlineStr">
        <is>
          <t>TUBES COMMON RED</t>
        </is>
      </c>
      <c r="E60" s="270" t="n">
        <v>25</v>
      </c>
      <c r="F60" s="270" t="n">
        <v>6470</v>
      </c>
      <c r="G60" s="271" t="n">
        <v>22000</v>
      </c>
      <c r="H60" s="271" t="n">
        <v>21650</v>
      </c>
      <c r="I60" s="271" t="n">
        <v>350</v>
      </c>
      <c r="J60" s="272">
        <f>IFERROR(I60/(H60+I60),"")</f>
        <v/>
      </c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</row>
    <row r="61" ht="15" customHeight="1" s="237">
      <c r="A61" s="273" t="n">
        <v>46183</v>
      </c>
      <c r="B61" s="270" t="inlineStr">
        <is>
          <t>Latex-01</t>
        </is>
      </c>
      <c r="C61" s="270" t="inlineStr"/>
      <c r="D61" s="270" t="inlineStr"/>
      <c r="E61" s="270" t="inlineStr"/>
      <c r="F61" s="270" t="n"/>
      <c r="G61" s="271" t="n">
        <v>0</v>
      </c>
      <c r="H61" s="271" t="n">
        <v>0</v>
      </c>
      <c r="I61" s="271" t="n">
        <v>0</v>
      </c>
      <c r="J61" s="272">
        <f>IFERROR(I61/(H61+I61),"")</f>
        <v/>
      </c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</row>
    <row r="62" ht="15" customHeight="1" s="237">
      <c r="A62" s="273" t="n">
        <v>46183</v>
      </c>
      <c r="B62" s="270" t="inlineStr">
        <is>
          <t>PF Machine</t>
        </is>
      </c>
      <c r="C62" s="270" t="inlineStr">
        <is>
          <t>Alpha Labs PVT LTD</t>
        </is>
      </c>
      <c r="D62" s="270" t="inlineStr">
        <is>
          <t>TRANSPARENT BOTTLE 150ML</t>
        </is>
      </c>
      <c r="E62" s="270" t="inlineStr">
        <is>
          <t>150 ml</t>
        </is>
      </c>
      <c r="F62" s="270" t="n">
        <v>8001</v>
      </c>
      <c r="G62" s="271" t="n">
        <v>0</v>
      </c>
      <c r="H62" s="271" t="n">
        <v>0</v>
      </c>
      <c r="I62" s="271" t="n">
        <v>0</v>
      </c>
      <c r="J62" s="272">
        <f>IFERROR(I62/(H62+I62),"")</f>
        <v/>
      </c>
      <c r="K62" s="270" t="n"/>
      <c r="L62" s="270" t="n"/>
      <c r="M62" s="270" t="n"/>
      <c r="N62" s="270" t="n"/>
      <c r="O62" s="270" t="n">
        <v>480</v>
      </c>
      <c r="P62" s="270" t="n"/>
      <c r="Q62" s="270" t="n"/>
      <c r="R62" s="270" t="n"/>
      <c r="S62" s="270" t="n"/>
    </row>
    <row r="63" ht="15" customHeight="1" s="237">
      <c r="A63" s="273" t="n">
        <v>46183</v>
      </c>
      <c r="B63" s="270" t="inlineStr">
        <is>
          <t>Press-04</t>
        </is>
      </c>
      <c r="C63" s="270" t="inlineStr"/>
      <c r="D63" s="270" t="inlineStr"/>
      <c r="E63" s="270" t="inlineStr"/>
      <c r="F63" s="270" t="n"/>
      <c r="G63" s="271" t="n">
        <v>0</v>
      </c>
      <c r="H63" s="271" t="n">
        <v>0</v>
      </c>
      <c r="I63" s="271" t="n">
        <v>0</v>
      </c>
      <c r="J63" s="272">
        <f>IFERROR(I63/(H63+I63),"")</f>
        <v/>
      </c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</row>
    <row r="64" ht="15" customHeight="1" s="237">
      <c r="A64" s="273" t="n">
        <v>46183</v>
      </c>
      <c r="B64" s="270" t="inlineStr">
        <is>
          <t>Press-06</t>
        </is>
      </c>
      <c r="C64" s="270" t="inlineStr">
        <is>
          <t>Samsol International Private Limited</t>
        </is>
      </c>
      <c r="D64" s="270" t="inlineStr">
        <is>
          <t>TUBES COMMON RED</t>
        </is>
      </c>
      <c r="E64" s="270" t="n">
        <v>25</v>
      </c>
      <c r="F64" s="270" t="n">
        <v>6470</v>
      </c>
      <c r="G64" s="271" t="n">
        <v>26000</v>
      </c>
      <c r="H64" s="271" t="n">
        <v>25830</v>
      </c>
      <c r="I64" s="271" t="n">
        <v>170</v>
      </c>
      <c r="J64" s="272">
        <f>IFERROR(I64/(H64+I64),"")</f>
        <v/>
      </c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</row>
    <row r="65" ht="15" customHeight="1" s="237">
      <c r="A65" s="273" t="n">
        <v>46183</v>
      </c>
      <c r="B65" s="270" t="inlineStr">
        <is>
          <t>Printing-03</t>
        </is>
      </c>
      <c r="C65" s="270" t="inlineStr">
        <is>
          <t>Samsol International Private Limited</t>
        </is>
      </c>
      <c r="D65" s="270" t="inlineStr">
        <is>
          <t>TUBES COMMON RED</t>
        </is>
      </c>
      <c r="E65" s="270" t="n">
        <v>25</v>
      </c>
      <c r="F65" s="270" t="n">
        <v>6470</v>
      </c>
      <c r="G65" s="271" t="n">
        <v>22571</v>
      </c>
      <c r="H65" s="271" t="n">
        <v>22176</v>
      </c>
      <c r="I65" s="271" t="n">
        <v>395</v>
      </c>
      <c r="J65" s="272">
        <f>IFERROR(I65/(H65+I65),"")</f>
        <v/>
      </c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</row>
    <row r="66" ht="15" customHeight="1" s="237">
      <c r="A66" s="273" t="n">
        <v>46183</v>
      </c>
      <c r="B66" s="270" t="inlineStr">
        <is>
          <t>Printing-04</t>
        </is>
      </c>
      <c r="C66" s="270" t="inlineStr"/>
      <c r="D66" s="270" t="inlineStr"/>
      <c r="E66" s="270" t="inlineStr"/>
      <c r="F66" s="270" t="n"/>
      <c r="G66" s="271" t="n">
        <v>0</v>
      </c>
      <c r="H66" s="271" t="n">
        <v>0</v>
      </c>
      <c r="I66" s="271" t="n">
        <v>0</v>
      </c>
      <c r="J66" s="272">
        <f>IFERROR(I66/(H66+I66),"")</f>
        <v/>
      </c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</row>
    <row r="67" ht="15" customHeight="1" s="237">
      <c r="A67" s="273" t="n">
        <v>46184</v>
      </c>
      <c r="B67" s="270" t="inlineStr">
        <is>
          <t>Lacquer-02</t>
        </is>
      </c>
      <c r="C67" s="270" t="inlineStr"/>
      <c r="D67" s="270" t="inlineStr"/>
      <c r="E67" s="270" t="inlineStr"/>
      <c r="F67" s="270" t="n"/>
      <c r="G67" s="271" t="n">
        <v>0</v>
      </c>
      <c r="H67" s="271" t="n">
        <v>0</v>
      </c>
      <c r="I67" s="271" t="n">
        <v>0</v>
      </c>
      <c r="J67" s="272">
        <f>IFERROR(I67/(H67+I67),"")</f>
        <v/>
      </c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</row>
    <row r="68" ht="15" customHeight="1" s="237">
      <c r="A68" s="273" t="n">
        <v>46184</v>
      </c>
      <c r="B68" s="270" t="inlineStr">
        <is>
          <t>Lacquer-04</t>
        </is>
      </c>
      <c r="C68" s="270" t="inlineStr">
        <is>
          <t>Samsol International Private Limited</t>
        </is>
      </c>
      <c r="D68" s="270" t="inlineStr">
        <is>
          <t>TUBE COMMON PURPLE</t>
        </is>
      </c>
      <c r="E68" s="270" t="n">
        <v>25</v>
      </c>
      <c r="F68" s="270" t="n">
        <v>6532</v>
      </c>
      <c r="G68" s="271" t="n">
        <v>20000</v>
      </c>
      <c r="H68" s="271" t="n">
        <v>19715</v>
      </c>
      <c r="I68" s="271" t="n">
        <v>285</v>
      </c>
      <c r="J68" s="272">
        <f>IFERROR(I68/(H68+I68),"")</f>
        <v/>
      </c>
      <c r="K68" s="270" t="n"/>
      <c r="L68" s="270" t="n"/>
      <c r="M68" s="270" t="n"/>
      <c r="N68" s="270" t="n"/>
      <c r="O68" s="270" t="n"/>
      <c r="P68" s="270" t="n">
        <v>80</v>
      </c>
      <c r="Q68" s="270" t="n"/>
      <c r="R68" s="270" t="n"/>
      <c r="S68" s="270" t="n"/>
    </row>
    <row r="69" ht="15" customHeight="1" s="237">
      <c r="A69" s="273" t="n">
        <v>46184</v>
      </c>
      <c r="B69" s="270" t="inlineStr">
        <is>
          <t>Latex-01</t>
        </is>
      </c>
      <c r="C69" s="270" t="inlineStr"/>
      <c r="D69" s="270" t="inlineStr"/>
      <c r="E69" s="270" t="inlineStr"/>
      <c r="F69" s="270" t="n"/>
      <c r="G69" s="271" t="n">
        <v>0</v>
      </c>
      <c r="H69" s="271" t="n">
        <v>0</v>
      </c>
      <c r="I69" s="271" t="n">
        <v>0</v>
      </c>
      <c r="J69" s="272">
        <f>IFERROR(I69/(H69+I69),"")</f>
        <v/>
      </c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</row>
    <row r="70" ht="15" customHeight="1" s="237">
      <c r="A70" s="273" t="n">
        <v>46184</v>
      </c>
      <c r="B70" s="270" t="inlineStr">
        <is>
          <t>PF Machine</t>
        </is>
      </c>
      <c r="C70" s="270" t="inlineStr">
        <is>
          <t>Alpha Labs PVT LTD</t>
        </is>
      </c>
      <c r="D70" s="270" t="inlineStr">
        <is>
          <t>TRANSPARENT BOTTLE 150ML</t>
        </is>
      </c>
      <c r="E70" s="270" t="inlineStr">
        <is>
          <t>150 ml</t>
        </is>
      </c>
      <c r="F70" s="270" t="n">
        <v>8001</v>
      </c>
      <c r="G70" s="271" t="n">
        <v>0</v>
      </c>
      <c r="H70" s="271" t="n">
        <v>0</v>
      </c>
      <c r="I70" s="271" t="n">
        <v>0</v>
      </c>
      <c r="J70" s="272">
        <f>IFERROR(I70/(H70+I70),"")</f>
        <v/>
      </c>
      <c r="K70" s="270" t="n"/>
      <c r="L70" s="270" t="n"/>
      <c r="M70" s="270" t="n"/>
      <c r="N70" s="270" t="n"/>
      <c r="O70" s="270" t="n"/>
      <c r="P70" s="270" t="n">
        <v>480</v>
      </c>
      <c r="Q70" s="270" t="n"/>
      <c r="R70" s="270" t="n"/>
      <c r="S70" s="270" t="n"/>
    </row>
    <row r="71" ht="15" customHeight="1" s="237">
      <c r="A71" s="273" t="n">
        <v>46184</v>
      </c>
      <c r="B71" s="270" t="inlineStr">
        <is>
          <t>Press-04</t>
        </is>
      </c>
      <c r="C71" s="270" t="inlineStr"/>
      <c r="D71" s="270" t="inlineStr"/>
      <c r="E71" s="270" t="inlineStr"/>
      <c r="F71" s="270" t="n"/>
      <c r="G71" s="271" t="n">
        <v>0</v>
      </c>
      <c r="H71" s="271" t="n">
        <v>0</v>
      </c>
      <c r="I71" s="271" t="n">
        <v>0</v>
      </c>
      <c r="J71" s="272">
        <f>IFERROR(I71/(H71+I71),"")</f>
        <v/>
      </c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</row>
    <row r="72" ht="15" customHeight="1" s="237">
      <c r="A72" s="273" t="n">
        <v>46184</v>
      </c>
      <c r="B72" s="270" t="inlineStr">
        <is>
          <t>Press-06</t>
        </is>
      </c>
      <c r="C72" s="270" t="inlineStr">
        <is>
          <t>Samsol International Private Limited</t>
        </is>
      </c>
      <c r="D72" s="270" t="inlineStr">
        <is>
          <t>TUBE COMMON PURPLE</t>
        </is>
      </c>
      <c r="E72" s="270" t="n">
        <v>25</v>
      </c>
      <c r="F72" s="270" t="n">
        <v>6532</v>
      </c>
      <c r="G72" s="271" t="n">
        <v>22000</v>
      </c>
      <c r="H72" s="271" t="n">
        <v>21845</v>
      </c>
      <c r="I72" s="271" t="n">
        <v>155</v>
      </c>
      <c r="J72" s="272">
        <f>IFERROR(I72/(H72+I72),"")</f>
        <v/>
      </c>
      <c r="K72" s="270" t="n"/>
      <c r="L72" s="270" t="n"/>
      <c r="M72" s="270" t="n"/>
      <c r="N72" s="270" t="n"/>
      <c r="O72" s="270" t="n"/>
      <c r="P72" s="270" t="n">
        <v>80</v>
      </c>
      <c r="Q72" s="270" t="n"/>
      <c r="R72" s="270" t="n"/>
      <c r="S72" s="270" t="n"/>
    </row>
    <row r="73" ht="15" customHeight="1" s="237">
      <c r="A73" s="273" t="n">
        <v>46184</v>
      </c>
      <c r="B73" s="270" t="inlineStr">
        <is>
          <t>Printing-03</t>
        </is>
      </c>
      <c r="C73" s="270" t="inlineStr">
        <is>
          <t>Samsol International Private Limited</t>
        </is>
      </c>
      <c r="D73" s="270" t="inlineStr">
        <is>
          <t>TUBE COMMON PURPLE</t>
        </is>
      </c>
      <c r="E73" s="270" t="n">
        <v>25</v>
      </c>
      <c r="F73" s="270" t="n">
        <v>6532</v>
      </c>
      <c r="G73" s="271" t="n">
        <v>15149</v>
      </c>
      <c r="H73" s="271" t="n">
        <v>14784</v>
      </c>
      <c r="I73" s="271" t="n">
        <v>365</v>
      </c>
      <c r="J73" s="272">
        <f>IFERROR(I73/(H73+I73),"")</f>
        <v/>
      </c>
      <c r="K73" s="270" t="n"/>
      <c r="L73" s="270" t="n"/>
      <c r="M73" s="270" t="n"/>
      <c r="N73" s="270" t="n"/>
      <c r="O73" s="270" t="n"/>
      <c r="P73" s="270" t="n">
        <v>80</v>
      </c>
      <c r="Q73" s="270" t="n"/>
      <c r="R73" s="270" t="n"/>
      <c r="S73" s="270" t="n"/>
    </row>
    <row r="74" ht="15" customHeight="1" s="237">
      <c r="A74" s="273" t="n">
        <v>46184</v>
      </c>
      <c r="B74" s="270" t="inlineStr">
        <is>
          <t>Printing-04</t>
        </is>
      </c>
      <c r="C74" s="270" t="inlineStr">
        <is>
          <t>Samsol International Private Limited</t>
        </is>
      </c>
      <c r="D74" s="270" t="inlineStr">
        <is>
          <t>TUBES COMMON RED</t>
        </is>
      </c>
      <c r="E74" s="270" t="n">
        <v>25</v>
      </c>
      <c r="F74" s="270" t="n">
        <v>6470</v>
      </c>
      <c r="G74" s="271" t="n">
        <v>2783</v>
      </c>
      <c r="H74" s="271" t="n">
        <v>2688</v>
      </c>
      <c r="I74" s="271" t="n">
        <v>95</v>
      </c>
      <c r="J74" s="272">
        <f>IFERROR(I74/(H74+I74),"")</f>
        <v/>
      </c>
      <c r="K74" s="270" t="n"/>
      <c r="L74" s="270" t="n"/>
      <c r="M74" s="270" t="n"/>
      <c r="N74" s="270" t="n">
        <v>30</v>
      </c>
      <c r="O74" s="270" t="n"/>
      <c r="P74" s="270" t="n"/>
      <c r="Q74" s="270" t="n"/>
      <c r="R74" s="270" t="n"/>
      <c r="S74" s="270" t="n"/>
    </row>
    <row r="75" ht="15" customHeight="1" s="237">
      <c r="A75" s="273" t="n">
        <v>46184</v>
      </c>
      <c r="B75" s="270" t="inlineStr">
        <is>
          <t>Printing-04</t>
        </is>
      </c>
      <c r="C75" s="270" t="inlineStr"/>
      <c r="D75" s="270" t="inlineStr"/>
      <c r="E75" s="270" t="inlineStr"/>
      <c r="F75" s="270" t="n"/>
      <c r="G75" s="271" t="n">
        <v>0</v>
      </c>
      <c r="H75" s="271" t="n">
        <v>0</v>
      </c>
      <c r="I75" s="271" t="n">
        <v>0</v>
      </c>
      <c r="J75" s="272">
        <f>IFERROR(I75/(H75+I75),"")</f>
        <v/>
      </c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</row>
    <row r="76" ht="15" customHeight="1" s="237">
      <c r="A76" s="273" t="n">
        <v>46185</v>
      </c>
      <c r="B76" s="270" t="inlineStr">
        <is>
          <t>Lacquer-02</t>
        </is>
      </c>
      <c r="C76" s="270" t="inlineStr"/>
      <c r="D76" s="270" t="inlineStr"/>
      <c r="E76" s="270" t="inlineStr"/>
      <c r="F76" s="270" t="n"/>
      <c r="G76" s="271" t="n">
        <v>0</v>
      </c>
      <c r="H76" s="271" t="n">
        <v>0</v>
      </c>
      <c r="I76" s="271" t="n">
        <v>0</v>
      </c>
      <c r="J76" s="272">
        <f>IFERROR(I76/(H76+I76),"")</f>
        <v/>
      </c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</row>
    <row r="77" ht="15" customHeight="1" s="237">
      <c r="A77" s="273" t="n">
        <v>46185</v>
      </c>
      <c r="B77" s="270" t="inlineStr">
        <is>
          <t>Lacquer-04</t>
        </is>
      </c>
      <c r="C77" s="270" t="inlineStr">
        <is>
          <t>Samsol International Private Limited</t>
        </is>
      </c>
      <c r="D77" s="270" t="inlineStr">
        <is>
          <t>TUBE COMMON PURPLE</t>
        </is>
      </c>
      <c r="E77" s="270" t="n">
        <v>25</v>
      </c>
      <c r="F77" s="270" t="n">
        <v>6532</v>
      </c>
      <c r="G77" s="271" t="n">
        <v>15000</v>
      </c>
      <c r="H77" s="271" t="n">
        <v>14735</v>
      </c>
      <c r="I77" s="271" t="n">
        <v>265</v>
      </c>
      <c r="J77" s="272">
        <f>IFERROR(I77/(H77+I77),"")</f>
        <v/>
      </c>
      <c r="K77" s="270" t="n"/>
      <c r="L77" s="270" t="n"/>
      <c r="M77" s="270" t="n"/>
      <c r="N77" s="270" t="n"/>
      <c r="O77" s="270" t="n"/>
      <c r="P77" s="270" t="n">
        <v>180</v>
      </c>
      <c r="Q77" s="270" t="n"/>
      <c r="R77" s="270" t="n"/>
      <c r="S77" s="270" t="n"/>
    </row>
    <row r="78" ht="15" customHeight="1" s="237">
      <c r="A78" s="273" t="n">
        <v>46185</v>
      </c>
      <c r="B78" s="270" t="inlineStr">
        <is>
          <t>Latex-01</t>
        </is>
      </c>
      <c r="C78" s="270" t="inlineStr"/>
      <c r="D78" s="270" t="inlineStr"/>
      <c r="E78" s="270" t="inlineStr"/>
      <c r="F78" s="270" t="n"/>
      <c r="G78" s="271" t="n">
        <v>0</v>
      </c>
      <c r="H78" s="271" t="n">
        <v>0</v>
      </c>
      <c r="I78" s="271" t="n">
        <v>0</v>
      </c>
      <c r="J78" s="272">
        <f>IFERROR(I78/(H78+I78),"")</f>
        <v/>
      </c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</row>
    <row r="79" ht="15" customHeight="1" s="237">
      <c r="A79" s="273" t="n">
        <v>46185</v>
      </c>
      <c r="B79" s="270" t="inlineStr">
        <is>
          <t>PF Machine</t>
        </is>
      </c>
      <c r="C79" s="270" t="inlineStr">
        <is>
          <t>Alpha Labs PVT LTD</t>
        </is>
      </c>
      <c r="D79" s="270" t="inlineStr">
        <is>
          <t>TRANSPARENT BOTTLE 150ML</t>
        </is>
      </c>
      <c r="E79" s="270" t="inlineStr">
        <is>
          <t>150 ml</t>
        </is>
      </c>
      <c r="F79" s="270" t="n">
        <v>8001</v>
      </c>
      <c r="G79" s="271" t="n">
        <v>0</v>
      </c>
      <c r="H79" s="271" t="n">
        <v>0</v>
      </c>
      <c r="I79" s="271" t="n">
        <v>0</v>
      </c>
      <c r="J79" s="272">
        <f>IFERROR(I79/(H79+I79),"")</f>
        <v/>
      </c>
      <c r="K79" s="270" t="n"/>
      <c r="L79" s="270" t="n"/>
      <c r="M79" s="270" t="n"/>
      <c r="N79" s="270" t="n"/>
      <c r="O79" s="270" t="n"/>
      <c r="P79" s="270" t="n">
        <v>480</v>
      </c>
      <c r="Q79" s="270" t="n"/>
      <c r="R79" s="270" t="n"/>
      <c r="S79" s="270" t="n"/>
    </row>
    <row r="80" ht="15" customHeight="1" s="237">
      <c r="A80" s="273" t="n">
        <v>46185</v>
      </c>
      <c r="B80" s="270" t="inlineStr">
        <is>
          <t>Press-04</t>
        </is>
      </c>
      <c r="C80" s="270" t="inlineStr"/>
      <c r="D80" s="270" t="inlineStr"/>
      <c r="E80" s="270" t="inlineStr"/>
      <c r="F80" s="270" t="n"/>
      <c r="G80" s="271" t="n">
        <v>0</v>
      </c>
      <c r="H80" s="271" t="n">
        <v>0</v>
      </c>
      <c r="I80" s="271" t="n">
        <v>0</v>
      </c>
      <c r="J80" s="272">
        <f>IFERROR(I80/(H80+I80),"")</f>
        <v/>
      </c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</row>
    <row r="81" ht="15" customHeight="1" s="237">
      <c r="A81" s="273" t="n">
        <v>46185</v>
      </c>
      <c r="B81" s="270" t="inlineStr">
        <is>
          <t>Press-06</t>
        </is>
      </c>
      <c r="C81" s="270" t="inlineStr">
        <is>
          <t>Samsol International Private Limited</t>
        </is>
      </c>
      <c r="D81" s="270" t="inlineStr">
        <is>
          <t>TUBE COMMON PURPLE</t>
        </is>
      </c>
      <c r="E81" s="270" t="n">
        <v>25</v>
      </c>
      <c r="F81" s="270" t="n">
        <v>6532</v>
      </c>
      <c r="G81" s="271" t="n">
        <v>11500</v>
      </c>
      <c r="H81" s="271" t="n">
        <v>11360</v>
      </c>
      <c r="I81" s="271" t="n">
        <v>140</v>
      </c>
      <c r="J81" s="272">
        <f>IFERROR(I81/(H81+I81),"")</f>
        <v/>
      </c>
      <c r="K81" s="270" t="n"/>
      <c r="L81" s="270" t="n"/>
      <c r="M81" s="270" t="n"/>
      <c r="N81" s="270" t="n"/>
      <c r="O81" s="270" t="n"/>
      <c r="P81" s="270" t="n">
        <v>180</v>
      </c>
      <c r="Q81" s="270" t="n"/>
      <c r="R81" s="270" t="n"/>
      <c r="S81" s="270" t="n"/>
    </row>
    <row r="82" ht="15" customHeight="1" s="237">
      <c r="A82" s="273" t="n">
        <v>46185</v>
      </c>
      <c r="B82" s="270" t="inlineStr">
        <is>
          <t>Printing-03</t>
        </is>
      </c>
      <c r="C82" s="270" t="inlineStr">
        <is>
          <t>Samsol International Private Limited</t>
        </is>
      </c>
      <c r="D82" s="270" t="inlineStr">
        <is>
          <t>TUBE COMMON PURPLE</t>
        </is>
      </c>
      <c r="E82" s="270" t="n">
        <v>25</v>
      </c>
      <c r="F82" s="270" t="n">
        <v>6532</v>
      </c>
      <c r="G82" s="271" t="n">
        <v>15134</v>
      </c>
      <c r="H82" s="271" t="n">
        <v>14784</v>
      </c>
      <c r="I82" s="271" t="n">
        <v>350</v>
      </c>
      <c r="J82" s="272">
        <f>IFERROR(I82/(H82+I82),"")</f>
        <v/>
      </c>
      <c r="K82" s="270" t="n"/>
      <c r="L82" s="270" t="n"/>
      <c r="M82" s="270" t="n"/>
      <c r="N82" s="270" t="n"/>
      <c r="O82" s="270" t="n"/>
      <c r="P82" s="270" t="n">
        <v>180</v>
      </c>
      <c r="Q82" s="270" t="n"/>
      <c r="R82" s="270" t="n"/>
      <c r="S82" s="270" t="n"/>
    </row>
    <row r="83" ht="15" customHeight="1" s="237">
      <c r="A83" s="273" t="n">
        <v>46185</v>
      </c>
      <c r="B83" s="270" t="inlineStr">
        <is>
          <t>Printing-04</t>
        </is>
      </c>
      <c r="C83" s="270" t="inlineStr">
        <is>
          <t>Samsol International Private Limited</t>
        </is>
      </c>
      <c r="D83" s="270" t="inlineStr"/>
      <c r="E83" s="270" t="inlineStr"/>
      <c r="F83" s="270" t="n"/>
      <c r="G83" s="271" t="n">
        <v>0</v>
      </c>
      <c r="H83" s="271" t="n">
        <v>0</v>
      </c>
      <c r="I83" s="271" t="n">
        <v>0</v>
      </c>
      <c r="J83" s="272">
        <f>IFERROR(I83/(H83+I83),"")</f>
        <v/>
      </c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</row>
    <row r="84" ht="15" customHeight="1" s="237">
      <c r="A84" s="273" t="n">
        <v>46186</v>
      </c>
      <c r="B84" s="270" t="inlineStr">
        <is>
          <t>Lacquer-02</t>
        </is>
      </c>
      <c r="C84" s="270" t="inlineStr"/>
      <c r="D84" s="270" t="inlineStr"/>
      <c r="E84" s="270" t="inlineStr"/>
      <c r="F84" s="270" t="n"/>
      <c r="G84" s="271" t="n">
        <v>0</v>
      </c>
      <c r="H84" s="271" t="n">
        <v>0</v>
      </c>
      <c r="I84" s="271" t="n">
        <v>0</v>
      </c>
      <c r="J84" s="272">
        <f>IFERROR(I84/(H84+I84),"")</f>
        <v/>
      </c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</row>
    <row r="85" ht="15" customHeight="1" s="237">
      <c r="A85" s="273" t="n">
        <v>46186</v>
      </c>
      <c r="B85" s="270" t="inlineStr">
        <is>
          <t>Lacquer-04</t>
        </is>
      </c>
      <c r="C85" s="270" t="inlineStr">
        <is>
          <t>Samsol International Private Limited</t>
        </is>
      </c>
      <c r="D85" s="270" t="inlineStr">
        <is>
          <t>S-45</t>
        </is>
      </c>
      <c r="E85" s="270" t="n">
        <v>25</v>
      </c>
      <c r="F85" s="270" t="n">
        <v>5389</v>
      </c>
      <c r="G85" s="271" t="n">
        <v>15000</v>
      </c>
      <c r="H85" s="271" t="n">
        <v>14775</v>
      </c>
      <c r="I85" s="271" t="n">
        <v>225</v>
      </c>
      <c r="J85" s="272">
        <f>IFERROR(I85/(H85+I85),"")</f>
        <v/>
      </c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</row>
    <row r="86" ht="15" customHeight="1" s="237">
      <c r="A86" s="273" t="n">
        <v>46186</v>
      </c>
      <c r="B86" s="270" t="inlineStr">
        <is>
          <t>Latex-01</t>
        </is>
      </c>
      <c r="C86" s="270" t="inlineStr"/>
      <c r="D86" s="270" t="inlineStr"/>
      <c r="E86" s="270" t="inlineStr"/>
      <c r="F86" s="270" t="n"/>
      <c r="G86" s="271" t="n">
        <v>0</v>
      </c>
      <c r="H86" s="271" t="n">
        <v>0</v>
      </c>
      <c r="I86" s="271" t="n">
        <v>0</v>
      </c>
      <c r="J86" s="272">
        <f>IFERROR(I86/(H86+I86),"")</f>
        <v/>
      </c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</row>
    <row r="87" ht="15" customHeight="1" s="237">
      <c r="A87" s="273" t="n">
        <v>46186</v>
      </c>
      <c r="B87" s="270" t="inlineStr">
        <is>
          <t>PF Machine</t>
        </is>
      </c>
      <c r="C87" s="270" t="inlineStr">
        <is>
          <t>Alpha Labs PVT LTD</t>
        </is>
      </c>
      <c r="D87" s="270" t="inlineStr">
        <is>
          <t>TRANSPARENT BOTTLE 150ML</t>
        </is>
      </c>
      <c r="E87" s="270" t="inlineStr">
        <is>
          <t>150 ml</t>
        </is>
      </c>
      <c r="F87" s="270" t="n">
        <v>8001</v>
      </c>
      <c r="G87" s="271" t="n">
        <v>9030</v>
      </c>
      <c r="H87" s="271" t="n">
        <v>8280</v>
      </c>
      <c r="I87" s="271" t="n">
        <v>750</v>
      </c>
      <c r="J87" s="272">
        <f>IFERROR(I87/(H87+I87),"")</f>
        <v/>
      </c>
      <c r="K87" s="270" t="n"/>
      <c r="L87" s="270" t="n"/>
      <c r="M87" s="270" t="n"/>
      <c r="N87" s="270" t="n"/>
      <c r="O87" s="270" t="n"/>
      <c r="P87" s="270" t="n">
        <v>25</v>
      </c>
      <c r="Q87" s="270" t="n"/>
      <c r="R87" s="270" t="n"/>
      <c r="S87" s="270" t="n"/>
    </row>
    <row r="88" ht="15" customHeight="1" s="237">
      <c r="A88" s="273" t="n">
        <v>46186</v>
      </c>
      <c r="B88" s="270" t="inlineStr">
        <is>
          <t>Press-04</t>
        </is>
      </c>
      <c r="C88" s="270" t="inlineStr"/>
      <c r="D88" s="270" t="inlineStr"/>
      <c r="E88" s="270" t="inlineStr"/>
      <c r="F88" s="270" t="n"/>
      <c r="G88" s="271" t="n">
        <v>0</v>
      </c>
      <c r="H88" s="271" t="n">
        <v>0</v>
      </c>
      <c r="I88" s="271" t="n">
        <v>0</v>
      </c>
      <c r="J88" s="272">
        <f>IFERROR(I88/(H88+I88),"")</f>
        <v/>
      </c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</row>
    <row r="89" ht="15" customHeight="1" s="237">
      <c r="A89" s="273" t="n">
        <v>46186</v>
      </c>
      <c r="B89" s="270" t="inlineStr">
        <is>
          <t>Press-06</t>
        </is>
      </c>
      <c r="C89" s="270" t="inlineStr">
        <is>
          <t>Samsol International Private Limited</t>
        </is>
      </c>
      <c r="D89" s="270" t="inlineStr">
        <is>
          <t>S-45</t>
        </is>
      </c>
      <c r="E89" s="270" t="n">
        <v>25</v>
      </c>
      <c r="F89" s="270" t="n">
        <v>5389</v>
      </c>
      <c r="G89" s="271" t="n">
        <v>19500</v>
      </c>
      <c r="H89" s="271" t="n">
        <v>19345</v>
      </c>
      <c r="I89" s="271" t="n">
        <v>155</v>
      </c>
      <c r="J89" s="272">
        <f>IFERROR(I89/(H89+I89),"")</f>
        <v/>
      </c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</row>
    <row r="90" ht="15" customHeight="1" s="237">
      <c r="A90" s="273" t="n">
        <v>46186</v>
      </c>
      <c r="B90" s="270" t="inlineStr">
        <is>
          <t>Printing-03</t>
        </is>
      </c>
      <c r="C90" s="270" t="inlineStr">
        <is>
          <t>Samsol International Private Limited</t>
        </is>
      </c>
      <c r="D90" s="270" t="inlineStr">
        <is>
          <t>TUBE COMMON PURPLE</t>
        </is>
      </c>
      <c r="E90" s="270" t="n">
        <v>25</v>
      </c>
      <c r="F90" s="270" t="n">
        <v>6532</v>
      </c>
      <c r="G90" s="271" t="n">
        <v>3188</v>
      </c>
      <c r="H90" s="271" t="n">
        <v>3024</v>
      </c>
      <c r="I90" s="271" t="n">
        <v>164</v>
      </c>
      <c r="J90" s="272">
        <f>IFERROR(I90/(H90+I90),"")</f>
        <v/>
      </c>
      <c r="K90" s="270" t="n"/>
      <c r="L90" s="270" t="n"/>
      <c r="M90" s="270" t="n"/>
      <c r="N90" s="270" t="n">
        <v>20</v>
      </c>
      <c r="O90" s="270" t="n"/>
      <c r="P90" s="270" t="n"/>
      <c r="Q90" s="270" t="n"/>
      <c r="R90" s="270" t="n"/>
      <c r="S90" s="270" t="n"/>
    </row>
    <row r="91" ht="15" customHeight="1" s="237">
      <c r="A91" s="273" t="n">
        <v>46186</v>
      </c>
      <c r="B91" s="270" t="inlineStr">
        <is>
          <t>Printing-03</t>
        </is>
      </c>
      <c r="C91" s="270" t="inlineStr">
        <is>
          <t>Samsol International Private Limited</t>
        </is>
      </c>
      <c r="D91" s="270" t="inlineStr">
        <is>
          <t>S-45</t>
        </is>
      </c>
      <c r="E91" s="270" t="n">
        <v>25</v>
      </c>
      <c r="F91" s="270" t="n">
        <v>5389</v>
      </c>
      <c r="G91" s="271" t="n">
        <v>12762</v>
      </c>
      <c r="H91" s="271" t="n">
        <v>12432</v>
      </c>
      <c r="I91" s="271" t="n">
        <v>330</v>
      </c>
      <c r="J91" s="272">
        <f>IFERROR(I91/(H91+I91),"")</f>
        <v/>
      </c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</row>
    <row r="92" ht="15" customHeight="1" s="237">
      <c r="A92" s="273" t="n">
        <v>46186</v>
      </c>
      <c r="B92" s="270" t="inlineStr">
        <is>
          <t>Printing-04</t>
        </is>
      </c>
      <c r="C92" s="270" t="inlineStr">
        <is>
          <t>Samsol International Private Limited</t>
        </is>
      </c>
      <c r="D92" s="270" t="inlineStr"/>
      <c r="E92" s="270" t="inlineStr"/>
      <c r="F92" s="270" t="n"/>
      <c r="G92" s="271" t="n">
        <v>0</v>
      </c>
      <c r="H92" s="271" t="n">
        <v>0</v>
      </c>
      <c r="I92" s="271" t="n">
        <v>0</v>
      </c>
      <c r="J92" s="272">
        <f>IFERROR(I92/(H92+I92),"")</f>
        <v/>
      </c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</row>
    <row r="93" ht="15" customHeight="1" s="237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37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37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37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37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37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37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37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37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37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37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37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37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37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37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37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37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37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37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37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37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37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37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37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37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37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37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37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37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37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37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37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37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37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37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37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37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37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37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37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37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37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37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37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37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37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37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37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37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37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37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37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37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37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37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37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37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37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37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37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37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37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37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37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37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37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37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37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37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37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37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37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37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37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37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37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37">
      <c r="A169" s="89" t="n"/>
      <c r="G169" s="90" t="n"/>
      <c r="H169" s="90" t="n"/>
      <c r="I169" s="90" t="n"/>
      <c r="J169" s="91" t="n"/>
    </row>
    <row r="170" ht="15" customHeight="1" s="237">
      <c r="A170" s="89" t="n"/>
      <c r="G170" s="90" t="n"/>
      <c r="H170" s="90" t="n"/>
      <c r="I170" s="90" t="n"/>
      <c r="J170" s="91" t="n"/>
    </row>
    <row r="171" ht="15" customHeight="1" s="237">
      <c r="A171" s="89" t="n"/>
      <c r="G171" s="90" t="n"/>
      <c r="H171" s="90" t="n"/>
      <c r="I171" s="90" t="n"/>
      <c r="J171" s="91" t="n"/>
    </row>
    <row r="172" ht="15" customHeight="1" s="237">
      <c r="A172" s="89" t="n"/>
      <c r="G172" s="90" t="n"/>
      <c r="H172" s="90" t="n"/>
      <c r="I172" s="90" t="n"/>
      <c r="J172" s="91" t="n"/>
    </row>
    <row r="173" ht="15" customHeight="1" s="237">
      <c r="A173" s="89" t="n"/>
      <c r="G173" s="90" t="n"/>
      <c r="H173" s="90" t="n"/>
      <c r="I173" s="90" t="n"/>
      <c r="J173" s="91" t="n"/>
    </row>
    <row r="174" ht="15" customHeight="1" s="237">
      <c r="A174" s="89" t="n"/>
      <c r="G174" s="90" t="n"/>
      <c r="H174" s="90" t="n"/>
      <c r="I174" s="90" t="n"/>
      <c r="J174" s="91" t="n"/>
    </row>
    <row r="175" ht="15" customHeight="1" s="237">
      <c r="A175" s="89" t="n"/>
      <c r="G175" s="90" t="n"/>
      <c r="H175" s="90" t="n"/>
      <c r="I175" s="90" t="n"/>
      <c r="J175" s="91" t="n"/>
    </row>
    <row r="176" ht="15" customHeight="1" s="237">
      <c r="A176" s="89" t="n"/>
      <c r="G176" s="90" t="n"/>
      <c r="H176" s="90" t="n"/>
      <c r="I176" s="90" t="n"/>
      <c r="J176" s="91" t="n"/>
    </row>
    <row r="177" ht="15" customHeight="1" s="237">
      <c r="A177" s="89" t="n"/>
      <c r="G177" s="90" t="n"/>
      <c r="H177" s="90" t="n"/>
      <c r="I177" s="90" t="n"/>
      <c r="J177" s="91" t="n"/>
    </row>
    <row r="178" ht="15" customHeight="1" s="237">
      <c r="A178" s="89" t="n"/>
      <c r="G178" s="90" t="n"/>
      <c r="H178" s="90" t="n"/>
      <c r="I178" s="90" t="n"/>
      <c r="J178" s="91" t="n"/>
    </row>
    <row r="179" ht="15" customHeight="1" s="237">
      <c r="A179" s="89" t="n"/>
      <c r="G179" s="90" t="n"/>
      <c r="H179" s="90" t="n"/>
      <c r="I179" s="90" t="n"/>
      <c r="J179" s="91" t="n"/>
    </row>
    <row r="180" ht="15" customHeight="1" s="237">
      <c r="A180" s="89" t="n"/>
      <c r="G180" s="90" t="n"/>
      <c r="H180" s="90" t="n"/>
      <c r="I180" s="90" t="n"/>
      <c r="J180" s="91" t="n"/>
    </row>
    <row r="181" ht="15" customHeight="1" s="237">
      <c r="A181" s="89" t="n"/>
      <c r="G181" s="90" t="n"/>
      <c r="H181" s="90" t="n"/>
      <c r="I181" s="90" t="n"/>
      <c r="J181" s="91" t="n"/>
    </row>
    <row r="182" ht="15" customHeight="1" s="237">
      <c r="A182" s="89" t="n"/>
      <c r="G182" s="90" t="n"/>
      <c r="H182" s="90" t="n"/>
      <c r="I182" s="90" t="n"/>
      <c r="J182" s="91" t="n"/>
    </row>
    <row r="183" ht="15" customHeight="1" s="237">
      <c r="A183" s="89" t="n"/>
      <c r="G183" s="90" t="n"/>
      <c r="H183" s="90" t="n"/>
      <c r="I183" s="90" t="n"/>
      <c r="J183" s="91" t="n"/>
    </row>
    <row r="184" ht="15" customHeight="1" s="237">
      <c r="A184" s="89" t="n"/>
      <c r="G184" s="90" t="n"/>
      <c r="H184" s="90" t="n"/>
      <c r="I184" s="90" t="n"/>
      <c r="J184" s="91" t="n"/>
    </row>
    <row r="185" ht="15" customHeight="1" s="237">
      <c r="A185" s="89" t="n"/>
      <c r="G185" s="90" t="n"/>
      <c r="H185" s="90" t="n"/>
      <c r="I185" s="90" t="n"/>
      <c r="J185" s="91" t="n"/>
    </row>
    <row r="186" ht="15" customHeight="1" s="237">
      <c r="A186" s="89" t="n"/>
      <c r="G186" s="90" t="n"/>
      <c r="H186" s="90" t="n"/>
      <c r="I186" s="90" t="n"/>
      <c r="J186" s="91" t="n"/>
    </row>
    <row r="187" ht="15" customHeight="1" s="237">
      <c r="A187" s="89" t="n"/>
      <c r="G187" s="90" t="n"/>
      <c r="H187" s="90" t="n"/>
      <c r="I187" s="90" t="n"/>
      <c r="J187" s="91" t="n"/>
    </row>
    <row r="188" ht="15" customHeight="1" s="237">
      <c r="A188" s="89" t="n"/>
      <c r="G188" s="90" t="n"/>
      <c r="H188" s="90" t="n"/>
      <c r="I188" s="90" t="n"/>
      <c r="J188" s="91" t="n"/>
    </row>
    <row r="189" ht="15" customHeight="1" s="237">
      <c r="A189" s="89" t="n"/>
      <c r="G189" s="90" t="n"/>
      <c r="H189" s="90" t="n"/>
      <c r="I189" s="90" t="n"/>
      <c r="J189" s="91" t="n"/>
    </row>
    <row r="190" ht="15" customHeight="1" s="237">
      <c r="A190" s="89" t="n"/>
      <c r="G190" s="90" t="n"/>
      <c r="H190" s="90" t="n"/>
      <c r="I190" s="90" t="n"/>
      <c r="J190" s="91" t="n"/>
    </row>
    <row r="191" ht="15" customHeight="1" s="237">
      <c r="A191" s="89" t="n"/>
      <c r="G191" s="90" t="n"/>
      <c r="H191" s="90" t="n"/>
      <c r="I191" s="90" t="n"/>
      <c r="J191" s="91" t="n"/>
    </row>
    <row r="192" ht="15" customHeight="1" s="237">
      <c r="A192" s="89" t="n"/>
      <c r="G192" s="90" t="n"/>
      <c r="H192" s="90" t="n"/>
      <c r="I192" s="90" t="n"/>
      <c r="J192" s="91" t="n"/>
    </row>
    <row r="193" ht="15" customHeight="1" s="237">
      <c r="A193" s="89" t="n"/>
      <c r="G193" s="90" t="n"/>
      <c r="H193" s="90" t="n"/>
      <c r="I193" s="90" t="n"/>
      <c r="J193" s="91" t="n"/>
    </row>
    <row r="194" ht="15" customHeight="1" s="237">
      <c r="A194" s="89" t="n"/>
      <c r="G194" s="90" t="n"/>
      <c r="H194" s="90" t="n"/>
      <c r="I194" s="90" t="n"/>
      <c r="J194" s="91" t="n"/>
    </row>
    <row r="195" ht="15" customHeight="1" s="237">
      <c r="A195" s="89" t="n"/>
      <c r="G195" s="90" t="n"/>
      <c r="H195" s="90" t="n"/>
      <c r="I195" s="90" t="n"/>
      <c r="J195" s="91" t="n"/>
    </row>
    <row r="196" ht="15" customHeight="1" s="237">
      <c r="A196" s="89" t="n"/>
      <c r="G196" s="90" t="n"/>
      <c r="H196" s="90" t="n"/>
      <c r="I196" s="90" t="n"/>
      <c r="J196" s="91" t="n"/>
    </row>
    <row r="197" ht="15" customHeight="1" s="237">
      <c r="A197" s="89" t="n"/>
      <c r="G197" s="90" t="n"/>
      <c r="H197" s="90" t="n"/>
      <c r="I197" s="90" t="n"/>
      <c r="J197" s="91" t="n"/>
    </row>
    <row r="198" ht="15" customHeight="1" s="237">
      <c r="A198" s="89" t="n"/>
      <c r="G198" s="90" t="n"/>
      <c r="H198" s="90" t="n"/>
      <c r="I198" s="90" t="n"/>
      <c r="J198" s="91" t="n"/>
    </row>
    <row r="199" ht="15" customHeight="1" s="237">
      <c r="A199" s="89" t="n"/>
      <c r="G199" s="90" t="n"/>
      <c r="H199" s="90" t="n"/>
      <c r="I199" s="90" t="n"/>
      <c r="J199" s="91" t="n"/>
    </row>
    <row r="200" ht="15" customHeight="1" s="237">
      <c r="A200" s="89" t="n"/>
      <c r="G200" s="90" t="n"/>
      <c r="H200" s="90" t="n"/>
      <c r="I200" s="90" t="n"/>
      <c r="J200" s="91" t="n"/>
    </row>
    <row r="201" ht="15" customHeight="1" s="237">
      <c r="A201" s="89" t="n"/>
      <c r="G201" s="90" t="n"/>
      <c r="H201" s="90" t="n"/>
      <c r="I201" s="90" t="n"/>
      <c r="J201" s="91" t="n"/>
    </row>
    <row r="202" ht="15" customHeight="1" s="237">
      <c r="A202" s="89" t="n"/>
      <c r="G202" s="90" t="n"/>
      <c r="H202" s="90" t="n"/>
      <c r="I202" s="90" t="n"/>
      <c r="J202" s="91" t="n"/>
    </row>
    <row r="203" ht="15" customHeight="1" s="237">
      <c r="A203" s="89" t="n"/>
      <c r="G203" s="90" t="n"/>
      <c r="H203" s="90" t="n"/>
      <c r="I203" s="90" t="n"/>
      <c r="J203" s="91" t="n"/>
    </row>
    <row r="204" ht="15" customHeight="1" s="237">
      <c r="A204" s="89" t="n"/>
      <c r="G204" s="90" t="n"/>
      <c r="H204" s="90" t="n"/>
      <c r="I204" s="90" t="n"/>
      <c r="J204" s="91" t="n"/>
    </row>
    <row r="205" ht="15" customHeight="1" s="237">
      <c r="A205" s="89" t="n"/>
      <c r="G205" s="90" t="n"/>
      <c r="H205" s="90" t="n"/>
      <c r="I205" s="90" t="n"/>
      <c r="J205" s="91" t="n"/>
    </row>
    <row r="206" ht="15" customHeight="1" s="237">
      <c r="A206" s="89" t="n"/>
      <c r="G206" s="90" t="n"/>
      <c r="H206" s="90" t="n"/>
      <c r="I206" s="90" t="n"/>
      <c r="J206" s="91" t="n"/>
    </row>
    <row r="207" ht="15" customHeight="1" s="237">
      <c r="A207" s="89" t="n"/>
      <c r="G207" s="90" t="n"/>
      <c r="H207" s="90" t="n"/>
      <c r="I207" s="90" t="n"/>
      <c r="J207" s="91" t="n"/>
    </row>
    <row r="208" ht="15" customHeight="1" s="237">
      <c r="A208" s="89" t="n"/>
      <c r="G208" s="90" t="n"/>
      <c r="H208" s="90" t="n"/>
      <c r="I208" s="90" t="n"/>
      <c r="J208" s="91" t="n"/>
    </row>
    <row r="209" ht="15" customHeight="1" s="237">
      <c r="A209" s="89" t="n"/>
      <c r="G209" s="90" t="n"/>
      <c r="H209" s="90" t="n"/>
      <c r="I209" s="90" t="n"/>
      <c r="J209" s="91" t="n"/>
    </row>
    <row r="210" ht="15" customHeight="1" s="237">
      <c r="A210" s="89" t="n"/>
      <c r="G210" s="90" t="n"/>
      <c r="H210" s="90" t="n"/>
      <c r="I210" s="90" t="n"/>
      <c r="J210" s="91" t="n"/>
    </row>
    <row r="211" ht="15" customHeight="1" s="237">
      <c r="A211" s="89" t="n"/>
      <c r="G211" s="90" t="n"/>
      <c r="H211" s="90" t="n"/>
      <c r="I211" s="90" t="n"/>
      <c r="J211" s="91" t="n"/>
    </row>
    <row r="212" ht="15" customHeight="1" s="237">
      <c r="A212" s="89" t="n"/>
      <c r="G212" s="90" t="n"/>
      <c r="H212" s="90" t="n"/>
      <c r="I212" s="90" t="n"/>
      <c r="J212" s="91" t="n"/>
    </row>
    <row r="213" ht="15" customHeight="1" s="237">
      <c r="A213" s="89" t="n"/>
      <c r="G213" s="90" t="n"/>
      <c r="H213" s="90" t="n"/>
      <c r="I213" s="90" t="n"/>
      <c r="J213" s="91" t="n"/>
    </row>
    <row r="214" ht="15" customHeight="1" s="237">
      <c r="A214" s="89" t="n"/>
      <c r="G214" s="90" t="n"/>
      <c r="H214" s="90" t="n"/>
      <c r="I214" s="90" t="n"/>
      <c r="J214" s="91" t="n"/>
    </row>
    <row r="215" ht="15" customHeight="1" s="237">
      <c r="A215" s="89" t="n"/>
      <c r="G215" s="90" t="n"/>
      <c r="H215" s="90" t="n"/>
      <c r="I215" s="90" t="n"/>
      <c r="J215" s="91" t="n"/>
    </row>
    <row r="216" ht="15" customHeight="1" s="237">
      <c r="A216" s="89" t="n"/>
      <c r="G216" s="90" t="n"/>
      <c r="H216" s="90" t="n"/>
      <c r="I216" s="90" t="n"/>
      <c r="J216" s="91" t="n"/>
    </row>
    <row r="217" ht="15" customHeight="1" s="237">
      <c r="A217" s="89" t="n"/>
      <c r="G217" s="90" t="n"/>
      <c r="H217" s="90" t="n"/>
      <c r="I217" s="90" t="n"/>
      <c r="J217" s="91" t="n"/>
    </row>
    <row r="218" ht="15" customHeight="1" s="237">
      <c r="A218" s="89" t="n"/>
      <c r="G218" s="90" t="n"/>
      <c r="H218" s="90" t="n"/>
      <c r="I218" s="90" t="n"/>
      <c r="J218" s="91" t="n"/>
    </row>
    <row r="219" ht="15" customHeight="1" s="237">
      <c r="A219" s="89" t="n"/>
      <c r="G219" s="90" t="n"/>
      <c r="H219" s="90" t="n"/>
      <c r="I219" s="90" t="n"/>
      <c r="J219" s="91" t="n"/>
    </row>
    <row r="220" ht="15" customHeight="1" s="237">
      <c r="A220" s="89" t="n"/>
      <c r="G220" s="90" t="n"/>
      <c r="H220" s="90" t="n"/>
      <c r="I220" s="90" t="n"/>
      <c r="J220" s="91" t="n"/>
    </row>
    <row r="221" ht="15" customHeight="1" s="237">
      <c r="A221" s="89" t="n"/>
      <c r="G221" s="90" t="n"/>
      <c r="H221" s="90" t="n"/>
      <c r="I221" s="90" t="n"/>
      <c r="J221" s="91" t="n"/>
    </row>
    <row r="222" ht="15" customHeight="1" s="237">
      <c r="A222" s="89" t="n"/>
      <c r="G222" s="90" t="n"/>
      <c r="H222" s="90" t="n"/>
      <c r="I222" s="90" t="n"/>
      <c r="J222" s="91" t="n"/>
    </row>
    <row r="223" ht="15" customHeight="1" s="237">
      <c r="A223" s="89" t="n"/>
      <c r="G223" s="90" t="n"/>
      <c r="H223" s="90" t="n"/>
      <c r="I223" s="90" t="n"/>
      <c r="J223" s="91" t="n"/>
    </row>
    <row r="224" ht="15" customHeight="1" s="237">
      <c r="A224" s="89" t="n"/>
      <c r="G224" s="90" t="n"/>
      <c r="H224" s="90" t="n"/>
      <c r="I224" s="90" t="n"/>
      <c r="J224" s="91" t="n"/>
    </row>
    <row r="225" ht="15" customHeight="1" s="237">
      <c r="A225" s="89" t="n"/>
      <c r="G225" s="90" t="n"/>
      <c r="H225" s="90" t="n"/>
      <c r="I225" s="90" t="n"/>
      <c r="J225" s="91" t="n"/>
    </row>
    <row r="226" ht="15" customHeight="1" s="237">
      <c r="A226" s="89" t="n"/>
      <c r="G226" s="90" t="n"/>
      <c r="H226" s="90" t="n"/>
      <c r="I226" s="90" t="n"/>
      <c r="J226" s="91" t="n"/>
    </row>
    <row r="227" ht="15" customHeight="1" s="237">
      <c r="A227" s="89" t="n"/>
      <c r="G227" s="90" t="n"/>
      <c r="H227" s="90" t="n"/>
      <c r="I227" s="90" t="n"/>
      <c r="J227" s="91" t="n"/>
    </row>
    <row r="228" ht="15" customHeight="1" s="237">
      <c r="A228" s="89" t="n"/>
      <c r="G228" s="90" t="n"/>
      <c r="H228" s="90" t="n"/>
      <c r="I228" s="90" t="n"/>
      <c r="J228" s="91" t="n"/>
    </row>
    <row r="229" ht="15" customHeight="1" s="237">
      <c r="A229" s="89" t="n"/>
      <c r="G229" s="90" t="n"/>
      <c r="H229" s="90" t="n"/>
      <c r="I229" s="90" t="n"/>
      <c r="J229" s="91" t="n"/>
    </row>
    <row r="230" ht="15" customHeight="1" s="237">
      <c r="A230" s="89" t="n"/>
      <c r="G230" s="90" t="n"/>
      <c r="H230" s="90" t="n"/>
      <c r="I230" s="90" t="n"/>
      <c r="J230" s="91" t="n"/>
    </row>
    <row r="231" ht="15" customHeight="1" s="237">
      <c r="A231" s="89" t="n"/>
      <c r="G231" s="90" t="n"/>
      <c r="H231" s="90" t="n"/>
      <c r="I231" s="90" t="n"/>
      <c r="J231" s="91" t="n"/>
    </row>
    <row r="232" ht="15" customHeight="1" s="237">
      <c r="A232" s="89" t="n"/>
      <c r="G232" s="90" t="n"/>
      <c r="H232" s="90" t="n"/>
      <c r="I232" s="90" t="n"/>
      <c r="J232" s="91" t="n"/>
    </row>
    <row r="233" ht="15" customHeight="1" s="237">
      <c r="A233" s="89" t="n"/>
      <c r="G233" s="90" t="n"/>
      <c r="H233" s="90" t="n"/>
      <c r="I233" s="90" t="n"/>
      <c r="J233" s="91" t="n"/>
    </row>
    <row r="234" ht="15" customHeight="1" s="237">
      <c r="A234" s="89" t="n"/>
      <c r="G234" s="90" t="n"/>
      <c r="H234" s="90" t="n"/>
      <c r="I234" s="90" t="n"/>
      <c r="J234" s="91" t="n"/>
    </row>
    <row r="235" ht="15" customHeight="1" s="237">
      <c r="A235" s="89" t="n"/>
      <c r="G235" s="90" t="n"/>
      <c r="H235" s="90" t="n"/>
      <c r="I235" s="90" t="n"/>
      <c r="J235" s="91" t="n"/>
    </row>
    <row r="236" ht="15" customHeight="1" s="237">
      <c r="A236" s="89" t="n"/>
      <c r="G236" s="90" t="n"/>
      <c r="H236" s="90" t="n"/>
      <c r="I236" s="90" t="n"/>
      <c r="J236" s="91" t="n"/>
    </row>
    <row r="237" ht="15" customHeight="1" s="237">
      <c r="A237" s="89" t="n"/>
      <c r="G237" s="90" t="n"/>
      <c r="H237" s="90" t="n"/>
      <c r="I237" s="90" t="n"/>
      <c r="J237" s="91" t="n"/>
    </row>
    <row r="238" ht="15" customHeight="1" s="237">
      <c r="A238" s="89" t="n"/>
      <c r="G238" s="90" t="n"/>
      <c r="H238" s="90" t="n"/>
      <c r="I238" s="90" t="n"/>
      <c r="J238" s="91" t="n"/>
    </row>
    <row r="239" ht="15" customHeight="1" s="237">
      <c r="A239" s="89" t="n"/>
      <c r="G239" s="90" t="n"/>
      <c r="H239" s="90" t="n"/>
      <c r="I239" s="90" t="n"/>
      <c r="J239" s="91" t="n"/>
    </row>
    <row r="240" ht="15" customHeight="1" s="237">
      <c r="A240" s="89" t="n"/>
      <c r="G240" s="90" t="n"/>
      <c r="H240" s="90" t="n"/>
      <c r="I240" s="90" t="n"/>
      <c r="J240" s="91" t="n"/>
    </row>
    <row r="241" ht="15" customHeight="1" s="237">
      <c r="A241" s="89" t="n"/>
      <c r="G241" s="90" t="n"/>
      <c r="H241" s="90" t="n"/>
      <c r="I241" s="90" t="n"/>
      <c r="J241" s="91" t="n"/>
    </row>
    <row r="242" ht="15" customHeight="1" s="237">
      <c r="A242" s="89" t="n"/>
      <c r="G242" s="90" t="n"/>
      <c r="H242" s="90" t="n"/>
      <c r="I242" s="90" t="n"/>
      <c r="J242" s="91" t="n"/>
    </row>
    <row r="243" ht="15" customHeight="1" s="237">
      <c r="A243" s="89" t="n"/>
      <c r="G243" s="90" t="n"/>
      <c r="H243" s="90" t="n"/>
      <c r="I243" s="90" t="n"/>
      <c r="J243" s="91" t="n"/>
    </row>
    <row r="244" ht="15" customHeight="1" s="237">
      <c r="A244" s="89" t="n"/>
      <c r="G244" s="90" t="n"/>
      <c r="H244" s="90" t="n"/>
      <c r="I244" s="90" t="n"/>
      <c r="J244" s="91" t="n"/>
    </row>
    <row r="245" ht="15" customHeight="1" s="237">
      <c r="A245" s="89" t="n"/>
      <c r="G245" s="90" t="n"/>
      <c r="H245" s="90" t="n"/>
      <c r="I245" s="90" t="n"/>
      <c r="J245" s="91" t="n"/>
    </row>
    <row r="246" ht="15" customHeight="1" s="237">
      <c r="A246" s="89" t="n"/>
      <c r="G246" s="90" t="n"/>
      <c r="H246" s="90" t="n"/>
      <c r="I246" s="90" t="n"/>
      <c r="J246" s="91" t="n"/>
    </row>
    <row r="247" ht="15" customHeight="1" s="237">
      <c r="A247" s="89" t="n"/>
      <c r="G247" s="90" t="n"/>
      <c r="H247" s="90" t="n"/>
      <c r="I247" s="90" t="n"/>
      <c r="J247" s="91" t="n"/>
    </row>
  </sheetData>
  <autoFilter ref="A2:R83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37" min="1" max="1"/>
    <col width="8" customWidth="1" style="237" min="2" max="2"/>
    <col width="37.7109375" customWidth="1" style="238" min="3" max="3"/>
    <col width="39" customWidth="1" style="238" min="4" max="4"/>
    <col width="6" customWidth="1" style="237" min="5" max="5"/>
    <col width="16" customWidth="1" style="237" min="6" max="6"/>
    <col width="8" customWidth="1" style="237" min="7" max="7"/>
    <col width="30" customWidth="1" style="238" min="8" max="8"/>
    <col width="6" customWidth="1" style="237" min="9" max="9"/>
    <col width="14" customWidth="1" style="239" min="10" max="10"/>
    <col width="16" customWidth="1" style="238" min="11" max="11"/>
    <col width="8" customWidth="1" style="240" min="12" max="12"/>
    <col width="68.28515625" customWidth="1" style="52" min="13" max="13"/>
  </cols>
  <sheetData>
    <row r="1" ht="20.25" customHeight="1" s="237">
      <c r="A1" s="262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37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37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37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37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37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37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37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37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37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37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37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37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37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37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37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37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37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37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37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37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37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37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37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37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37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37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37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37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37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37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37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37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37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37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37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37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37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37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37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37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37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37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37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37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37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37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37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37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37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37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37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37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37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37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37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37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37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37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37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37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37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37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37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37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37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37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37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37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37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37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37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37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37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37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37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37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37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37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37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37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37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37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37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37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37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37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37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37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37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37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37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37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37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37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37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37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37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37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37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37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37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37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37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37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37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37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37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37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37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37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37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37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37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37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37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37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37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37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37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37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37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37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37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37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37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37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37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37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37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37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37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37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37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37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37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37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37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37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37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37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37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37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37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37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37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37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37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37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37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37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37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37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37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37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37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37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37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37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37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37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37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37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37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37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37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37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37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37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37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37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37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37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37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37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37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37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37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37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37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37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37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37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37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37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37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37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37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37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37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37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37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37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37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37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37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37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37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37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37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37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37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37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37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37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37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37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37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37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37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37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37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37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37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37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37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37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37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37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37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37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37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37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37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37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37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37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37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37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37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37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37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37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37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37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37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37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37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37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37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37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37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37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37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37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37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37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37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37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37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37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37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37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37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37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37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37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37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37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37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37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37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37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37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37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37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37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37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37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37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37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37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37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37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37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37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37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37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37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37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37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37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37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37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37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37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37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37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37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37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37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37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37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37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37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37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37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37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37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37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37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37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37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37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37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37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37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37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37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37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37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37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37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37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37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37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37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37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37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37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37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37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37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37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37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37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37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37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37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37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37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37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37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37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37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37"/>
    <row r="339" ht="15" customHeight="1" s="237"/>
    <row r="340" ht="15" customHeight="1" s="237"/>
    <row r="341" ht="15" customHeight="1" s="237"/>
    <row r="342" ht="15" customHeight="1" s="237"/>
    <row r="343" ht="15" customHeight="1" s="237"/>
    <row r="344" ht="15" customHeight="1" s="237"/>
    <row r="345" ht="15" customHeight="1" s="23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G8" sqref="G8"/>
    </sheetView>
  </sheetViews>
  <sheetFormatPr baseColWidth="8" defaultColWidth="8.7109375" defaultRowHeight="15"/>
  <cols>
    <col width="10" customWidth="1" style="237" min="1" max="1"/>
    <col width="15.28515625" customWidth="1" style="237" min="2" max="2"/>
    <col width="16.85546875" customWidth="1" style="237" min="3" max="3"/>
    <col width="6" customWidth="1" style="237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width="7.7109375" customWidth="1" style="67" min="9" max="9"/>
    <col width="16.140625" customWidth="1" style="67" min="10" max="10"/>
    <col width="18" customWidth="1" style="237" min="11" max="11"/>
  </cols>
  <sheetData>
    <row r="1" ht="19.5" customHeight="1" s="237">
      <c r="A1" s="241" t="inlineStr">
        <is>
          <t>Slugs Inventory — June 2026 MONTH TO DATE</t>
        </is>
      </c>
      <c r="B1" s="235" t="n"/>
      <c r="C1" s="235" t="n"/>
      <c r="D1" s="235" t="n"/>
      <c r="E1" s="235" t="n"/>
      <c r="F1" s="235" t="n"/>
      <c r="G1" s="235" t="n"/>
      <c r="H1" s="235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37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37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37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37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1150</v>
      </c>
      <c r="H7" s="38">
        <f>E7+F7-G7</f>
        <v/>
      </c>
      <c r="I7" s="37" t="n">
        <v>65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37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37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37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37"/>
    <row r="12" ht="18.75" customHeight="1" s="237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37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37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25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37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37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37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37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37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37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120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37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37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37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37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37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37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37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37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37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37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37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37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37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37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37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37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37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37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37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37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37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37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37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37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70000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37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37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37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37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37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37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37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37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37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37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37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37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37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37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37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37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37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37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37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50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37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37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37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37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37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37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37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37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37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37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37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37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37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37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37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37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37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37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37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37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37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37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37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37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37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37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37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37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37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37"/>
    <row r="96" ht="15" customHeight="1" s="237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3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37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37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37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37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37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37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37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37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37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37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37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37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37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37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37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37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37" min="1" max="1"/>
    <col width="36.85546875" customWidth="1" style="237" min="2" max="2"/>
    <col width="37.7109375" customWidth="1" style="237" min="3" max="3"/>
    <col width="40" customWidth="1" style="237" min="4" max="4"/>
    <col width="10" customWidth="1" style="237" min="5" max="5"/>
    <col width="11.42578125" customWidth="1" style="237" min="6" max="6"/>
    <col width="8" customWidth="1" style="237" min="7" max="7"/>
    <col width="12" customWidth="1" style="237" min="8" max="19"/>
  </cols>
  <sheetData>
    <row r="1" ht="20.25" customHeight="1" s="237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37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37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37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37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37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37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37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37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37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37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37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37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37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37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37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37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37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37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37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37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37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37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37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37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37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37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37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37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37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37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37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37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37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37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37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37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37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37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37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37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37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37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37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37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37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37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37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37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37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37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37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37" min="1" max="2"/>
    <col width="35" customWidth="1" style="237" min="3" max="3"/>
    <col width="15" customWidth="1" style="237" min="4" max="4"/>
    <col width="10" customWidth="1" style="237" min="5" max="5"/>
    <col width="30" customWidth="1" style="237" min="6" max="6"/>
    <col width="10" customWidth="1" style="237" min="7" max="7"/>
    <col width="30" customWidth="1" style="237" min="8" max="8"/>
    <col width="12" customWidth="1" style="237" min="9" max="15"/>
  </cols>
  <sheetData>
    <row r="1" ht="21.95" customHeight="1" s="237">
      <c r="A1" s="263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37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37">
      <c r="A4" s="263" t="inlineStr">
        <is>
          <t>S1 — NEW ERP BOMs REQUIRED: TUBE PRODUCTS</t>
        </is>
      </c>
    </row>
    <row r="5" ht="18" customHeight="1" s="237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37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37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37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37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37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37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37">
      <c r="A12" s="263" t="inlineStr">
        <is>
          <t>S3 — BOM RATE CORRECTIONS: Fix quantities in existing ERP BOMs</t>
        </is>
      </c>
    </row>
    <row r="13" ht="18" customHeight="1" s="237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37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37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37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37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37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37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37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37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37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37">
      <c r="A23" s="263" t="inlineStr">
        <is>
          <t>S4 — MISSING MATERIAL LINES: Add to existing ERP BOMs</t>
        </is>
      </c>
    </row>
    <row r="24" ht="18" customHeight="1" s="237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37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37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37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37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37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37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37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37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37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37">
      <c r="A34" s="263" t="inlineStr">
        <is>
          <t>S5 — ITEM ID CHANGES: Applied in local BOM. Must be replicated in ERP (delete old line, add new line)</t>
        </is>
      </c>
    </row>
    <row r="35" ht="18" customHeight="1" s="237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37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37">
      <c r="A65" s="263" t="inlineStr">
        <is>
          <t>S6 — ITEM ID QUERIES: Confirm with Rehan before finalising</t>
        </is>
      </c>
    </row>
    <row r="66" ht="18" customHeight="1" s="237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37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37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37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37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37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37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37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37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37">
      <c r="A75" s="263" t="inlineStr">
        <is>
          <t>S7 — ERP ITEM NAME CORRECTIONS: LACQUER spelling (LACQUAR → LACQUER). Fixed in local BOM. ERP item master still incorrect.</t>
        </is>
      </c>
    </row>
    <row r="76" ht="18" customHeight="1" s="237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37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37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37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37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37">
      <c r="A81" s="263" t="inlineStr">
        <is>
          <t>S8 — SLUG CHANGE: 30mm diameter products — 30×4.3 (Item 2) → 30×4.5 S/M (Item 406). Effective 21-Apr-2026. Local BOM updated. ERP pending.</t>
        </is>
      </c>
    </row>
    <row r="82" ht="18" customHeight="1" s="237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37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37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37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37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37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37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37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37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37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37">
      <c r="A92" s="263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37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37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37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37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37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37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37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37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37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37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37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37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37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37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37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37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37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37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37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37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37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37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37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37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37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37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37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37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37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37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37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37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37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37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37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37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37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37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37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37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37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37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37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37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37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37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37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37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37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37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37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3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37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37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37"/>
    <row r="161" ht="15.75" customHeight="1" s="237"/>
    <row r="162" ht="30" customHeight="1" s="237"/>
    <row r="163" ht="30" customHeight="1" s="237"/>
    <row r="164" ht="30" customHeight="1" s="23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37" min="1" max="1"/>
    <col width="8" customWidth="1" style="237" min="2" max="2"/>
    <col width="38.140625" customWidth="1" style="237" min="3" max="3"/>
    <col width="38" customWidth="1" style="237" min="4" max="4"/>
    <col width="10" customWidth="1" style="237" min="5" max="5"/>
    <col width="14" customWidth="1" style="237" min="6" max="7"/>
    <col width="36" customWidth="1" style="237" min="8" max="8"/>
    <col width="36" customWidth="1" style="1" min="9" max="9"/>
  </cols>
  <sheetData>
    <row r="1" ht="30" customHeight="1" s="237">
      <c r="A1" s="264" t="inlineStr">
        <is>
          <t>FG STOCK IN HAND — Last Updated: 15-Jun-2026</t>
        </is>
      </c>
    </row>
    <row r="2" ht="15.75" customHeight="1" s="237">
      <c r="A2" s="265" t="inlineStr">
        <is>
          <t>Shows latest date only from FG Stock In hand (Production.xlsx). Older dates are discarded. Re-run update_production.py to refresh.</t>
        </is>
      </c>
    </row>
    <row r="3" ht="19.5" customHeight="1" s="237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37">
      <c r="A4" s="274" t="n">
        <v>1</v>
      </c>
      <c r="B4" s="274" t="n">
        <v>8001</v>
      </c>
      <c r="C4" s="275" t="inlineStr">
        <is>
          <t>Alpha Labs PVT LTD</t>
        </is>
      </c>
      <c r="D4" s="275" t="inlineStr">
        <is>
          <t>TRANSPARENT BOTTLE 150ML</t>
        </is>
      </c>
      <c r="E4" s="274" t="inlineStr">
        <is>
          <t>150ml</t>
        </is>
      </c>
      <c r="F4" s="276" t="n">
        <v>18860</v>
      </c>
      <c r="G4" s="274" t="inlineStr">
        <is>
          <t>OK</t>
        </is>
      </c>
      <c r="H4" s="277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37">
      <c r="A5" s="274" t="n">
        <v>2</v>
      </c>
      <c r="B5" s="274" t="n">
        <v>5699</v>
      </c>
      <c r="C5" s="275" t="inlineStr">
        <is>
          <t>Samsol International Private Limited</t>
        </is>
      </c>
      <c r="D5" s="275" t="inlineStr">
        <is>
          <t>S-43 DIA 20.5</t>
        </is>
      </c>
      <c r="E5" s="274" t="inlineStr">
        <is>
          <t>20.5</t>
        </is>
      </c>
      <c r="F5" s="276" t="n">
        <v>14790</v>
      </c>
      <c r="G5" s="274" t="inlineStr">
        <is>
          <t>OK</t>
        </is>
      </c>
      <c r="H5" s="277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37">
      <c r="A6" s="274" t="n">
        <v>3</v>
      </c>
      <c r="B6" s="274" t="n">
        <v>5731</v>
      </c>
      <c r="C6" s="275" t="inlineStr">
        <is>
          <t>Samsol International Private Limited</t>
        </is>
      </c>
      <c r="D6" s="275" t="inlineStr">
        <is>
          <t>SAMSOL HAIR COLOR 45 DIA 20.5 MM</t>
        </is>
      </c>
      <c r="E6" s="274" t="inlineStr">
        <is>
          <t>20.5</t>
        </is>
      </c>
      <c r="F6" s="276" t="n">
        <v>13770</v>
      </c>
      <c r="G6" s="274" t="inlineStr">
        <is>
          <t>OK</t>
        </is>
      </c>
      <c r="H6" s="277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37">
      <c r="A7" s="274" t="n">
        <v>4</v>
      </c>
      <c r="B7" s="274" t="n">
        <v>5389</v>
      </c>
      <c r="C7" s="275" t="inlineStr">
        <is>
          <t>Samsol International Private Limited</t>
        </is>
      </c>
      <c r="D7" s="275" t="inlineStr">
        <is>
          <t>S-45</t>
        </is>
      </c>
      <c r="E7" s="274" t="inlineStr">
        <is>
          <t>25</t>
        </is>
      </c>
      <c r="F7" s="276" t="n">
        <v>11088</v>
      </c>
      <c r="G7" s="274" t="inlineStr">
        <is>
          <t>OK</t>
        </is>
      </c>
      <c r="H7" s="277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37">
      <c r="A8" s="274" t="n">
        <v>5</v>
      </c>
      <c r="B8" s="274" t="n">
        <v>4050</v>
      </c>
      <c r="C8" s="275" t="inlineStr">
        <is>
          <t>Professional Beauty Solution (PVT) LTD.Pakistan</t>
        </is>
      </c>
      <c r="D8" s="275" t="inlineStr">
        <is>
          <t>EAZICOLOR PREMIUM HAIR COLOUR 60ML</t>
        </is>
      </c>
      <c r="E8" s="274" t="inlineStr">
        <is>
          <t>30</t>
        </is>
      </c>
      <c r="F8" s="276" t="n">
        <v>9450</v>
      </c>
      <c r="G8" s="274" t="inlineStr">
        <is>
          <t>OK</t>
        </is>
      </c>
      <c r="H8" s="277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37">
      <c r="A9" s="274" t="n">
        <v>6</v>
      </c>
      <c r="B9" s="274" t="n">
        <v>6337</v>
      </c>
      <c r="C9" s="275" t="inlineStr">
        <is>
          <t>Al-Rehman Group</t>
        </is>
      </c>
      <c r="D9" s="275" t="inlineStr">
        <is>
          <t>ACTIVE PRO HAIR COLOR CREAM 60ML</t>
        </is>
      </c>
      <c r="E9" s="274" t="inlineStr">
        <is>
          <t>30</t>
        </is>
      </c>
      <c r="F9" s="276" t="n">
        <v>15680</v>
      </c>
      <c r="G9" s="274" t="inlineStr">
        <is>
          <t>OK</t>
        </is>
      </c>
      <c r="H9" s="277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37">
      <c r="A10" s="274" t="n">
        <v>7</v>
      </c>
      <c r="B10" s="274" t="n">
        <v>6416</v>
      </c>
      <c r="C10" s="275" t="inlineStr">
        <is>
          <t>Al-Rehman Group</t>
        </is>
      </c>
      <c r="D10" s="275" t="inlineStr">
        <is>
          <t>SIGNATURE HAIR COLOR CREAM 60ML</t>
        </is>
      </c>
      <c r="E10" s="274" t="inlineStr">
        <is>
          <t>30</t>
        </is>
      </c>
      <c r="F10" s="276" t="n">
        <v>15435</v>
      </c>
      <c r="G10" s="274" t="inlineStr">
        <is>
          <t>OK</t>
        </is>
      </c>
      <c r="H10" s="277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37">
      <c r="A11" s="274" t="n">
        <v>8</v>
      </c>
      <c r="B11" s="274" t="n">
        <v>5782</v>
      </c>
      <c r="C11" s="275" t="inlineStr">
        <is>
          <t>Mega Grey</t>
        </is>
      </c>
      <c r="D11" s="275" t="inlineStr">
        <is>
          <t>M.G</t>
        </is>
      </c>
      <c r="E11" s="274" t="inlineStr">
        <is>
          <t>32</t>
        </is>
      </c>
      <c r="F11" s="276" t="n">
        <v>63648</v>
      </c>
      <c r="G11" s="274" t="inlineStr">
        <is>
          <t>OK</t>
        </is>
      </c>
      <c r="H11" s="277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37">
      <c r="A12" s="274" t="n">
        <v>9</v>
      </c>
      <c r="B12" s="274" t="n">
        <v>6531</v>
      </c>
      <c r="C12" s="275" t="inlineStr">
        <is>
          <t>Adore</t>
        </is>
      </c>
      <c r="D12" s="275" t="inlineStr">
        <is>
          <t>V-HC BLACK</t>
        </is>
      </c>
      <c r="E12" s="274" t="inlineStr">
        <is>
          <t>35</t>
        </is>
      </c>
      <c r="F12" s="276" t="n">
        <v>4380</v>
      </c>
      <c r="G12" s="274" t="inlineStr">
        <is>
          <t>OK</t>
        </is>
      </c>
      <c r="H12" s="277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37">
      <c r="A13" s="274" t="n">
        <v>10</v>
      </c>
      <c r="B13" s="274" t="n">
        <v>6206</v>
      </c>
      <c r="C13" s="275" t="inlineStr">
        <is>
          <t>Golden Pearl Cosmetics (PVT) LTD</t>
        </is>
      </c>
      <c r="D13" s="275" t="inlineStr">
        <is>
          <t>HELLO HAIR COLOR</t>
        </is>
      </c>
      <c r="E13" s="274" t="inlineStr">
        <is>
          <t>30</t>
        </is>
      </c>
      <c r="F13" s="276" t="n">
        <v>100674</v>
      </c>
      <c r="G13" s="274" t="inlineStr">
        <is>
          <t>OK</t>
        </is>
      </c>
      <c r="H13" s="277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37">
      <c r="A14" s="278" t="n">
        <v>11</v>
      </c>
      <c r="B14" s="278" t="n">
        <v>6515</v>
      </c>
      <c r="C14" s="279" t="inlineStr">
        <is>
          <t>Samsol International Private Limited</t>
        </is>
      </c>
      <c r="D14" s="279" t="inlineStr">
        <is>
          <t>H.H 100GM</t>
        </is>
      </c>
      <c r="E14" s="278" t="inlineStr">
        <is>
          <t>32</t>
        </is>
      </c>
      <c r="F14" s="280" t="n">
        <v>38896</v>
      </c>
      <c r="G14" s="278" t="inlineStr">
        <is>
          <t>Not Ready</t>
        </is>
      </c>
      <c r="H14" s="281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37">
      <c r="A15" s="278" t="n">
        <v>12</v>
      </c>
      <c r="B15" s="278" t="n">
        <v>6530</v>
      </c>
      <c r="C15" s="279" t="inlineStr">
        <is>
          <t>Adore</t>
        </is>
      </c>
      <c r="D15" s="279" t="inlineStr">
        <is>
          <t>V- HC BROWN</t>
        </is>
      </c>
      <c r="E15" s="278" t="inlineStr">
        <is>
          <t>35</t>
        </is>
      </c>
      <c r="F15" s="280" t="n">
        <v>15000</v>
      </c>
      <c r="G15" s="278" t="inlineStr">
        <is>
          <t>Not Ready</t>
        </is>
      </c>
      <c r="H15" s="281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37">
      <c r="A16" s="278" t="n">
        <v>13</v>
      </c>
      <c r="B16" s="278" t="n">
        <v>5782</v>
      </c>
      <c r="C16" s="279" t="inlineStr">
        <is>
          <t>Mega Grey</t>
        </is>
      </c>
      <c r="D16" s="279" t="inlineStr">
        <is>
          <t>M.G</t>
        </is>
      </c>
      <c r="E16" s="278" t="inlineStr">
        <is>
          <t>32</t>
        </is>
      </c>
      <c r="F16" s="280" t="n">
        <v>10500</v>
      </c>
      <c r="G16" s="278" t="inlineStr">
        <is>
          <t>Not Ready</t>
        </is>
      </c>
      <c r="H16" s="281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37">
      <c r="A17" s="278" t="n">
        <v>14</v>
      </c>
      <c r="B17" s="278" t="n">
        <v>6624</v>
      </c>
      <c r="C17" s="279" t="inlineStr">
        <is>
          <t>Samsol International Private Limited</t>
        </is>
      </c>
      <c r="D17" s="279" t="inlineStr">
        <is>
          <t>S-45 DIA 19MM</t>
        </is>
      </c>
      <c r="E17" s="278" t="inlineStr">
        <is>
          <t>19</t>
        </is>
      </c>
      <c r="F17" s="280" t="n">
        <v>15288</v>
      </c>
      <c r="G17" s="278" t="inlineStr">
        <is>
          <t>Not Ready</t>
        </is>
      </c>
      <c r="H17" s="281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37">
      <c r="A18" s="278" t="n">
        <v>15</v>
      </c>
      <c r="B18" s="278" t="n">
        <v>5731</v>
      </c>
      <c r="C18" s="279" t="inlineStr">
        <is>
          <t>Samsol International Private Limited</t>
        </is>
      </c>
      <c r="D18" s="279" t="inlineStr">
        <is>
          <t>SAMSOL HAIR COLOR 45 DIA 20.5 MM</t>
        </is>
      </c>
      <c r="E18" s="278" t="inlineStr">
        <is>
          <t>20.5</t>
        </is>
      </c>
      <c r="F18" s="280" t="n">
        <v>37030</v>
      </c>
      <c r="G18" s="278" t="inlineStr">
        <is>
          <t>Not Ready</t>
        </is>
      </c>
      <c r="H18" s="281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37">
      <c r="A19" s="282" t="n"/>
      <c r="B19" s="282" t="n"/>
      <c r="C19" s="283" t="n"/>
      <c r="D19" s="283" t="n"/>
      <c r="E19" s="282" t="n"/>
      <c r="F19" s="284" t="n"/>
      <c r="G19" s="282" t="n"/>
      <c r="H19" s="285" t="n"/>
      <c r="I19" s="95">
        <f>IFERROR(SUMPRODUCT((TableBOM[Product ID]=B19)*(TableBOM[Material Category]="CAP")*TableBOM[Item ID]),0)</f>
        <v/>
      </c>
    </row>
    <row r="20" ht="15" customHeight="1" s="237">
      <c r="A20" s="282" t="n"/>
      <c r="B20" s="282" t="n"/>
      <c r="C20" s="283" t="n"/>
      <c r="D20" s="283" t="n"/>
      <c r="E20" s="282" t="n"/>
      <c r="F20" s="284" t="n"/>
      <c r="G20" s="282" t="n"/>
      <c r="H20" s="285" t="n"/>
      <c r="I20" s="95">
        <f>IFERROR(SUMPRODUCT((TableBOM[Product ID]=B20)*(TableBOM[Material Category]="CAP")*TableBOM[Item ID]),0)</f>
        <v/>
      </c>
    </row>
    <row r="21" ht="15" customHeight="1" s="237">
      <c r="A21" s="282" t="n"/>
      <c r="B21" s="282" t="n"/>
      <c r="C21" s="283" t="n"/>
      <c r="D21" s="283" t="n"/>
      <c r="E21" s="282" t="n"/>
      <c r="F21" s="284" t="n"/>
      <c r="G21" s="282" t="n"/>
      <c r="H21" s="285" t="n"/>
      <c r="I21" s="95">
        <f>IFERROR(SUMPRODUCT((TableBOM[Product ID]=B21)*(TableBOM[Material Category]="CAP")*TableBOM[Item ID]),0)</f>
        <v/>
      </c>
    </row>
    <row r="22" ht="15" customHeight="1" s="237">
      <c r="A22" s="282" t="n"/>
      <c r="B22" s="282" t="n"/>
      <c r="C22" s="283" t="n"/>
      <c r="D22" s="283" t="n"/>
      <c r="E22" s="282" t="n"/>
      <c r="F22" s="284" t="n"/>
      <c r="G22" s="282" t="n"/>
      <c r="H22" s="285" t="n"/>
      <c r="I22" s="95">
        <f>IFERROR(SUMPRODUCT((TableBOM[Product ID]=B22)*(TableBOM[Material Category]="CAP")*TableBOM[Item ID]),0)</f>
        <v/>
      </c>
    </row>
    <row r="23" ht="15" customHeight="1" s="237">
      <c r="A23" s="282" t="n"/>
      <c r="B23" s="282" t="n"/>
      <c r="C23" s="283" t="n"/>
      <c r="D23" s="283" t="n"/>
      <c r="E23" s="282" t="n"/>
      <c r="F23" s="284" t="n"/>
      <c r="G23" s="282" t="n"/>
      <c r="H23" s="285" t="n"/>
      <c r="I23" s="95">
        <f>IFERROR(SUMPRODUCT((TableBOM[Product ID]=B23)*(TableBOM[Material Category]="CAP")*TableBOM[Item ID]),0)</f>
        <v/>
      </c>
    </row>
    <row r="24" ht="15" customHeight="1" s="237">
      <c r="A24" s="282" t="n"/>
      <c r="B24" s="282" t="n"/>
      <c r="C24" s="283" t="n"/>
      <c r="D24" s="283" t="n"/>
      <c r="E24" s="282" t="n"/>
      <c r="F24" s="284" t="n"/>
      <c r="G24" s="282" t="n"/>
      <c r="H24" s="285" t="n"/>
      <c r="I24" s="95">
        <f>IFERROR(SUMPRODUCT((TableBOM[Product ID]=B24)*(TableBOM[Material Category]="CAP")*TableBOM[Item ID]),0)</f>
        <v/>
      </c>
    </row>
    <row r="25" ht="15" customHeight="1" s="237">
      <c r="A25" s="282" t="n"/>
      <c r="B25" s="282" t="n"/>
      <c r="C25" s="283" t="n"/>
      <c r="D25" s="283" t="n"/>
      <c r="E25" s="282" t="n"/>
      <c r="F25" s="284" t="n"/>
      <c r="G25" s="282" t="n"/>
      <c r="H25" s="285" t="n"/>
      <c r="I25" s="95">
        <f>IFERROR(SUMPRODUCT((TableBOM[Product ID]=B25)*(TableBOM[Material Category]="CAP")*TableBOM[Item ID]),0)</f>
        <v/>
      </c>
    </row>
    <row r="26" ht="15" customHeight="1" s="237">
      <c r="A26" s="282" t="n"/>
      <c r="B26" s="282" t="n"/>
      <c r="C26" s="283" t="n"/>
      <c r="D26" s="283" t="n"/>
      <c r="E26" s="282" t="n"/>
      <c r="F26" s="284" t="n"/>
      <c r="G26" s="282" t="n"/>
      <c r="H26" s="285" t="n"/>
      <c r="I26" s="95">
        <f>IFERROR(SUMPRODUCT((TableBOM[Product ID]=B26)*(TableBOM[Material Category]="CAP")*TableBOM[Item ID]),0)</f>
        <v/>
      </c>
    </row>
    <row r="27" ht="15" customHeight="1" s="237">
      <c r="A27" s="282" t="n"/>
      <c r="B27" s="282" t="n"/>
      <c r="C27" s="283" t="n"/>
      <c r="D27" s="283" t="n"/>
      <c r="E27" s="282" t="n"/>
      <c r="F27" s="284" t="n"/>
      <c r="G27" s="282" t="n"/>
      <c r="H27" s="285" t="n"/>
      <c r="I27" s="96">
        <f>IFERROR(SUMPRODUCT((TableBOM[Product ID]=B27)*(TableBOM[Material Category]="CAP")*TableBOM[Item ID]),0)</f>
        <v/>
      </c>
    </row>
    <row r="28" ht="15" customHeight="1" s="237">
      <c r="A28" s="286" t="n"/>
      <c r="B28" s="286" t="n"/>
      <c r="C28" s="286" t="n"/>
      <c r="D28" s="286" t="n"/>
      <c r="E28" s="286" t="n"/>
      <c r="F28" s="286" t="n"/>
      <c r="G28" s="286" t="n"/>
      <c r="H28" s="286" t="n"/>
      <c r="I28" s="97">
        <f>IFERROR(SUMPRODUCT((TableBOM[Product ID]=B28)*(TableBOM[Material Category]="CAP")*TableBOM[Item ID]),0)</f>
        <v/>
      </c>
    </row>
    <row r="29" ht="15" customHeight="1" s="237">
      <c r="A29" s="286" t="n"/>
      <c r="B29" s="286" t="n"/>
      <c r="C29" s="286" t="n"/>
      <c r="D29" s="286" t="n"/>
      <c r="E29" s="286" t="n"/>
      <c r="F29" s="286" t="n"/>
      <c r="G29" s="286" t="n"/>
      <c r="H29" s="286" t="n"/>
      <c r="I29" s="97">
        <f>IFERROR(SUMPRODUCT((TableBOM[Product ID]=B29)*(TableBOM[Material Category]="CAP")*TableBOM[Item ID]),0)</f>
        <v/>
      </c>
    </row>
    <row r="30" ht="15" customHeight="1" s="237">
      <c r="A30" s="286" t="n"/>
      <c r="B30" s="286" t="n"/>
      <c r="C30" s="286" t="n"/>
      <c r="D30" s="286" t="n"/>
      <c r="E30" s="286" t="n"/>
      <c r="F30" s="286" t="n"/>
      <c r="G30" s="286" t="n"/>
      <c r="H30" s="286" t="n"/>
      <c r="I30" s="97">
        <f>IFERROR(SUMPRODUCT((TableBOM[Product ID]=B30)*(TableBOM[Material Category]="CAP")*TableBOM[Item ID]),0)</f>
        <v/>
      </c>
    </row>
    <row r="31" ht="15" customHeight="1" s="237">
      <c r="A31" s="286" t="n"/>
      <c r="B31" s="286" t="n"/>
      <c r="C31" s="286" t="n"/>
      <c r="D31" s="286" t="n"/>
      <c r="E31" s="286" t="n"/>
      <c r="F31" s="286" t="n"/>
      <c r="G31" s="286" t="n"/>
      <c r="H31" s="286" t="n"/>
      <c r="I31" s="97">
        <f>IFERROR(SUMPRODUCT((TableBOM[Product ID]=B31)*(TableBOM[Material Category]="CAP")*TableBOM[Item ID]),0)</f>
        <v/>
      </c>
    </row>
    <row r="32" ht="15" customHeight="1" s="237">
      <c r="A32" s="286" t="n"/>
      <c r="B32" s="286" t="n"/>
      <c r="C32" s="286" t="n"/>
      <c r="D32" s="286" t="n"/>
      <c r="E32" s="286" t="n"/>
      <c r="F32" s="286" t="n"/>
      <c r="G32" s="286" t="n"/>
      <c r="H32" s="286" t="n"/>
      <c r="I32" s="97">
        <f>IFERROR(SUMPRODUCT((TableBOM[Product ID]=B32)*(TableBOM[Material Category]="CAP")*TableBOM[Item ID]),0)</f>
        <v/>
      </c>
    </row>
    <row r="33" ht="15" customHeight="1" s="237">
      <c r="A33" s="286" t="n"/>
      <c r="B33" s="286" t="n"/>
      <c r="C33" s="286" t="n"/>
      <c r="D33" s="286" t="n"/>
      <c r="E33" s="286" t="n"/>
      <c r="F33" s="286" t="n"/>
      <c r="G33" s="286" t="n"/>
      <c r="H33" s="286" t="n"/>
      <c r="I33" s="97">
        <f>IFERROR(SUMPRODUCT((TableBOM[Product ID]=B33)*(TableBOM[Material Category]="CAP")*TableBOM[Item ID]),0)</f>
        <v/>
      </c>
    </row>
    <row r="34" ht="15" customHeight="1" s="237">
      <c r="A34" s="286" t="n"/>
      <c r="B34" s="286" t="n"/>
      <c r="C34" s="286" t="n"/>
      <c r="D34" s="286" t="n"/>
      <c r="E34" s="286" t="n"/>
      <c r="F34" s="286" t="n"/>
      <c r="G34" s="286" t="n"/>
      <c r="H34" s="286" t="n"/>
      <c r="I34" s="97">
        <f>IFERROR(SUMPRODUCT((TableBOM[Product ID]=B34)*(TableBOM[Material Category]="CAP")*TableBOM[Item ID]),0)</f>
        <v/>
      </c>
    </row>
    <row r="35" ht="15" customHeight="1" s="237">
      <c r="A35" s="286" t="n"/>
      <c r="B35" s="286" t="n"/>
      <c r="C35" s="286" t="n"/>
      <c r="D35" s="286" t="n"/>
      <c r="E35" s="286" t="n"/>
      <c r="F35" s="286" t="n"/>
      <c r="G35" s="286" t="n"/>
      <c r="H35" s="286" t="n"/>
      <c r="I35" s="97">
        <f>IFERROR(SUMPRODUCT((TableBOM[Product ID]=B35)*(TableBOM[Material Category]="CAP")*TableBOM[Item ID]),0)</f>
        <v/>
      </c>
    </row>
    <row r="36" ht="15" customHeight="1" s="237">
      <c r="A36" s="286" t="n"/>
      <c r="B36" s="286" t="n"/>
      <c r="C36" s="286" t="n"/>
      <c r="D36" s="286" t="n"/>
      <c r="E36" s="286" t="n"/>
      <c r="F36" s="286" t="n"/>
      <c r="G36" s="286" t="n"/>
      <c r="H36" s="286" t="n"/>
      <c r="I36" s="97">
        <f>IFERROR(SUMPRODUCT((TableBOM[Product ID]=B36)*(TableBOM[Material Category]="CAP")*TableBOM[Item ID]),0)</f>
        <v/>
      </c>
    </row>
    <row r="37" ht="15" customHeight="1" s="237">
      <c r="A37" s="286" t="n"/>
      <c r="B37" s="286" t="n"/>
      <c r="C37" s="286" t="n"/>
      <c r="D37" s="286" t="n"/>
      <c r="E37" s="286" t="n"/>
      <c r="F37" s="286" t="n"/>
      <c r="G37" s="286" t="n"/>
      <c r="H37" s="286" t="n"/>
      <c r="I37" s="97">
        <f>IFERROR(SUMPRODUCT((TableBOM[Product ID]=B37)*(TableBOM[Material Category]="CAP")*TableBOM[Item ID]),0)</f>
        <v/>
      </c>
    </row>
    <row r="38" ht="15" customHeight="1" s="237">
      <c r="A38" s="286" t="n"/>
      <c r="B38" s="286" t="n"/>
      <c r="C38" s="286" t="n"/>
      <c r="D38" s="286" t="n"/>
      <c r="E38" s="286" t="n"/>
      <c r="F38" s="286" t="n"/>
      <c r="G38" s="286" t="n"/>
      <c r="H38" s="286" t="n"/>
      <c r="I38" s="97">
        <f>IFERROR(SUMPRODUCT((TableBOM[Product ID]=B38)*(TableBOM[Material Category]="CAP")*TableBOM[Item ID]),0)</f>
        <v/>
      </c>
    </row>
    <row r="39" ht="15" customHeight="1" s="237">
      <c r="A39" s="286" t="n"/>
      <c r="B39" s="286" t="n"/>
      <c r="C39" s="286" t="n"/>
      <c r="D39" s="286" t="n"/>
      <c r="E39" s="286" t="n"/>
      <c r="F39" s="286" t="n"/>
      <c r="G39" s="286" t="n"/>
      <c r="H39" s="286" t="n"/>
      <c r="I39" s="97">
        <f>IFERROR(SUMPRODUCT((TableBOM[Product ID]=B39)*(TableBOM[Material Category]="CAP")*TableBOM[Item ID]),0)</f>
        <v/>
      </c>
    </row>
    <row r="40" ht="15" customHeight="1" s="237">
      <c r="A40" s="286" t="n"/>
      <c r="B40" s="286" t="n"/>
      <c r="C40" s="286" t="n"/>
      <c r="D40" s="286" t="n"/>
      <c r="E40" s="286" t="n"/>
      <c r="F40" s="286" t="n"/>
      <c r="G40" s="286" t="n"/>
      <c r="H40" s="286" t="n"/>
      <c r="I40" s="97">
        <f>IFERROR(SUMPRODUCT((TableBOM[Product ID]=B40)*(TableBOM[Material Category]="CAP")*TableBOM[Item ID]),0)</f>
        <v/>
      </c>
    </row>
    <row r="41" ht="15" customHeight="1" s="237">
      <c r="A41" s="286" t="n"/>
      <c r="B41" s="286" t="n"/>
      <c r="C41" s="286" t="n"/>
      <c r="D41" s="286" t="n"/>
      <c r="E41" s="286" t="n"/>
      <c r="F41" s="286" t="n"/>
      <c r="G41" s="286" t="n"/>
      <c r="H41" s="286" t="n"/>
      <c r="I41" s="97">
        <f>IFERROR(SUMPRODUCT((TableBOM[Product ID]=B41)*(TableBOM[Material Category]="CAP")*TableBOM[Item ID]),0)</f>
        <v/>
      </c>
    </row>
    <row r="42" ht="15" customHeight="1" s="237">
      <c r="A42" s="286" t="n"/>
      <c r="B42" s="286" t="n"/>
      <c r="C42" s="286" t="n"/>
      <c r="D42" s="286" t="n"/>
      <c r="E42" s="286" t="n"/>
      <c r="F42" s="286" t="n"/>
      <c r="G42" s="286" t="n"/>
      <c r="H42" s="286" t="n"/>
      <c r="I42" s="97">
        <f>IFERROR(SUMPRODUCT((TableBOM[Product ID]=B42)*(TableBOM[Material Category]="CAP")*TableBOM[Item ID]),0)</f>
        <v/>
      </c>
    </row>
    <row r="43" ht="15" customHeight="1" s="237">
      <c r="A43" s="286" t="n"/>
      <c r="B43" s="286" t="n"/>
      <c r="C43" s="286" t="n"/>
      <c r="D43" s="286" t="n"/>
      <c r="E43" s="286" t="n"/>
      <c r="F43" s="286" t="n"/>
      <c r="G43" s="286" t="n"/>
      <c r="H43" s="286" t="n"/>
      <c r="I43" s="97">
        <f>IFERROR(SUMPRODUCT((TableBOM[Product ID]=B43)*(TableBOM[Material Category]="CAP")*TableBOM[Item ID]),0)</f>
        <v/>
      </c>
    </row>
    <row r="44" ht="15" customHeight="1" s="237">
      <c r="A44" s="286" t="n"/>
      <c r="B44" s="286" t="n"/>
      <c r="C44" s="286" t="n"/>
      <c r="D44" s="286" t="n"/>
      <c r="E44" s="286" t="n"/>
      <c r="F44" s="286" t="n"/>
      <c r="G44" s="286" t="n"/>
      <c r="H44" s="286" t="n"/>
      <c r="I44" s="97">
        <f>IFERROR(SUMPRODUCT((TableBOM[Product ID]=B44)*(TableBOM[Material Category]="CAP")*TableBOM[Item ID]),0)</f>
        <v/>
      </c>
    </row>
    <row r="45" ht="15" customHeight="1" s="237">
      <c r="A45" s="286" t="n"/>
      <c r="B45" s="286" t="n"/>
      <c r="C45" s="286" t="n"/>
      <c r="D45" s="286" t="n"/>
      <c r="E45" s="286" t="n"/>
      <c r="F45" s="286" t="n"/>
      <c r="G45" s="286" t="n"/>
      <c r="H45" s="286" t="n"/>
      <c r="I45" s="97">
        <f>IFERROR(SUMPRODUCT((TableBOM[Product ID]=B45)*(TableBOM[Material Category]="CAP")*TableBOM[Item ID]),0)</f>
        <v/>
      </c>
    </row>
    <row r="46" ht="15" customHeight="1" s="237">
      <c r="A46" s="286" t="n"/>
      <c r="B46" s="286" t="n"/>
      <c r="C46" s="286" t="n"/>
      <c r="D46" s="286" t="n"/>
      <c r="E46" s="286" t="n"/>
      <c r="F46" s="286" t="n"/>
      <c r="G46" s="286" t="n"/>
      <c r="H46" s="286" t="n"/>
      <c r="I46" s="97">
        <f>IFERROR(SUMPRODUCT((TableBOM[Product ID]=B46)*(TableBOM[Material Category]="CAP")*TableBOM[Item ID]),0)</f>
        <v/>
      </c>
    </row>
    <row r="47" ht="15" customHeight="1" s="237">
      <c r="A47" s="286" t="n"/>
      <c r="B47" s="286" t="n"/>
      <c r="C47" s="286" t="n"/>
      <c r="D47" s="286" t="n"/>
      <c r="E47" s="286" t="n"/>
      <c r="F47" s="286" t="n"/>
      <c r="G47" s="286" t="n"/>
      <c r="H47" s="286" t="n"/>
      <c r="I47" s="97">
        <f>IFERROR(SUMPRODUCT((TableBOM[Product ID]=B47)*(TableBOM[Material Category]="CAP")*TableBOM[Item ID]),0)</f>
        <v/>
      </c>
    </row>
    <row r="48" ht="15" customHeight="1" s="237">
      <c r="A48" s="286" t="n"/>
      <c r="B48" s="286" t="n"/>
      <c r="C48" s="286" t="n"/>
      <c r="D48" s="286" t="n"/>
      <c r="E48" s="286" t="n"/>
      <c r="F48" s="286" t="n"/>
      <c r="G48" s="286" t="n"/>
      <c r="H48" s="286" t="n"/>
      <c r="I48" s="97">
        <f>IFERROR(SUMPRODUCT((TableBOM[Product ID]=B48)*(TableBOM[Material Category]="CAP")*TableBOM[Item ID]),0)</f>
        <v/>
      </c>
    </row>
    <row r="49" ht="15" customHeight="1" s="237">
      <c r="A49" s="286" t="n"/>
      <c r="B49" s="286" t="n"/>
      <c r="C49" s="286" t="n"/>
      <c r="D49" s="286" t="n"/>
      <c r="E49" s="286" t="n"/>
      <c r="F49" s="286" t="n"/>
      <c r="G49" s="286" t="n"/>
      <c r="H49" s="286" t="n"/>
      <c r="I49" s="97">
        <f>IFERROR(SUMPRODUCT((TableBOM[Product ID]=B49)*(TableBOM[Material Category]="CAP")*TableBOM[Item ID]),0)</f>
        <v/>
      </c>
    </row>
    <row r="50" ht="15" customHeight="1" s="237">
      <c r="A50" s="286" t="n"/>
      <c r="B50" s="286" t="n"/>
      <c r="C50" s="286" t="n"/>
      <c r="D50" s="286" t="n"/>
      <c r="E50" s="286" t="n"/>
      <c r="F50" s="286" t="n"/>
      <c r="G50" s="286" t="n"/>
      <c r="H50" s="286" t="n"/>
      <c r="I50" s="97">
        <f>IFERROR(SUMPRODUCT((TableBOM[Product ID]=B50)*(TableBOM[Material Category]="CAP")*TableBOM[Item ID]),0)</f>
        <v/>
      </c>
    </row>
    <row r="51" ht="15" customHeight="1" s="237">
      <c r="A51" s="286" t="n"/>
      <c r="B51" s="286" t="n"/>
      <c r="C51" s="286" t="n"/>
      <c r="D51" s="286" t="n"/>
      <c r="E51" s="286" t="n"/>
      <c r="F51" s="286" t="n"/>
      <c r="G51" s="286" t="n"/>
      <c r="H51" s="286" t="n"/>
      <c r="I51" s="97">
        <f>IFERROR(SUMPRODUCT((TableBOM[Product ID]=B51)*(TableBOM[Material Category]="CAP")*TableBOM[Item ID]),0)</f>
        <v/>
      </c>
    </row>
    <row r="52" ht="15" customHeight="1" s="237">
      <c r="A52" s="286" t="n"/>
      <c r="B52" s="286" t="n"/>
      <c r="C52" s="286" t="n"/>
      <c r="D52" s="286" t="n"/>
      <c r="E52" s="286" t="n"/>
      <c r="F52" s="286" t="n"/>
      <c r="G52" s="286" t="n"/>
      <c r="H52" s="286" t="n"/>
      <c r="I52" s="97">
        <f>IFERROR(SUMPRODUCT((TableBOM[Product ID]=B52)*(TableBOM[Material Category]="CAP")*TableBOM[Item ID]),0)</f>
        <v/>
      </c>
    </row>
    <row r="53" ht="15" customHeight="1" s="237">
      <c r="A53" s="286" t="n"/>
      <c r="B53" s="286" t="n"/>
      <c r="C53" s="286" t="n"/>
      <c r="D53" s="286" t="n"/>
      <c r="E53" s="286" t="n"/>
      <c r="F53" s="286" t="n"/>
      <c r="G53" s="286" t="n"/>
      <c r="H53" s="286" t="n"/>
      <c r="I53" s="97">
        <f>IFERROR(SUMPRODUCT((TableBOM[Product ID]=B53)*(TableBOM[Material Category]="CAP")*TableBOM[Item ID]),0)</f>
        <v/>
      </c>
    </row>
    <row r="54" ht="15" customHeight="1" s="237">
      <c r="A54" s="286" t="n"/>
      <c r="B54" s="286" t="n"/>
      <c r="C54" s="286" t="n"/>
      <c r="D54" s="286" t="n"/>
      <c r="E54" s="286" t="n"/>
      <c r="F54" s="286" t="n"/>
      <c r="G54" s="286" t="n"/>
      <c r="H54" s="286" t="n"/>
      <c r="I54" s="97">
        <f>IFERROR(SUMPRODUCT((TableBOM[Product ID]=B54)*(TableBOM[Material Category]="CAP")*TableBOM[Item ID]),0)</f>
        <v/>
      </c>
    </row>
    <row r="55" ht="15" customHeight="1" s="237">
      <c r="A55" s="286" t="n"/>
      <c r="B55" s="286" t="n"/>
      <c r="C55" s="286" t="n"/>
      <c r="D55" s="286" t="n"/>
      <c r="E55" s="286" t="n"/>
      <c r="F55" s="286" t="n"/>
      <c r="G55" s="286" t="n"/>
      <c r="H55" s="286" t="n"/>
      <c r="I55" s="97">
        <f>IFERROR(SUMPRODUCT((TableBOM[Product ID]=B55)*(TableBOM[Material Category]="CAP")*TableBOM[Item ID]),0)</f>
        <v/>
      </c>
    </row>
    <row r="56" ht="15" customHeight="1" s="237">
      <c r="A56" s="286" t="n"/>
      <c r="B56" s="286" t="n"/>
      <c r="C56" s="286" t="n"/>
      <c r="D56" s="286" t="n"/>
      <c r="E56" s="286" t="n"/>
      <c r="F56" s="286" t="n"/>
      <c r="G56" s="286" t="n"/>
      <c r="H56" s="286" t="n"/>
      <c r="I56" s="97">
        <f>IFERROR(SUMPRODUCT((TableBOM[Product ID]=B56)*(TableBOM[Material Category]="CAP")*TableBOM[Item ID]),0)</f>
        <v/>
      </c>
    </row>
    <row r="57" ht="15" customHeight="1" s="237">
      <c r="A57" s="286" t="n"/>
      <c r="B57" s="286" t="n"/>
      <c r="C57" s="286" t="n"/>
      <c r="D57" s="286" t="n"/>
      <c r="E57" s="286" t="n"/>
      <c r="F57" s="286" t="n"/>
      <c r="G57" s="286" t="n"/>
      <c r="H57" s="286" t="n"/>
      <c r="I57" s="97">
        <f>IFERROR(SUMPRODUCT((TableBOM[Product ID]=B57)*(TableBOM[Material Category]="CAP")*TableBOM[Item ID]),0)</f>
        <v/>
      </c>
    </row>
    <row r="58" ht="15" customHeight="1" s="237">
      <c r="A58" s="286" t="n"/>
      <c r="B58" s="286" t="n"/>
      <c r="C58" s="286" t="n"/>
      <c r="D58" s="286" t="n"/>
      <c r="E58" s="286" t="n"/>
      <c r="F58" s="286" t="n"/>
      <c r="G58" s="286" t="n"/>
      <c r="H58" s="286" t="n"/>
      <c r="I58" s="97">
        <f>IFERROR(SUMPRODUCT((TableBOM[Product ID]=B58)*(TableBOM[Material Category]="CAP")*TableBOM[Item ID]),0)</f>
        <v/>
      </c>
    </row>
    <row r="59" ht="15" customHeight="1" s="237">
      <c r="A59" s="286" t="n"/>
      <c r="B59" s="286" t="n"/>
      <c r="C59" s="286" t="n"/>
      <c r="D59" s="286" t="n"/>
      <c r="E59" s="286" t="n"/>
      <c r="F59" s="286" t="n"/>
      <c r="G59" s="286" t="n"/>
      <c r="H59" s="286" t="n"/>
      <c r="I59" s="97">
        <f>IFERROR(SUMPRODUCT((TableBOM[Product ID]=B59)*(TableBOM[Material Category]="CAP")*TableBOM[Item ID]),0)</f>
        <v/>
      </c>
    </row>
    <row r="60" ht="15" customHeight="1" s="237">
      <c r="A60" s="286" t="n"/>
      <c r="B60" s="286" t="n"/>
      <c r="C60" s="286" t="n"/>
      <c r="D60" s="286" t="n"/>
      <c r="E60" s="286" t="n"/>
      <c r="F60" s="286" t="n"/>
      <c r="G60" s="286" t="n"/>
      <c r="H60" s="286" t="n"/>
      <c r="I60" s="97">
        <f>IFERROR(SUMPRODUCT((TableBOM[Product ID]=B60)*(TableBOM[Material Category]="CAP")*TableBOM[Item ID]),0)</f>
        <v/>
      </c>
    </row>
    <row r="61" ht="15" customHeight="1" s="237">
      <c r="A61" s="286" t="n"/>
      <c r="B61" s="286" t="n"/>
      <c r="C61" s="286" t="n"/>
      <c r="D61" s="286" t="n"/>
      <c r="E61" s="286" t="n"/>
      <c r="F61" s="286" t="n"/>
      <c r="G61" s="286" t="n"/>
      <c r="H61" s="286" t="n"/>
      <c r="I61" s="97">
        <f>IFERROR(SUMPRODUCT((TableBOM[Product ID]=B61)*(TableBOM[Material Category]="CAP")*TableBOM[Item ID]),0)</f>
        <v/>
      </c>
    </row>
    <row r="62" ht="15" customHeight="1" s="237">
      <c r="A62" s="286" t="n"/>
      <c r="B62" s="286" t="n"/>
      <c r="C62" s="286" t="n"/>
      <c r="D62" s="286" t="n"/>
      <c r="E62" s="286" t="n"/>
      <c r="F62" s="286" t="n"/>
      <c r="G62" s="286" t="n"/>
      <c r="H62" s="286" t="n"/>
      <c r="I62" s="97">
        <f>IFERROR(SUMPRODUCT((TableBOM[Product ID]=B62)*(TableBOM[Material Category]="CAP")*TableBOM[Item ID]),0)</f>
        <v/>
      </c>
    </row>
    <row r="63" ht="15" customHeight="1" s="237">
      <c r="A63" s="286" t="n"/>
      <c r="B63" s="286" t="n"/>
      <c r="C63" s="286" t="n"/>
      <c r="D63" s="286" t="n"/>
      <c r="E63" s="286" t="n"/>
      <c r="F63" s="286" t="n"/>
      <c r="G63" s="286" t="n"/>
      <c r="H63" s="286" t="n"/>
      <c r="I63" s="97">
        <f>IFERROR(SUMPRODUCT((TableBOM[Product ID]=B63)*(TableBOM[Material Category]="CAP")*TableBOM[Item ID]),0)</f>
        <v/>
      </c>
    </row>
    <row r="64" ht="15" customHeight="1" s="237">
      <c r="A64" s="286" t="n"/>
      <c r="B64" s="286" t="n"/>
      <c r="C64" s="286" t="n"/>
      <c r="D64" s="286" t="n"/>
      <c r="E64" s="286" t="n"/>
      <c r="F64" s="286" t="n"/>
      <c r="G64" s="286" t="n"/>
      <c r="H64" s="286" t="n"/>
      <c r="I64" s="97">
        <f>IFERROR(SUMPRODUCT((TableBOM[Product ID]=B64)*(TableBOM[Material Category]="CAP")*TableBOM[Item ID]),0)</f>
        <v/>
      </c>
    </row>
    <row r="65" ht="15" customHeight="1" s="237">
      <c r="A65" s="286" t="n"/>
      <c r="B65" s="286" t="n"/>
      <c r="C65" s="286" t="n"/>
      <c r="D65" s="286" t="n"/>
      <c r="E65" s="286" t="n"/>
      <c r="F65" s="286" t="n"/>
      <c r="G65" s="286" t="n"/>
      <c r="H65" s="286" t="n"/>
      <c r="I65" s="97">
        <f>IFERROR(SUMPRODUCT((TableBOM[Product ID]=B65)*(TableBOM[Material Category]="CAP")*TableBOM[Item ID]),0)</f>
        <v/>
      </c>
    </row>
    <row r="66" ht="15" customHeight="1" s="237">
      <c r="A66" s="286" t="n"/>
      <c r="B66" s="286" t="n"/>
      <c r="C66" s="286" t="n"/>
      <c r="D66" s="286" t="n"/>
      <c r="E66" s="286" t="n"/>
      <c r="F66" s="286" t="n"/>
      <c r="G66" s="286" t="n"/>
      <c r="H66" s="286" t="n"/>
      <c r="I66" s="97">
        <f>IFERROR(SUMPRODUCT((TableBOM[Product ID]=B66)*(TableBOM[Material Category]="CAP")*TableBOM[Item ID]),0)</f>
        <v/>
      </c>
    </row>
    <row r="67" ht="15" customHeight="1" s="237">
      <c r="A67" s="286" t="n"/>
      <c r="B67" s="286" t="n"/>
      <c r="C67" s="286" t="n"/>
      <c r="D67" s="286" t="n"/>
      <c r="E67" s="286" t="n"/>
      <c r="F67" s="286" t="n"/>
      <c r="G67" s="286" t="n"/>
      <c r="H67" s="286" t="n"/>
      <c r="I67" s="97">
        <f>IFERROR(SUMPRODUCT((TableBOM[Product ID]=B67)*(TableBOM[Material Category]="CAP")*TableBOM[Item ID]),0)</f>
        <v/>
      </c>
    </row>
    <row r="68" ht="15" customHeight="1" s="237">
      <c r="A68" s="286" t="n"/>
      <c r="B68" s="286" t="n"/>
      <c r="C68" s="286" t="n"/>
      <c r="D68" s="286" t="n"/>
      <c r="E68" s="286" t="n"/>
      <c r="F68" s="286" t="n"/>
      <c r="G68" s="286" t="n"/>
      <c r="H68" s="286" t="n"/>
      <c r="I68" s="97">
        <f>IFERROR(SUMPRODUCT((TableBOM[Product ID]=B68)*(TableBOM[Material Category]="CAP")*TableBOM[Item ID]),0)</f>
        <v/>
      </c>
    </row>
    <row r="69" ht="15" customHeight="1" s="237">
      <c r="A69" s="286" t="n"/>
      <c r="B69" s="286" t="n"/>
      <c r="C69" s="286" t="n"/>
      <c r="D69" s="286" t="n"/>
      <c r="E69" s="286" t="n"/>
      <c r="F69" s="286" t="n"/>
      <c r="G69" s="286" t="n"/>
      <c r="H69" s="286" t="n"/>
      <c r="I69" s="97">
        <f>IFERROR(SUMPRODUCT((TableBOM[Product ID]=B69)*(TableBOM[Material Category]="CAP")*TableBOM[Item ID]),0)</f>
        <v/>
      </c>
    </row>
    <row r="70" ht="15" customHeight="1" s="237">
      <c r="A70" s="286" t="n"/>
      <c r="B70" s="286" t="n"/>
      <c r="C70" s="286" t="n"/>
      <c r="D70" s="286" t="n"/>
      <c r="E70" s="286" t="n"/>
      <c r="F70" s="286" t="n"/>
      <c r="G70" s="286" t="n"/>
      <c r="H70" s="286" t="n"/>
      <c r="I70" s="97">
        <f>IFERROR(SUMPRODUCT((TableBOM[Product ID]=B70)*(TableBOM[Material Category]="CAP")*TableBOM[Item ID]),0)</f>
        <v/>
      </c>
    </row>
    <row r="71" ht="15" customHeight="1" s="237">
      <c r="A71" s="286" t="n"/>
      <c r="B71" s="286" t="n"/>
      <c r="C71" s="286" t="n"/>
      <c r="D71" s="286" t="n"/>
      <c r="E71" s="286" t="n"/>
      <c r="F71" s="286" t="n"/>
      <c r="G71" s="286" t="n"/>
      <c r="H71" s="286" t="n"/>
      <c r="I71" s="97">
        <f>IFERROR(SUMPRODUCT((TableBOM[Product ID]=B71)*(TableBOM[Material Category]="CAP")*TableBOM[Item ID]),0)</f>
        <v/>
      </c>
    </row>
    <row r="72" ht="15" customHeight="1" s="237">
      <c r="A72" s="286" t="n"/>
      <c r="B72" s="286" t="n"/>
      <c r="C72" s="286" t="n"/>
      <c r="D72" s="286" t="n"/>
      <c r="E72" s="286" t="n"/>
      <c r="F72" s="286" t="n"/>
      <c r="G72" s="286" t="n"/>
      <c r="H72" s="286" t="n"/>
      <c r="I72" s="97">
        <f>IFERROR(SUMPRODUCT((TableBOM[Product ID]=B72)*(TableBOM[Material Category]="CAP")*TableBOM[Item ID]),0)</f>
        <v/>
      </c>
    </row>
    <row r="73" ht="15" customHeight="1" s="237">
      <c r="A73" s="286" t="n"/>
      <c r="B73" s="286" t="n"/>
      <c r="C73" s="286" t="n"/>
      <c r="D73" s="286" t="n"/>
      <c r="E73" s="286" t="n"/>
      <c r="F73" s="286" t="n"/>
      <c r="G73" s="286" t="n"/>
      <c r="H73" s="286" t="n"/>
      <c r="I73" s="97">
        <f>IFERROR(SUMPRODUCT((TableBOM[Product ID]=B73)*(TableBOM[Material Category]="CAP")*TableBOM[Item ID]),0)</f>
        <v/>
      </c>
    </row>
    <row r="74" ht="15" customHeight="1" s="237">
      <c r="A74" s="286" t="n"/>
      <c r="B74" s="286" t="n"/>
      <c r="C74" s="286" t="n"/>
      <c r="D74" s="286" t="n"/>
      <c r="E74" s="286" t="n"/>
      <c r="F74" s="286" t="n"/>
      <c r="G74" s="286" t="n"/>
      <c r="H74" s="286" t="n"/>
      <c r="I74" s="97">
        <f>IFERROR(SUMPRODUCT((TableBOM[Product ID]=B74)*(TableBOM[Material Category]="CAP")*TableBOM[Item ID]),0)</f>
        <v/>
      </c>
    </row>
    <row r="75" ht="15" customHeight="1" s="237">
      <c r="A75" s="286" t="n"/>
      <c r="B75" s="286" t="n"/>
      <c r="C75" s="286" t="n"/>
      <c r="D75" s="286" t="n"/>
      <c r="E75" s="286" t="n"/>
      <c r="F75" s="286" t="n"/>
      <c r="G75" s="286" t="n"/>
      <c r="H75" s="286" t="n"/>
      <c r="I75" s="97">
        <f>IFERROR(SUMPRODUCT((TableBOM[Product ID]=B75)*(TableBOM[Material Category]="CAP")*TableBOM[Item ID]),0)</f>
        <v/>
      </c>
    </row>
    <row r="76" ht="15" customHeight="1" s="237">
      <c r="A76" s="286" t="n"/>
      <c r="B76" s="286" t="n"/>
      <c r="C76" s="286" t="n"/>
      <c r="D76" s="286" t="n"/>
      <c r="E76" s="286" t="n"/>
      <c r="F76" s="286" t="n"/>
      <c r="G76" s="286" t="n"/>
      <c r="H76" s="286" t="n"/>
      <c r="I76" s="97">
        <f>IFERROR(SUMPRODUCT((TableBOM[Product ID]=B76)*(TableBOM[Material Category]="CAP")*TableBOM[Item ID]),0)</f>
        <v/>
      </c>
    </row>
    <row r="77" ht="15" customHeight="1" s="237">
      <c r="A77" s="286" t="n"/>
      <c r="B77" s="286" t="n"/>
      <c r="C77" s="286" t="n"/>
      <c r="D77" s="286" t="n"/>
      <c r="E77" s="286" t="n"/>
      <c r="F77" s="286" t="n"/>
      <c r="G77" s="286" t="n"/>
      <c r="H77" s="286" t="n"/>
      <c r="I77" s="97">
        <f>IFERROR(SUMPRODUCT((TableBOM[Product ID]=B77)*(TableBOM[Material Category]="CAP")*TableBOM[Item ID]),0)</f>
        <v/>
      </c>
    </row>
    <row r="78" ht="15" customHeight="1" s="237">
      <c r="A78" s="286" t="n"/>
      <c r="B78" s="286" t="n"/>
      <c r="C78" s="286" t="n"/>
      <c r="D78" s="286" t="n"/>
      <c r="E78" s="286" t="n"/>
      <c r="F78" s="286" t="n"/>
      <c r="G78" s="286" t="n"/>
      <c r="H78" s="286" t="n"/>
      <c r="I78" s="97">
        <f>IFERROR(SUMPRODUCT((TableBOM[Product ID]=B78)*(TableBOM[Material Category]="CAP")*TableBOM[Item ID]),0)</f>
        <v/>
      </c>
    </row>
    <row r="79" ht="15" customHeight="1" s="237">
      <c r="A79" s="286" t="n"/>
      <c r="B79" s="286" t="n"/>
      <c r="C79" s="286" t="n"/>
      <c r="D79" s="286" t="n"/>
      <c r="E79" s="286" t="n"/>
      <c r="F79" s="286" t="n"/>
      <c r="G79" s="286" t="n"/>
      <c r="H79" s="286" t="n"/>
      <c r="I79" s="97">
        <f>IFERROR(SUMPRODUCT((TableBOM[Product ID]=B79)*(TableBOM[Material Category]="CAP")*TableBOM[Item ID]),0)</f>
        <v/>
      </c>
    </row>
    <row r="80" ht="15" customHeight="1" s="237">
      <c r="A80" s="286" t="n"/>
      <c r="B80" s="286" t="n"/>
      <c r="C80" s="286" t="n"/>
      <c r="D80" s="286" t="n"/>
      <c r="E80" s="286" t="n"/>
      <c r="F80" s="286" t="n"/>
      <c r="G80" s="286" t="n"/>
      <c r="H80" s="286" t="n"/>
      <c r="I80" s="97">
        <f>IFERROR(SUMPRODUCT((TableBOM[Product ID]=B80)*(TableBOM[Material Category]="CAP")*TableBOM[Item ID]),0)</f>
        <v/>
      </c>
    </row>
    <row r="81" ht="15" customHeight="1" s="237">
      <c r="A81" s="286" t="n"/>
      <c r="B81" s="286" t="n"/>
      <c r="C81" s="286" t="n"/>
      <c r="D81" s="286" t="n"/>
      <c r="E81" s="286" t="n"/>
      <c r="F81" s="286" t="n"/>
      <c r="G81" s="286" t="n"/>
      <c r="H81" s="286" t="n"/>
      <c r="I81" s="97">
        <f>IFERROR(SUMPRODUCT((TableBOM[Product ID]=B81)*(TableBOM[Material Category]="CAP")*TableBOM[Item ID]),0)</f>
        <v/>
      </c>
    </row>
    <row r="82" ht="15" customHeight="1" s="237">
      <c r="A82" s="286" t="n"/>
      <c r="B82" s="286" t="n"/>
      <c r="C82" s="286" t="n"/>
      <c r="D82" s="286" t="n"/>
      <c r="E82" s="286" t="n"/>
      <c r="F82" s="286" t="n"/>
      <c r="G82" s="286" t="n"/>
      <c r="H82" s="286" t="n"/>
      <c r="I82" s="97">
        <f>IFERROR(SUMPRODUCT((TableBOM[Product ID]=B82)*(TableBOM[Material Category]="CAP")*TableBOM[Item ID]),0)</f>
        <v/>
      </c>
    </row>
    <row r="83" ht="15" customHeight="1" s="237">
      <c r="A83" s="286" t="n"/>
      <c r="B83" s="286" t="n"/>
      <c r="C83" s="286" t="n"/>
      <c r="D83" s="286" t="n"/>
      <c r="E83" s="286" t="n"/>
      <c r="F83" s="286" t="n"/>
      <c r="G83" s="286" t="n"/>
      <c r="H83" s="286" t="n"/>
      <c r="I83" s="97">
        <f>IFERROR(SUMPRODUCT((TableBOM[Product ID]=B83)*(TableBOM[Material Category]="CAP")*TableBOM[Item ID]),0)</f>
        <v/>
      </c>
    </row>
    <row r="84" ht="15" customHeight="1" s="237">
      <c r="A84" s="286" t="n"/>
      <c r="B84" s="286" t="n"/>
      <c r="C84" s="286" t="n"/>
      <c r="D84" s="286" t="n"/>
      <c r="E84" s="286" t="n"/>
      <c r="F84" s="286" t="n"/>
      <c r="G84" s="286" t="n"/>
      <c r="H84" s="286" t="n"/>
      <c r="I84" s="97">
        <f>IFERROR(SUMPRODUCT((TableBOM[Product ID]=B84)*(TableBOM[Material Category]="CAP")*TableBOM[Item ID]),0)</f>
        <v/>
      </c>
    </row>
    <row r="85" ht="15" customHeight="1" s="237">
      <c r="A85" s="286" t="n"/>
      <c r="B85" s="286" t="n"/>
      <c r="C85" s="286" t="n"/>
      <c r="D85" s="286" t="n"/>
      <c r="E85" s="286" t="n"/>
      <c r="F85" s="286" t="n"/>
      <c r="G85" s="286" t="n"/>
      <c r="H85" s="286" t="n"/>
      <c r="I85" s="97">
        <f>IFERROR(SUMPRODUCT((TableBOM[Product ID]=B85)*(TableBOM[Material Category]="CAP")*TableBOM[Item ID]),0)</f>
        <v/>
      </c>
    </row>
    <row r="86" ht="15" customHeight="1" s="237">
      <c r="A86" s="286" t="n"/>
      <c r="B86" s="286" t="n"/>
      <c r="C86" s="286" t="n"/>
      <c r="D86" s="286" t="n"/>
      <c r="E86" s="286" t="n"/>
      <c r="F86" s="286" t="n"/>
      <c r="G86" s="286" t="n"/>
      <c r="H86" s="286" t="n"/>
      <c r="I86" s="97">
        <f>IFERROR(SUMPRODUCT((TableBOM[Product ID]=B86)*(TableBOM[Material Category]="CAP")*TableBOM[Item ID]),0)</f>
        <v/>
      </c>
    </row>
    <row r="87" ht="15" customHeight="1" s="237">
      <c r="A87" s="286" t="n"/>
      <c r="B87" s="286" t="n"/>
      <c r="C87" s="286" t="n"/>
      <c r="D87" s="286" t="n"/>
      <c r="E87" s="286" t="n"/>
      <c r="F87" s="286" t="n"/>
      <c r="G87" s="286" t="n"/>
      <c r="H87" s="286" t="n"/>
      <c r="I87" s="97">
        <f>IFERROR(SUMPRODUCT((TableBOM[Product ID]=B87)*(TableBOM[Material Category]="CAP")*TableBOM[Item ID]),0)</f>
        <v/>
      </c>
    </row>
    <row r="88" ht="15" customHeight="1" s="237">
      <c r="A88" s="286" t="n"/>
      <c r="B88" s="286" t="n"/>
      <c r="C88" s="286" t="n"/>
      <c r="D88" s="286" t="n"/>
      <c r="E88" s="286" t="n"/>
      <c r="F88" s="286" t="n"/>
      <c r="G88" s="286" t="n"/>
      <c r="H88" s="286" t="n"/>
      <c r="I88" s="97">
        <f>IFERROR(SUMPRODUCT((TableBOM[Product ID]=B88)*(TableBOM[Material Category]="CAP")*TableBOM[Item ID]),0)</f>
        <v/>
      </c>
    </row>
    <row r="89" ht="15" customHeight="1" s="237">
      <c r="A89" s="286" t="n"/>
      <c r="B89" s="286" t="n"/>
      <c r="C89" s="286" t="n"/>
      <c r="D89" s="286" t="n"/>
      <c r="E89" s="286" t="n"/>
      <c r="F89" s="286" t="n"/>
      <c r="G89" s="286" t="n"/>
      <c r="H89" s="286" t="n"/>
      <c r="I89" s="97">
        <f>IFERROR(SUMPRODUCT((TableBOM[Product ID]=B89)*(TableBOM[Material Category]="CAP")*TableBOM[Item ID]),0)</f>
        <v/>
      </c>
    </row>
    <row r="90" ht="15" customHeight="1" s="237">
      <c r="A90" s="286" t="n"/>
      <c r="B90" s="286" t="n"/>
      <c r="C90" s="286" t="n"/>
      <c r="D90" s="286" t="n"/>
      <c r="E90" s="286" t="n"/>
      <c r="F90" s="286" t="n"/>
      <c r="G90" s="286" t="n"/>
      <c r="H90" s="286" t="n"/>
      <c r="I90" s="97">
        <f>IFERROR(SUMPRODUCT((TableBOM[Product ID]=B90)*(TableBOM[Material Category]="CAP")*TableBOM[Item ID]),0)</f>
        <v/>
      </c>
    </row>
    <row r="91" ht="15" customHeight="1" s="237">
      <c r="A91" s="286" t="n"/>
      <c r="B91" s="286" t="n"/>
      <c r="C91" s="286" t="n"/>
      <c r="D91" s="286" t="n"/>
      <c r="E91" s="286" t="n"/>
      <c r="F91" s="286" t="n"/>
      <c r="G91" s="286" t="n"/>
      <c r="H91" s="286" t="n"/>
      <c r="I91" s="97">
        <f>IFERROR(SUMPRODUCT((TableBOM[Product ID]=B91)*(TableBOM[Material Category]="CAP")*TableBOM[Item ID]),0)</f>
        <v/>
      </c>
    </row>
    <row r="92" ht="15" customHeight="1" s="237">
      <c r="A92" s="286" t="n"/>
      <c r="B92" s="286" t="n"/>
      <c r="C92" s="286" t="n"/>
      <c r="D92" s="286" t="n"/>
      <c r="E92" s="286" t="n"/>
      <c r="F92" s="286" t="n"/>
      <c r="G92" s="286" t="n"/>
      <c r="H92" s="286" t="n"/>
      <c r="I92" s="97">
        <f>IFERROR(SUMPRODUCT((TableBOM[Product ID]=B92)*(TableBOM[Material Category]="CAP")*TableBOM[Item ID]),0)</f>
        <v/>
      </c>
    </row>
    <row r="93" ht="15" customHeight="1" s="237">
      <c r="A93" s="286" t="n"/>
      <c r="B93" s="286" t="n"/>
      <c r="C93" s="286" t="n"/>
      <c r="D93" s="286" t="n"/>
      <c r="E93" s="286" t="n"/>
      <c r="F93" s="286" t="n"/>
      <c r="G93" s="286" t="n"/>
      <c r="H93" s="286" t="n"/>
      <c r="I93" s="97">
        <f>IFERROR(SUMPRODUCT((TableBOM[Product ID]=B93)*(TableBOM[Material Category]="CAP")*TableBOM[Item ID]),0)</f>
        <v/>
      </c>
    </row>
    <row r="94" ht="15" customHeight="1" s="237">
      <c r="A94" s="286" t="n"/>
      <c r="B94" s="286" t="n"/>
      <c r="C94" s="286" t="n"/>
      <c r="D94" s="286" t="n"/>
      <c r="E94" s="286" t="n"/>
      <c r="F94" s="286" t="n"/>
      <c r="G94" s="286" t="n"/>
      <c r="H94" s="286" t="n"/>
      <c r="I94" s="97">
        <f>IFERROR(SUMPRODUCT((TableBOM[Product ID]=B94)*(TableBOM[Material Category]="CAP")*TableBOM[Item ID]),0)</f>
        <v/>
      </c>
    </row>
    <row r="95" ht="15" customHeight="1" s="237">
      <c r="A95" s="286" t="n"/>
      <c r="B95" s="286" t="n"/>
      <c r="C95" s="286" t="n"/>
      <c r="D95" s="286" t="n"/>
      <c r="E95" s="286" t="n"/>
      <c r="F95" s="286" t="n"/>
      <c r="G95" s="286" t="n"/>
      <c r="H95" s="286" t="n"/>
      <c r="I95" s="97">
        <f>IFERROR(SUMPRODUCT((TableBOM[Product ID]=B95)*(TableBOM[Material Category]="CAP")*TableBOM[Item ID]),0)</f>
        <v/>
      </c>
    </row>
    <row r="96" ht="15" customHeight="1" s="237">
      <c r="A96" s="286" t="n"/>
      <c r="B96" s="286" t="n"/>
      <c r="C96" s="286" t="n"/>
      <c r="D96" s="286" t="n"/>
      <c r="E96" s="286" t="n"/>
      <c r="F96" s="286" t="n"/>
      <c r="G96" s="286" t="n"/>
      <c r="H96" s="286" t="n"/>
      <c r="I96" s="97">
        <f>IFERROR(SUMPRODUCT((TableBOM[Product ID]=B96)*(TableBOM[Material Category]="CAP")*TableBOM[Item ID]),0)</f>
        <v/>
      </c>
    </row>
    <row r="97" ht="15" customHeight="1" s="237">
      <c r="A97" s="286" t="n"/>
      <c r="B97" s="286" t="n"/>
      <c r="C97" s="286" t="n"/>
      <c r="D97" s="286" t="n"/>
      <c r="E97" s="286" t="n"/>
      <c r="F97" s="286" t="n"/>
      <c r="G97" s="286" t="n"/>
      <c r="H97" s="286" t="n"/>
      <c r="I97" s="97">
        <f>IFERROR(SUMPRODUCT((TableBOM[Product ID]=B97)*(TableBOM[Material Category]="CAP")*TableBOM[Item ID]),0)</f>
        <v/>
      </c>
    </row>
    <row r="98" ht="15" customHeight="1" s="237">
      <c r="A98" s="286" t="n"/>
      <c r="B98" s="286" t="n"/>
      <c r="C98" s="286" t="n"/>
      <c r="D98" s="286" t="n"/>
      <c r="E98" s="286" t="n"/>
      <c r="F98" s="286" t="n"/>
      <c r="G98" s="286" t="n"/>
      <c r="H98" s="286" t="n"/>
      <c r="I98" s="97">
        <f>IFERROR(SUMPRODUCT((TableBOM[Product ID]=B98)*(TableBOM[Material Category]="CAP")*TableBOM[Item ID]),0)</f>
        <v/>
      </c>
    </row>
    <row r="99" ht="15" customHeight="1" s="237">
      <c r="A99" s="286" t="n"/>
      <c r="B99" s="286" t="n"/>
      <c r="C99" s="286" t="n"/>
      <c r="D99" s="286" t="n"/>
      <c r="E99" s="286" t="n"/>
      <c r="F99" s="286" t="n"/>
      <c r="G99" s="286" t="n"/>
      <c r="H99" s="286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37" min="1" max="1"/>
    <col width="38" customWidth="1" style="237" min="2" max="2"/>
    <col width="50" customWidth="1" style="237" min="3" max="4"/>
    <col width="28" customWidth="1" style="237" min="5" max="5"/>
    <col width="40" customWidth="1" style="237" min="6" max="10"/>
  </cols>
  <sheetData>
    <row r="1" ht="32.1" customHeight="1" s="237">
      <c r="A1" s="266" t="inlineStr">
        <is>
          <t>ALPHA CONTAINERS — PROJECT REFERENCE GUIDE</t>
        </is>
      </c>
    </row>
    <row r="2" ht="18" customHeight="1" s="237">
      <c r="A2" s="267" t="inlineStr">
        <is>
          <t>Last Updated: 16-May-2026 | File: AlphaContainers_v10_27.xlsx | 9 sheets</t>
        </is>
      </c>
    </row>
    <row r="3" ht="8.1" customHeight="1" s="237">
      <c r="A3" s="124" t="n"/>
      <c r="B3" s="124" t="n"/>
      <c r="C3" s="125" t="n"/>
      <c r="D3" s="125" t="n"/>
      <c r="E3" s="125" t="n"/>
      <c r="F3" s="125" t="n"/>
    </row>
    <row r="4" ht="24" customHeight="1" s="237">
      <c r="A4" s="263" t="inlineStr">
        <is>
          <t>S0 — DAILY WORKFLOW</t>
        </is>
      </c>
    </row>
    <row r="5" ht="15.95" customHeight="1" s="237">
      <c r="A5" s="268" t="inlineStr">
        <is>
          <t>Automated pipeline via Run_All_Updates.bat or individual scripts.</t>
        </is>
      </c>
    </row>
    <row r="6" ht="18" customHeight="1" s="237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37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46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46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46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37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46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37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46">
      <c r="A17" s="128" t="n"/>
      <c r="B17" s="129" t="n"/>
      <c r="C17" s="129" t="n"/>
      <c r="D17" s="129" t="n"/>
      <c r="E17" s="125" t="n"/>
      <c r="F17" s="125" t="n"/>
    </row>
    <row r="18" ht="15.95" customFormat="1" customHeight="1" s="246">
      <c r="A18" s="268" t="inlineStr">
        <is>
          <t>Individual scripts: update_production.py also runs sort_dashboard automatically at the end.</t>
        </is>
      </c>
    </row>
    <row r="19" ht="15.95" customFormat="1" customHeight="1" s="246">
      <c r="A19" s="268" t="inlineStr">
        <is>
          <t>Safety: All scripts check if Excel file is open (lock guard) and warn if source files are stale (&gt;26 hours).</t>
        </is>
      </c>
    </row>
    <row r="20" ht="15.95" customFormat="1" customHeight="1" s="246">
      <c r="A20" s="268" t="inlineStr">
        <is>
          <t>Logging: All output saved to Logs/ folder with timestamps. Mismatches logged to Logs/mismatches.log.</t>
        </is>
      </c>
    </row>
    <row r="21" ht="8.1" customHeight="1" s="237">
      <c r="A21" s="130" t="n"/>
      <c r="B21" s="130" t="n"/>
      <c r="C21" s="130" t="n"/>
      <c r="D21" s="128" t="n"/>
      <c r="E21" s="125" t="n"/>
      <c r="F21" s="125" t="n"/>
    </row>
    <row r="22" ht="24" customHeight="1" s="237">
      <c r="A22" s="263" t="inlineStr">
        <is>
          <t>S1 — PEOPLE</t>
        </is>
      </c>
    </row>
    <row r="23" ht="18" customHeight="1" s="237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37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37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37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37">
      <c r="A30" s="130" t="n"/>
      <c r="B30" s="130" t="n"/>
      <c r="C30" s="130" t="n"/>
      <c r="D30" s="128" t="n"/>
      <c r="E30" s="125" t="n"/>
      <c r="F30" s="125" t="n"/>
    </row>
    <row r="31" ht="24" customHeight="1" s="237">
      <c r="A31" s="263" t="inlineStr">
        <is>
          <t>S2 — PLANTS &amp; MACHINES</t>
        </is>
      </c>
    </row>
    <row r="32" ht="18" customHeight="1" s="237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37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37">
      <c r="A36" s="130" t="n"/>
      <c r="B36" s="130" t="n"/>
      <c r="C36" s="130" t="n"/>
      <c r="D36" s="128" t="n"/>
      <c r="E36" s="125" t="n"/>
      <c r="F36" s="125" t="n"/>
    </row>
    <row r="37" ht="18" customHeight="1" s="237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37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37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37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37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37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37">
      <c r="A43" s="130" t="n"/>
      <c r="B43" s="130" t="n"/>
      <c r="C43" s="130" t="n"/>
      <c r="D43" s="128" t="n"/>
      <c r="E43" s="125" t="n"/>
      <c r="F43" s="125" t="n"/>
    </row>
    <row r="44" ht="24" customHeight="1" s="237">
      <c r="A44" s="263" t="inlineStr">
        <is>
          <t>S3 — SHEET MAP (9 sheets)</t>
        </is>
      </c>
    </row>
    <row r="45" ht="18" customHeight="1" s="237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37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37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37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37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37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37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37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37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37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37">
      <c r="A55" s="130" t="n"/>
      <c r="B55" s="130" t="n"/>
      <c r="C55" s="130" t="n"/>
      <c r="D55" s="128" t="n"/>
      <c r="E55" s="125" t="n"/>
      <c r="F55" s="125" t="n"/>
    </row>
    <row r="56" ht="24" customHeight="1" s="237">
      <c r="A56" s="263" t="inlineStr">
        <is>
          <t>S4 — AUTOMATION SCRIPTS</t>
        </is>
      </c>
    </row>
    <row r="57" ht="18" customHeight="1" s="237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37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37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37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37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37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37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37">
      <c r="A67" s="130" t="n"/>
      <c r="B67" s="130" t="n"/>
      <c r="C67" s="130" t="n"/>
      <c r="D67" s="128" t="n"/>
      <c r="E67" s="125" t="n"/>
      <c r="F67" s="125" t="n"/>
    </row>
    <row r="68" ht="24" customHeight="1" s="237">
      <c r="A68" s="263" t="inlineStr">
        <is>
          <t>S5 — DASHBOARD SORT RULES (sort_dashboard.py)</t>
        </is>
      </c>
    </row>
    <row r="69" ht="18" customHeight="1" s="237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37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37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37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37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37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37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37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37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37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37">
      <c r="A79" s="130" t="n"/>
      <c r="B79" s="130" t="n"/>
      <c r="C79" s="130" t="n"/>
      <c r="D79" s="128" t="n"/>
      <c r="E79" s="125" t="n"/>
      <c r="F79" s="125" t="n"/>
    </row>
    <row r="80" ht="24" customHeight="1" s="237">
      <c r="A80" s="263" t="inlineStr">
        <is>
          <t>S6 — CRITICAL RULES (DO NOT BREAK)</t>
        </is>
      </c>
    </row>
    <row r="81" ht="18" customHeight="1" s="237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37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37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37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37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37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37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37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37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37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37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37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37">
      <c r="A93" s="124" t="n"/>
      <c r="B93" s="129" t="n"/>
      <c r="C93" s="129" t="n"/>
      <c r="D93" s="129" t="n"/>
      <c r="E93" s="125" t="n"/>
      <c r="F93" s="125" t="n"/>
    </row>
    <row r="94" ht="24" customHeight="1" s="237">
      <c r="A94" s="263" t="inlineStr">
        <is>
          <t>S7 — CUSTOMER &amp; ERP CONTEXT</t>
        </is>
      </c>
    </row>
    <row r="95" ht="18" customHeight="1" s="237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37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37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37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37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37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37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37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37">
      <c r="A109" s="130" t="n"/>
      <c r="B109" s="130" t="n"/>
      <c r="C109" s="130" t="n"/>
      <c r="D109" s="128" t="n"/>
      <c r="E109" s="125" t="n"/>
      <c r="F109" s="125" t="n"/>
    </row>
    <row r="110" ht="24" customHeight="1" s="237">
      <c r="A110" s="263" t="inlineStr">
        <is>
          <t>S8 — COATING CONSUMPTION STUDY</t>
        </is>
      </c>
    </row>
    <row r="111" ht="18" customHeight="1" s="237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37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37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37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37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37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37">
      <c r="A117" s="130" t="n"/>
      <c r="B117" s="130" t="n"/>
      <c r="C117" s="130" t="n"/>
      <c r="D117" s="128" t="n"/>
      <c r="E117" s="125" t="n"/>
      <c r="F117" s="125" t="n"/>
    </row>
    <row r="118" ht="24" customHeight="1" s="237">
      <c r="A118" s="263" t="inlineStr">
        <is>
          <t>S9 — INK MANAGEMENT (Historical Average Method)</t>
        </is>
      </c>
    </row>
    <row r="119" ht="15.95" customHeight="1" s="237">
      <c r="A119" s="268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37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37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37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37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37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37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37">
      <c r="A127" s="125" t="n"/>
      <c r="B127" s="125" t="n"/>
      <c r="C127" s="125" t="n"/>
      <c r="D127" s="125" t="n"/>
      <c r="E127" s="125" t="n"/>
      <c r="F127" s="125" t="n"/>
    </row>
    <row r="128" ht="24" customHeight="1" s="237">
      <c r="A128" s="263" t="inlineStr">
        <is>
          <t>S10 — OPEN ACTION ITEMS</t>
        </is>
      </c>
    </row>
    <row r="129" ht="18" customHeight="1" s="237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37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37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37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37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37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37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37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37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37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37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37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37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37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37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37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37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37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37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37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37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37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37">
      <c r="A151" s="125" t="n"/>
      <c r="B151" s="125" t="n"/>
      <c r="C151" s="125" t="n"/>
      <c r="D151" s="125" t="n"/>
      <c r="E151" s="125" t="n"/>
      <c r="F151" s="125" t="n"/>
    </row>
    <row r="152" ht="24" customHeight="1" s="237">
      <c r="A152" s="263" t="inlineStr">
        <is>
          <t>S11 — FUTURE TASKS (Sikander)</t>
        </is>
      </c>
    </row>
    <row r="153" ht="18" customHeight="1" s="237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37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37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37">
      <c r="A156" s="263" t="inlineStr">
        <is>
          <t>S12 — RESOLVED ITEMS (for reference)</t>
        </is>
      </c>
    </row>
    <row r="157" ht="18" customHeight="1" s="237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37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37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37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37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37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2026-06-15T05:52:40Z</dcterms:modified>
  <cp:lastModifiedBy>Sikander Shahjahan</cp:lastModifiedBy>
  <cp:category>Operations</cp:category>
  <cp:revision>37</cp:revision>
  <cp:keywords>production inventory planning procurement</cp:keywords>
</cp:coreProperties>
</file>