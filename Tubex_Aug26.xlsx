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Alpha\"/>
    </mc:Choice>
  </mc:AlternateContent>
  <xr:revisionPtr revIDLastSave="0" documentId="11_0AACBAD5DDCFD79D5264520EDD8EC6DEE7C730B1" xr6:coauthVersionLast="47" xr6:coauthVersionMax="47" xr10:uidLastSave="{00000000-0000-0000-0000-000000000000}"/>
  <bookViews>
    <workbookView xWindow="-120" yWindow="-120" windowWidth="21840" windowHeight="13020" tabRatio="500" activeTab="4" xr2:uid="{00000000-000D-0000-FFFF-FFFF00000000}"/>
  </bookViews>
  <sheets>
    <sheet name="Tubex_Dashboard" sheetId="1" r:id="rId1"/>
    <sheet name="MRP" sheetId="2" r:id="rId2"/>
    <sheet name="Production_Log" sheetId="3" r:id="rId3"/>
    <sheet name="BOM" sheetId="4" r:id="rId4"/>
    <sheet name="Inventory" sheetId="5" r:id="rId5"/>
    <sheet name="Product_Catalog" sheetId="6" r:id="rId6"/>
    <sheet name="BOM Issues" sheetId="7" r:id="rId7"/>
    <sheet name="FG Stock" sheetId="8" r:id="rId8"/>
    <sheet name="Future_Plans" sheetId="9" r:id="rId9"/>
  </sheets>
  <definedNames>
    <definedName name="_xlnm._FilterDatabase" localSheetId="6" hidden="1">'BOM Issues'!$A$52:$J$64</definedName>
    <definedName name="_xlnm._FilterDatabase" localSheetId="1" hidden="1">MRP!$B$6:$J$90</definedName>
    <definedName name="_xlnm._FilterDatabase" localSheetId="2" hidden="1">Production_Log!$A$2:$R$140</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6" l="1"/>
  <c r="O56" i="6"/>
  <c r="N56" i="6"/>
  <c r="M56" i="6"/>
  <c r="L56" i="6"/>
  <c r="K56" i="6"/>
  <c r="J56" i="6"/>
  <c r="P55" i="6"/>
  <c r="O55" i="6"/>
  <c r="N55" i="6"/>
  <c r="M55" i="6"/>
  <c r="L55" i="6"/>
  <c r="K55" i="6"/>
  <c r="J55" i="6"/>
  <c r="P54" i="6"/>
  <c r="O54" i="6"/>
  <c r="N54" i="6"/>
  <c r="M54" i="6"/>
  <c r="L54" i="6"/>
  <c r="K54" i="6"/>
  <c r="J54" i="6"/>
  <c r="P53" i="6"/>
  <c r="O53" i="6"/>
  <c r="N53" i="6"/>
  <c r="M53" i="6"/>
  <c r="L53" i="6"/>
  <c r="K53" i="6"/>
  <c r="J53" i="6"/>
  <c r="P52" i="6"/>
  <c r="O52" i="6"/>
  <c r="N52" i="6"/>
  <c r="M52" i="6"/>
  <c r="L52" i="6"/>
  <c r="K52" i="6"/>
  <c r="J52" i="6"/>
  <c r="P51" i="6"/>
  <c r="O51" i="6"/>
  <c r="N51" i="6"/>
  <c r="M51" i="6"/>
  <c r="L51" i="6"/>
  <c r="K51" i="6"/>
  <c r="J51" i="6"/>
  <c r="P50" i="6"/>
  <c r="O50" i="6"/>
  <c r="N50" i="6"/>
  <c r="M50" i="6"/>
  <c r="L50" i="6"/>
  <c r="K50" i="6"/>
  <c r="J50" i="6"/>
  <c r="P49" i="6"/>
  <c r="O49" i="6"/>
  <c r="N49" i="6"/>
  <c r="M49" i="6"/>
  <c r="L49" i="6"/>
  <c r="K49" i="6"/>
  <c r="J49" i="6"/>
  <c r="P48" i="6"/>
  <c r="O48" i="6"/>
  <c r="N48" i="6"/>
  <c r="M48" i="6"/>
  <c r="L48" i="6"/>
  <c r="K48" i="6"/>
  <c r="J48" i="6"/>
  <c r="P47" i="6"/>
  <c r="O47" i="6"/>
  <c r="N47" i="6"/>
  <c r="M47" i="6"/>
  <c r="L47" i="6"/>
  <c r="K47" i="6"/>
  <c r="J47" i="6"/>
  <c r="P46" i="6"/>
  <c r="O46" i="6"/>
  <c r="N46" i="6"/>
  <c r="M46" i="6"/>
  <c r="L46" i="6"/>
  <c r="K46" i="6"/>
  <c r="J46" i="6"/>
  <c r="P45" i="6"/>
  <c r="O45" i="6"/>
  <c r="N45" i="6"/>
  <c r="M45" i="6"/>
  <c r="L45" i="6"/>
  <c r="K45" i="6"/>
  <c r="J45" i="6"/>
  <c r="P44" i="6"/>
  <c r="O44" i="6"/>
  <c r="N44" i="6"/>
  <c r="M44" i="6"/>
  <c r="L44" i="6"/>
  <c r="K44" i="6"/>
  <c r="J44" i="6"/>
  <c r="P43" i="6"/>
  <c r="O43" i="6"/>
  <c r="N43" i="6"/>
  <c r="M43" i="6"/>
  <c r="L43" i="6"/>
  <c r="K43" i="6"/>
  <c r="J43" i="6"/>
  <c r="P42" i="6"/>
  <c r="O42" i="6"/>
  <c r="N42" i="6"/>
  <c r="M42" i="6"/>
  <c r="L42" i="6"/>
  <c r="K42" i="6"/>
  <c r="J42" i="6"/>
  <c r="P41" i="6"/>
  <c r="O41" i="6"/>
  <c r="N41" i="6"/>
  <c r="M41" i="6"/>
  <c r="L41" i="6"/>
  <c r="K41" i="6"/>
  <c r="J41" i="6"/>
  <c r="P40" i="6"/>
  <c r="O40" i="6"/>
  <c r="N40" i="6"/>
  <c r="M40" i="6"/>
  <c r="L40" i="6"/>
  <c r="K40" i="6"/>
  <c r="J40" i="6"/>
  <c r="P39" i="6"/>
  <c r="O39" i="6"/>
  <c r="N39" i="6"/>
  <c r="M39" i="6"/>
  <c r="L39" i="6"/>
  <c r="K39" i="6"/>
  <c r="J39" i="6"/>
  <c r="P38" i="6"/>
  <c r="O38" i="6"/>
  <c r="N38" i="6"/>
  <c r="M38" i="6"/>
  <c r="L38" i="6"/>
  <c r="K38" i="6"/>
  <c r="J38" i="6"/>
  <c r="P37" i="6"/>
  <c r="O37" i="6"/>
  <c r="N37" i="6"/>
  <c r="M37" i="6"/>
  <c r="L37" i="6"/>
  <c r="K37" i="6"/>
  <c r="J37" i="6"/>
  <c r="P36" i="6"/>
  <c r="O36" i="6"/>
  <c r="N36" i="6"/>
  <c r="M36" i="6"/>
  <c r="L36" i="6"/>
  <c r="K36" i="6"/>
  <c r="J36" i="6"/>
  <c r="P35" i="6"/>
  <c r="O35" i="6"/>
  <c r="N35" i="6"/>
  <c r="M35" i="6"/>
  <c r="L35" i="6"/>
  <c r="K35" i="6"/>
  <c r="J35" i="6"/>
  <c r="P34" i="6"/>
  <c r="O34" i="6"/>
  <c r="N34" i="6"/>
  <c r="M34" i="6"/>
  <c r="L34" i="6"/>
  <c r="K34" i="6"/>
  <c r="J34" i="6"/>
  <c r="P33" i="6"/>
  <c r="O33" i="6"/>
  <c r="N33" i="6"/>
  <c r="M33" i="6"/>
  <c r="L33" i="6"/>
  <c r="K33" i="6"/>
  <c r="J33" i="6"/>
  <c r="P32" i="6"/>
  <c r="O32" i="6"/>
  <c r="N32" i="6"/>
  <c r="M32" i="6"/>
  <c r="L32" i="6"/>
  <c r="K32" i="6"/>
  <c r="J32" i="6"/>
  <c r="P31" i="6"/>
  <c r="O31" i="6"/>
  <c r="N31" i="6"/>
  <c r="M31" i="6"/>
  <c r="L31" i="6"/>
  <c r="K31" i="6"/>
  <c r="J31" i="6"/>
  <c r="P30" i="6"/>
  <c r="O30" i="6"/>
  <c r="N30" i="6"/>
  <c r="M30" i="6"/>
  <c r="L30" i="6"/>
  <c r="K30" i="6"/>
  <c r="J30" i="6"/>
  <c r="P29" i="6"/>
  <c r="O29" i="6"/>
  <c r="N29" i="6"/>
  <c r="M29" i="6"/>
  <c r="L29" i="6"/>
  <c r="K29" i="6"/>
  <c r="J29" i="6"/>
  <c r="P28" i="6"/>
  <c r="O28" i="6"/>
  <c r="N28" i="6"/>
  <c r="M28" i="6"/>
  <c r="L28" i="6"/>
  <c r="K28" i="6"/>
  <c r="J28" i="6"/>
  <c r="P27" i="6"/>
  <c r="O27" i="6"/>
  <c r="N27" i="6"/>
  <c r="M27" i="6"/>
  <c r="L27" i="6"/>
  <c r="K27" i="6"/>
  <c r="J27" i="6"/>
  <c r="P26" i="6"/>
  <c r="O26" i="6"/>
  <c r="N26" i="6"/>
  <c r="M26" i="6"/>
  <c r="L26" i="6"/>
  <c r="K26" i="6"/>
  <c r="J26" i="6"/>
  <c r="P25" i="6"/>
  <c r="O25" i="6"/>
  <c r="N25" i="6"/>
  <c r="M25" i="6"/>
  <c r="L25" i="6"/>
  <c r="K25" i="6"/>
  <c r="J25" i="6"/>
  <c r="P24" i="6"/>
  <c r="O24" i="6"/>
  <c r="N24" i="6"/>
  <c r="M24" i="6"/>
  <c r="L24" i="6"/>
  <c r="K24" i="6"/>
  <c r="J24" i="6"/>
  <c r="P23" i="6"/>
  <c r="O23" i="6"/>
  <c r="N23" i="6"/>
  <c r="M23" i="6"/>
  <c r="L23" i="6"/>
  <c r="K23" i="6"/>
  <c r="J23" i="6"/>
  <c r="P22" i="6"/>
  <c r="O22" i="6"/>
  <c r="N22" i="6"/>
  <c r="M22" i="6"/>
  <c r="L22" i="6"/>
  <c r="K22" i="6"/>
  <c r="J22" i="6"/>
  <c r="P21" i="6"/>
  <c r="O21" i="6"/>
  <c r="N21" i="6"/>
  <c r="M21" i="6"/>
  <c r="L21" i="6"/>
  <c r="K21" i="6"/>
  <c r="J21" i="6"/>
  <c r="P20" i="6"/>
  <c r="O20" i="6"/>
  <c r="N20" i="6"/>
  <c r="M20" i="6"/>
  <c r="L20" i="6"/>
  <c r="K20" i="6"/>
  <c r="J20" i="6"/>
  <c r="P19" i="6"/>
  <c r="O19" i="6"/>
  <c r="N19" i="6"/>
  <c r="M19" i="6"/>
  <c r="L19" i="6"/>
  <c r="K19" i="6"/>
  <c r="J19" i="6"/>
  <c r="P18" i="6"/>
  <c r="O18" i="6"/>
  <c r="N18" i="6"/>
  <c r="M18" i="6"/>
  <c r="L18" i="6"/>
  <c r="K18" i="6"/>
  <c r="J18" i="6"/>
  <c r="P17" i="6"/>
  <c r="O17" i="6"/>
  <c r="N17" i="6"/>
  <c r="M17" i="6"/>
  <c r="L17" i="6"/>
  <c r="K17" i="6"/>
  <c r="J17" i="6"/>
  <c r="P16" i="6"/>
  <c r="O16" i="6"/>
  <c r="N16" i="6"/>
  <c r="M16" i="6"/>
  <c r="L16" i="6"/>
  <c r="K16" i="6"/>
  <c r="J16" i="6"/>
  <c r="P15" i="6"/>
  <c r="O15" i="6"/>
  <c r="N15" i="6"/>
  <c r="M15" i="6"/>
  <c r="L15" i="6"/>
  <c r="K15" i="6"/>
  <c r="J15" i="6"/>
  <c r="P14" i="6"/>
  <c r="O14" i="6"/>
  <c r="N14" i="6"/>
  <c r="M14" i="6"/>
  <c r="L14" i="6"/>
  <c r="K14" i="6"/>
  <c r="J14" i="6"/>
  <c r="P13" i="6"/>
  <c r="O13" i="6"/>
  <c r="N13" i="6"/>
  <c r="M13" i="6"/>
  <c r="L13" i="6"/>
  <c r="K13" i="6"/>
  <c r="J13" i="6"/>
  <c r="P12" i="6"/>
  <c r="O12" i="6"/>
  <c r="N12" i="6"/>
  <c r="M12" i="6"/>
  <c r="L12" i="6"/>
  <c r="K12" i="6"/>
  <c r="J12" i="6"/>
  <c r="P11" i="6"/>
  <c r="O11" i="6"/>
  <c r="N11" i="6"/>
  <c r="M11" i="6"/>
  <c r="L11" i="6"/>
  <c r="K11" i="6"/>
  <c r="J11" i="6"/>
  <c r="P10" i="6"/>
  <c r="O10" i="6"/>
  <c r="N10" i="6"/>
  <c r="M10" i="6"/>
  <c r="L10" i="6"/>
  <c r="K10" i="6"/>
  <c r="J10" i="6"/>
  <c r="P9" i="6"/>
  <c r="O9" i="6"/>
  <c r="N9" i="6"/>
  <c r="M9" i="6"/>
  <c r="L9" i="6"/>
  <c r="K9" i="6"/>
  <c r="J9" i="6"/>
  <c r="P8" i="6"/>
  <c r="O8" i="6"/>
  <c r="N8" i="6"/>
  <c r="M8" i="6"/>
  <c r="L8" i="6"/>
  <c r="K8" i="6"/>
  <c r="J8" i="6"/>
  <c r="P7" i="6"/>
  <c r="O7" i="6"/>
  <c r="N7" i="6"/>
  <c r="M7" i="6"/>
  <c r="L7" i="6"/>
  <c r="K7" i="6"/>
  <c r="J7" i="6"/>
  <c r="P6" i="6"/>
  <c r="O6" i="6"/>
  <c r="N6" i="6"/>
  <c r="M6" i="6"/>
  <c r="L6" i="6"/>
  <c r="K6" i="6"/>
  <c r="J6" i="6"/>
  <c r="P5" i="6"/>
  <c r="O5" i="6"/>
  <c r="N5" i="6"/>
  <c r="M5" i="6"/>
  <c r="L5" i="6"/>
  <c r="K5" i="6"/>
  <c r="J5" i="6"/>
  <c r="P4" i="6"/>
  <c r="O4" i="6"/>
  <c r="N4" i="6"/>
  <c r="M4" i="6"/>
  <c r="L4" i="6"/>
  <c r="K4" i="6"/>
  <c r="J4" i="6"/>
  <c r="P3" i="6"/>
  <c r="O3" i="6"/>
  <c r="N3" i="6"/>
  <c r="M3" i="6"/>
  <c r="L3" i="6"/>
  <c r="K3" i="6"/>
  <c r="J3" i="6"/>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F97" i="2"/>
  <c r="F94" i="2"/>
  <c r="F71" i="2"/>
  <c r="F61" i="2"/>
  <c r="F60" i="2"/>
  <c r="F19" i="2"/>
  <c r="F17" i="2"/>
  <c r="F16" i="2"/>
  <c r="F12" i="2"/>
  <c r="F11" i="2"/>
  <c r="F8" i="2"/>
  <c r="F5" i="2"/>
  <c r="H1" i="2"/>
  <c r="H66" i="1"/>
  <c r="G66" i="1"/>
  <c r="H65" i="1"/>
  <c r="G65" i="1"/>
  <c r="H64" i="1"/>
  <c r="G64" i="1"/>
  <c r="H63" i="1"/>
  <c r="G63" i="1"/>
  <c r="H62" i="1"/>
  <c r="G62" i="1"/>
  <c r="H61" i="1"/>
  <c r="G61" i="1"/>
  <c r="H60" i="1"/>
  <c r="G60" i="1"/>
  <c r="H59" i="1"/>
  <c r="G59" i="1"/>
  <c r="H58" i="1"/>
  <c r="G58" i="1"/>
  <c r="H57" i="1"/>
  <c r="G57" i="1"/>
  <c r="H56" i="1"/>
  <c r="G56" i="1"/>
  <c r="H55" i="1"/>
  <c r="G55" i="1"/>
  <c r="H54" i="1"/>
  <c r="G54" i="1"/>
  <c r="H53" i="1"/>
  <c r="G53" i="1"/>
  <c r="H52" i="1"/>
  <c r="G52" i="1"/>
  <c r="H51" i="1"/>
  <c r="G51" i="1"/>
  <c r="H50" i="1"/>
  <c r="G50" i="1"/>
  <c r="H49" i="1"/>
  <c r="G49" i="1"/>
  <c r="H48" i="1"/>
  <c r="G48" i="1"/>
  <c r="H47" i="1"/>
  <c r="G47" i="1"/>
  <c r="H46" i="1"/>
  <c r="G46" i="1"/>
  <c r="H45" i="1"/>
  <c r="G45" i="1"/>
  <c r="H44" i="1"/>
  <c r="G44" i="1"/>
  <c r="H43" i="1"/>
  <c r="G43" i="1"/>
  <c r="H42" i="1"/>
  <c r="G42" i="1"/>
  <c r="H41" i="1"/>
  <c r="G41" i="1"/>
  <c r="H40" i="1"/>
  <c r="G40" i="1"/>
  <c r="H39" i="1"/>
  <c r="G39" i="1"/>
  <c r="H38" i="1"/>
  <c r="G38" i="1"/>
  <c r="H37" i="1"/>
  <c r="G37" i="1"/>
  <c r="H36" i="1"/>
  <c r="G36" i="1"/>
  <c r="H35" i="1"/>
  <c r="G35" i="1"/>
  <c r="H34" i="1"/>
  <c r="G34" i="1"/>
  <c r="H33" i="1"/>
  <c r="G33" i="1"/>
  <c r="H32" i="1"/>
  <c r="G32" i="1"/>
  <c r="H31" i="1"/>
  <c r="G31" i="1"/>
  <c r="H30" i="1"/>
  <c r="G30" i="1"/>
  <c r="H29" i="1"/>
  <c r="G29" i="1"/>
  <c r="H28" i="1"/>
  <c r="G28" i="1"/>
  <c r="H27" i="1"/>
  <c r="G27" i="1"/>
  <c r="H26" i="1"/>
  <c r="G26" i="1"/>
  <c r="H25" i="1"/>
  <c r="G25" i="1"/>
  <c r="H24" i="1"/>
  <c r="G24" i="1"/>
  <c r="H23" i="1"/>
  <c r="G23" i="1"/>
  <c r="K22" i="1"/>
  <c r="H21" i="1"/>
  <c r="G99" i="2" s="1"/>
  <c r="H99" i="2" s="1"/>
  <c r="G21" i="1"/>
  <c r="H20" i="1"/>
  <c r="H19" i="1"/>
  <c r="N18" i="1"/>
  <c r="H18" i="1"/>
  <c r="G96" i="2" s="1"/>
  <c r="H96" i="2" s="1"/>
  <c r="G18" i="1"/>
  <c r="N17" i="1"/>
  <c r="H17" i="1"/>
  <c r="N16" i="1"/>
  <c r="H16" i="1"/>
  <c r="G16" i="1"/>
  <c r="N15" i="1"/>
  <c r="K15" i="1"/>
  <c r="H14" i="1"/>
  <c r="G14" i="1"/>
  <c r="H13" i="1"/>
  <c r="G4" i="2" s="1"/>
  <c r="H4" i="2" s="1"/>
  <c r="G13" i="1"/>
  <c r="H12" i="1"/>
  <c r="G3" i="2" s="1"/>
  <c r="G12" i="1"/>
  <c r="H11" i="1"/>
  <c r="G11" i="1"/>
  <c r="N10" i="1"/>
  <c r="N9" i="1"/>
  <c r="N8" i="1"/>
  <c r="J8" i="1"/>
  <c r="G8" i="1" a="1"/>
  <c r="G8" i="1" s="1"/>
  <c r="D8" i="1"/>
  <c r="B8" i="1"/>
  <c r="N7" i="1"/>
  <c r="C7" i="1"/>
  <c r="J6" i="1"/>
  <c r="G6" i="1" a="1"/>
  <c r="G6" i="1" s="1"/>
  <c r="D6" i="1"/>
  <c r="B6" i="1"/>
  <c r="C5" i="1"/>
  <c r="H3" i="1"/>
  <c r="H111" i="5"/>
  <c r="J110" i="5"/>
  <c r="H110" i="5"/>
  <c r="F87" i="2" s="1"/>
  <c r="J109" i="5"/>
  <c r="H109" i="5"/>
  <c r="F86" i="2" s="1"/>
  <c r="J108" i="5"/>
  <c r="H108" i="5"/>
  <c r="F85" i="2" s="1"/>
  <c r="H107" i="5"/>
  <c r="H106" i="5"/>
  <c r="H105" i="5"/>
  <c r="J104" i="5"/>
  <c r="H104" i="5"/>
  <c r="F83" i="2" s="1"/>
  <c r="J103" i="5"/>
  <c r="H103" i="5"/>
  <c r="F82" i="2" s="1"/>
  <c r="H102" i="5"/>
  <c r="J101" i="5"/>
  <c r="H101" i="5"/>
  <c r="F80" i="2" s="1"/>
  <c r="J100" i="5"/>
  <c r="H100" i="5"/>
  <c r="F79" i="2" s="1"/>
  <c r="J99" i="5"/>
  <c r="H99" i="5"/>
  <c r="H98" i="5"/>
  <c r="J97" i="5"/>
  <c r="H97" i="5"/>
  <c r="F76" i="2" s="1"/>
  <c r="H96" i="5"/>
  <c r="J94" i="5"/>
  <c r="J92" i="5"/>
  <c r="H92" i="5"/>
  <c r="J91" i="5"/>
  <c r="H91" i="5"/>
  <c r="J90" i="5"/>
  <c r="H90" i="5"/>
  <c r="J89" i="5"/>
  <c r="H89" i="5"/>
  <c r="H88" i="5"/>
  <c r="J88" i="5" s="1"/>
  <c r="J87" i="5"/>
  <c r="H87" i="5"/>
  <c r="J86" i="5"/>
  <c r="H86" i="5"/>
  <c r="J85" i="5"/>
  <c r="H85" i="5"/>
  <c r="J84" i="5"/>
  <c r="H84" i="5"/>
  <c r="J83" i="5"/>
  <c r="H83" i="5"/>
  <c r="J82" i="5"/>
  <c r="H82" i="5"/>
  <c r="H81" i="5"/>
  <c r="J81" i="5" s="1"/>
  <c r="J80" i="5"/>
  <c r="H80" i="5"/>
  <c r="H79" i="5"/>
  <c r="J79" i="5" s="1"/>
  <c r="J78" i="5"/>
  <c r="H78" i="5"/>
  <c r="J77" i="5"/>
  <c r="H77" i="5"/>
  <c r="H76" i="5"/>
  <c r="J76" i="5" s="1"/>
  <c r="J75" i="5"/>
  <c r="H75" i="5"/>
  <c r="J74" i="5"/>
  <c r="H74" i="5"/>
  <c r="J73" i="5"/>
  <c r="H73" i="5"/>
  <c r="J72" i="5"/>
  <c r="H72" i="5"/>
  <c r="J71" i="5"/>
  <c r="H71" i="5"/>
  <c r="J70" i="5"/>
  <c r="H70" i="5"/>
  <c r="J69" i="5"/>
  <c r="H69" i="5"/>
  <c r="J68" i="5"/>
  <c r="H68" i="5"/>
  <c r="J67" i="5"/>
  <c r="H67" i="5"/>
  <c r="J66" i="5"/>
  <c r="H66" i="5"/>
  <c r="J65" i="5"/>
  <c r="H65" i="5"/>
  <c r="J64" i="5"/>
  <c r="H64" i="5"/>
  <c r="H63" i="5"/>
  <c r="H62" i="5"/>
  <c r="H61" i="5"/>
  <c r="H60" i="5"/>
  <c r="H59" i="5"/>
  <c r="H58" i="5"/>
  <c r="H57" i="5"/>
  <c r="H56" i="5"/>
  <c r="H55" i="5"/>
  <c r="H54" i="5"/>
  <c r="H53" i="5"/>
  <c r="H52" i="5"/>
  <c r="J51" i="5"/>
  <c r="H51" i="5"/>
  <c r="F58" i="2" s="1"/>
  <c r="H50" i="5"/>
  <c r="H49" i="5"/>
  <c r="H48" i="5"/>
  <c r="J47" i="5"/>
  <c r="H47" i="5"/>
  <c r="F54" i="2" s="1"/>
  <c r="H46" i="5"/>
  <c r="H45" i="5"/>
  <c r="H44" i="5"/>
  <c r="J43" i="5"/>
  <c r="H43" i="5"/>
  <c r="F50" i="2" s="1"/>
  <c r="J42" i="5"/>
  <c r="H42" i="5"/>
  <c r="F49" i="2" s="1"/>
  <c r="J41" i="5"/>
  <c r="H41" i="5"/>
  <c r="F48" i="2" s="1"/>
  <c r="J40" i="5"/>
  <c r="H40" i="5"/>
  <c r="F47" i="2" s="1"/>
  <c r="H39" i="5"/>
  <c r="J38" i="5"/>
  <c r="H38" i="5"/>
  <c r="F45" i="2" s="1"/>
  <c r="H37" i="5"/>
  <c r="H36" i="5"/>
  <c r="J35" i="5"/>
  <c r="H35" i="5"/>
  <c r="F42" i="2" s="1"/>
  <c r="J34" i="5"/>
  <c r="H34" i="5"/>
  <c r="F41" i="2" s="1"/>
  <c r="J33" i="5"/>
  <c r="H33" i="5"/>
  <c r="F40" i="2" s="1"/>
  <c r="H32" i="5"/>
  <c r="H31" i="5"/>
  <c r="H30" i="5"/>
  <c r="J29" i="5"/>
  <c r="H29" i="5"/>
  <c r="F37" i="2" s="1"/>
  <c r="J28" i="5"/>
  <c r="H28" i="5"/>
  <c r="F36" i="2" s="1"/>
  <c r="J27" i="5"/>
  <c r="H27" i="5"/>
  <c r="F35" i="2" s="1"/>
  <c r="J26" i="5"/>
  <c r="H26" i="5"/>
  <c r="F34" i="2" s="1"/>
  <c r="J25" i="5"/>
  <c r="H25" i="5"/>
  <c r="F33" i="2" s="1"/>
  <c r="H24" i="5"/>
  <c r="J23" i="5"/>
  <c r="H23" i="5"/>
  <c r="F31" i="2" s="1"/>
  <c r="H22" i="5"/>
  <c r="J21" i="5"/>
  <c r="H21" i="5"/>
  <c r="F29" i="2" s="1"/>
  <c r="J20" i="5"/>
  <c r="H20" i="5"/>
  <c r="F28" i="2" s="1"/>
  <c r="J19" i="5"/>
  <c r="H19" i="5"/>
  <c r="F27" i="2" s="1"/>
  <c r="H18" i="5"/>
  <c r="J17" i="5"/>
  <c r="H17" i="5"/>
  <c r="F25" i="2" s="1"/>
  <c r="J16" i="5"/>
  <c r="H16" i="5"/>
  <c r="F24" i="2" s="1"/>
  <c r="J15" i="5"/>
  <c r="H15" i="5"/>
  <c r="F23" i="2" s="1"/>
  <c r="J14" i="5"/>
  <c r="H14" i="5"/>
  <c r="F22" i="2" s="1"/>
  <c r="J12" i="5"/>
  <c r="H10" i="5"/>
  <c r="H9" i="5"/>
  <c r="H8" i="5"/>
  <c r="H7" i="5"/>
  <c r="H6" i="5"/>
  <c r="H5" i="5"/>
  <c r="H4" i="5"/>
  <c r="J3" i="5"/>
  <c r="H3" i="5"/>
  <c r="F9" i="2" s="1"/>
  <c r="J1" i="5"/>
  <c r="H15" i="1" l="1"/>
  <c r="J45" i="1"/>
  <c r="I45" i="1"/>
  <c r="F74" i="2"/>
  <c r="J63" i="5"/>
  <c r="F72" i="2"/>
  <c r="J61" i="5"/>
  <c r="F68" i="2"/>
  <c r="J59" i="5"/>
  <c r="F66" i="2"/>
  <c r="J57" i="5"/>
  <c r="F64" i="2"/>
  <c r="J55" i="5"/>
  <c r="F62" i="2"/>
  <c r="J53" i="5"/>
  <c r="F57" i="2"/>
  <c r="J50" i="5"/>
  <c r="F55" i="2"/>
  <c r="J48" i="5"/>
  <c r="F53" i="2"/>
  <c r="J46" i="5"/>
  <c r="F52" i="2"/>
  <c r="J45" i="5"/>
  <c r="F46" i="2"/>
  <c r="J39" i="5"/>
  <c r="F43" i="2"/>
  <c r="J36" i="5"/>
  <c r="F39" i="2"/>
  <c r="J32" i="5"/>
  <c r="F38" i="2"/>
  <c r="J30" i="5"/>
  <c r="F32" i="2"/>
  <c r="J24" i="5"/>
  <c r="F30" i="2"/>
  <c r="J22" i="5"/>
  <c r="F26" i="2"/>
  <c r="J18" i="5"/>
  <c r="F21" i="2"/>
  <c r="J10" i="5"/>
  <c r="F15" i="2"/>
  <c r="J7" i="5"/>
  <c r="F14" i="2"/>
  <c r="J6" i="5"/>
  <c r="F10" i="2"/>
  <c r="J4" i="5"/>
  <c r="F100" i="2"/>
  <c r="J66" i="1"/>
  <c r="I66" i="1"/>
  <c r="J65" i="1"/>
  <c r="I65" i="1"/>
  <c r="J64" i="1"/>
  <c r="I64" i="1"/>
  <c r="J63" i="1"/>
  <c r="I63" i="1"/>
  <c r="I62" i="1"/>
  <c r="J62" i="1"/>
  <c r="J61" i="1"/>
  <c r="I61" i="1"/>
  <c r="J60" i="1"/>
  <c r="I60" i="1"/>
  <c r="J59" i="1"/>
  <c r="I59" i="1"/>
  <c r="J58" i="1"/>
  <c r="I58" i="1"/>
  <c r="J57" i="1"/>
  <c r="I57" i="1"/>
  <c r="J56" i="1"/>
  <c r="I56" i="1"/>
  <c r="I55" i="1"/>
  <c r="J55" i="1"/>
  <c r="J54" i="1"/>
  <c r="I54" i="1"/>
  <c r="J53" i="1"/>
  <c r="I53" i="1"/>
  <c r="I52" i="1"/>
  <c r="J52" i="1"/>
  <c r="J51" i="1"/>
  <c r="I51" i="1"/>
  <c r="J50" i="1"/>
  <c r="I50" i="1"/>
  <c r="I49" i="1"/>
  <c r="J49" i="1"/>
  <c r="J48" i="1"/>
  <c r="I48" i="1"/>
  <c r="J47" i="1"/>
  <c r="I47" i="1"/>
  <c r="I46" i="1"/>
  <c r="J46" i="1"/>
  <c r="I44" i="1"/>
  <c r="J44" i="1"/>
  <c r="J43" i="1"/>
  <c r="I43" i="1"/>
  <c r="I42" i="1"/>
  <c r="J42" i="1"/>
  <c r="J41" i="1"/>
  <c r="I41" i="1"/>
  <c r="J40" i="1"/>
  <c r="I40" i="1"/>
  <c r="I39" i="1"/>
  <c r="J39" i="1"/>
  <c r="J38" i="1"/>
  <c r="I38" i="1"/>
  <c r="I37" i="1"/>
  <c r="J37" i="1"/>
  <c r="J36" i="1"/>
  <c r="I36" i="1"/>
  <c r="J35" i="1"/>
  <c r="I35" i="1"/>
  <c r="J34" i="1"/>
  <c r="I34" i="1"/>
  <c r="I33" i="1"/>
  <c r="J33" i="1"/>
  <c r="J32" i="1"/>
  <c r="I32" i="1"/>
  <c r="I31" i="1"/>
  <c r="J31" i="1"/>
  <c r="J30" i="1"/>
  <c r="I30" i="1"/>
  <c r="I29" i="1"/>
  <c r="J29" i="1"/>
  <c r="I28" i="1"/>
  <c r="J28" i="1"/>
  <c r="J27" i="1"/>
  <c r="I27" i="1"/>
  <c r="J26" i="1"/>
  <c r="I26" i="1"/>
  <c r="I25" i="1"/>
  <c r="J25" i="1"/>
  <c r="J24" i="1"/>
  <c r="I24" i="1"/>
  <c r="J23" i="1"/>
  <c r="I23" i="1"/>
  <c r="I21" i="1"/>
  <c r="J21" i="1"/>
  <c r="G98" i="2"/>
  <c r="H98" i="2" s="1"/>
  <c r="I20" i="1"/>
  <c r="J20" i="1"/>
  <c r="G97" i="2"/>
  <c r="H97" i="2" s="1"/>
  <c r="I19" i="1"/>
  <c r="J19" i="1"/>
  <c r="I18" i="1"/>
  <c r="J18" i="1"/>
  <c r="J17" i="1"/>
  <c r="I17" i="1"/>
  <c r="G95" i="2"/>
  <c r="H95" i="2" s="1"/>
  <c r="H22" i="1"/>
  <c r="G94" i="2"/>
  <c r="H94" i="2" s="1"/>
  <c r="J16" i="1"/>
  <c r="G22" i="1"/>
  <c r="I16" i="1"/>
  <c r="N19" i="1"/>
  <c r="O15" i="1" s="1"/>
  <c r="I14" i="1"/>
  <c r="J14" i="1"/>
  <c r="J13" i="1"/>
  <c r="I13" i="1"/>
  <c r="H3" i="2"/>
  <c r="G5" i="2"/>
  <c r="I12" i="1"/>
  <c r="J12" i="1"/>
  <c r="J11" i="1"/>
  <c r="I11" i="1"/>
  <c r="G15" i="1"/>
  <c r="N11" i="1"/>
  <c r="O7" i="1"/>
  <c r="F89" i="2"/>
  <c r="J111" i="5"/>
  <c r="F109" i="2"/>
  <c r="F108" i="2"/>
  <c r="J107" i="5"/>
  <c r="F107" i="2"/>
  <c r="J106" i="5"/>
  <c r="F88" i="2"/>
  <c r="F84" i="2"/>
  <c r="J105" i="5"/>
  <c r="F81" i="2"/>
  <c r="F105" i="2"/>
  <c r="J102" i="5"/>
  <c r="J98" i="5"/>
  <c r="F104" i="2"/>
  <c r="F77" i="2"/>
  <c r="F78" i="2"/>
  <c r="F75" i="2"/>
  <c r="J96" i="5"/>
  <c r="F103" i="2"/>
  <c r="F73" i="2"/>
  <c r="J62" i="5"/>
  <c r="F69" i="2"/>
  <c r="F106" i="2"/>
  <c r="J60" i="5"/>
  <c r="F67" i="2"/>
  <c r="J58" i="5"/>
  <c r="F65" i="2"/>
  <c r="J56" i="5"/>
  <c r="F63" i="2"/>
  <c r="J54" i="5"/>
  <c r="F59" i="2"/>
  <c r="J52" i="5"/>
  <c r="J49" i="5"/>
  <c r="F56" i="2"/>
  <c r="J44" i="5"/>
  <c r="F51" i="2"/>
  <c r="J37" i="5"/>
  <c r="F44" i="2"/>
  <c r="J31" i="5"/>
  <c r="F70" i="2"/>
  <c r="J9" i="5"/>
  <c r="F20" i="2"/>
  <c r="J8" i="5"/>
  <c r="F18" i="2"/>
  <c r="J5" i="5"/>
  <c r="F13" i="2"/>
  <c r="I15" i="1" l="1"/>
  <c r="H100" i="2"/>
  <c r="J105" i="2"/>
  <c r="J106" i="2"/>
  <c r="J103" i="2"/>
  <c r="J104" i="2"/>
  <c r="J107" i="2"/>
  <c r="J108" i="2"/>
  <c r="J109" i="2"/>
  <c r="H109" i="2"/>
  <c r="E109" i="2"/>
  <c r="H108" i="2"/>
  <c r="E108" i="2"/>
  <c r="H107" i="2"/>
  <c r="E107" i="2"/>
  <c r="E106" i="2"/>
  <c r="E105" i="2"/>
  <c r="H104" i="2"/>
  <c r="H103" i="2"/>
  <c r="H106" i="2"/>
  <c r="H105" i="2"/>
  <c r="E104" i="2"/>
  <c r="E103" i="2"/>
  <c r="O16" i="1"/>
  <c r="O17" i="1"/>
  <c r="O18" i="1"/>
  <c r="H5" i="2"/>
  <c r="E10" i="2"/>
  <c r="H10" i="2"/>
  <c r="J10" i="2"/>
  <c r="E13" i="2"/>
  <c r="H13" i="2"/>
  <c r="J13" i="2"/>
  <c r="E16" i="2"/>
  <c r="H16" i="2"/>
  <c r="J16" i="2"/>
  <c r="J54" i="2"/>
  <c r="E56" i="2"/>
  <c r="H56" i="2"/>
  <c r="J56" i="2"/>
  <c r="E58" i="2"/>
  <c r="H58" i="2"/>
  <c r="J58" i="2"/>
  <c r="E60" i="2"/>
  <c r="H60" i="2"/>
  <c r="J60" i="2"/>
  <c r="E62" i="2"/>
  <c r="H62" i="2"/>
  <c r="J62" i="2"/>
  <c r="E64" i="2"/>
  <c r="H64" i="2"/>
  <c r="J64" i="2"/>
  <c r="E66" i="2"/>
  <c r="H66" i="2"/>
  <c r="J66" i="2"/>
  <c r="E68" i="2"/>
  <c r="H68" i="2"/>
  <c r="J68" i="2"/>
  <c r="E70" i="2"/>
  <c r="H70" i="2"/>
  <c r="J70" i="2"/>
  <c r="E72" i="2"/>
  <c r="H72" i="2"/>
  <c r="J72" i="2"/>
  <c r="E74" i="2"/>
  <c r="H74" i="2"/>
  <c r="J74" i="2"/>
  <c r="E76" i="2"/>
  <c r="H76" i="2"/>
  <c r="J76" i="2"/>
  <c r="E78" i="2"/>
  <c r="H78" i="2"/>
  <c r="J78" i="2"/>
  <c r="E80" i="2"/>
  <c r="H80" i="2"/>
  <c r="J80" i="2"/>
  <c r="E82" i="2"/>
  <c r="H82" i="2"/>
  <c r="J82" i="2"/>
  <c r="E84" i="2"/>
  <c r="H84" i="2"/>
  <c r="J84" i="2"/>
  <c r="E86" i="2"/>
  <c r="H86" i="2"/>
  <c r="J86" i="2"/>
  <c r="E88" i="2"/>
  <c r="H88" i="2"/>
  <c r="J88" i="2"/>
  <c r="E9" i="2"/>
  <c r="H9" i="2"/>
  <c r="J9" i="2"/>
  <c r="E12" i="2"/>
  <c r="H12" i="2"/>
  <c r="J12" i="2"/>
  <c r="E15" i="2"/>
  <c r="H15" i="2"/>
  <c r="J15" i="2"/>
  <c r="E55" i="2"/>
  <c r="H55" i="2"/>
  <c r="J55" i="2"/>
  <c r="E57" i="2"/>
  <c r="H57" i="2"/>
  <c r="J57" i="2"/>
  <c r="E59" i="2"/>
  <c r="H59" i="2"/>
  <c r="J59" i="2"/>
  <c r="E61" i="2"/>
  <c r="H61" i="2"/>
  <c r="J61" i="2"/>
  <c r="E63" i="2"/>
  <c r="H63" i="2"/>
  <c r="J63" i="2"/>
  <c r="E65" i="2"/>
  <c r="H65" i="2"/>
  <c r="J65" i="2"/>
  <c r="E67" i="2"/>
  <c r="H67" i="2"/>
  <c r="J67" i="2"/>
  <c r="E69" i="2"/>
  <c r="H69" i="2"/>
  <c r="J69" i="2"/>
  <c r="E71" i="2"/>
  <c r="H71" i="2"/>
  <c r="J71" i="2"/>
  <c r="E73" i="2"/>
  <c r="H73" i="2"/>
  <c r="J73" i="2"/>
  <c r="E75" i="2"/>
  <c r="H75" i="2"/>
  <c r="J75" i="2"/>
  <c r="E77" i="2"/>
  <c r="H77" i="2"/>
  <c r="J77" i="2"/>
  <c r="E79" i="2"/>
  <c r="H79" i="2"/>
  <c r="J79" i="2"/>
  <c r="E81" i="2"/>
  <c r="H81" i="2"/>
  <c r="J81" i="2"/>
  <c r="E83" i="2"/>
  <c r="H83" i="2"/>
  <c r="J83" i="2"/>
  <c r="E85" i="2"/>
  <c r="H85" i="2"/>
  <c r="J85" i="2"/>
  <c r="E87" i="2"/>
  <c r="H87" i="2"/>
  <c r="J87" i="2"/>
  <c r="E89" i="2"/>
  <c r="H89" i="2"/>
  <c r="J89" i="2"/>
  <c r="E8" i="2"/>
  <c r="H8" i="2"/>
  <c r="J8" i="2"/>
  <c r="E11" i="2"/>
  <c r="H11" i="2"/>
  <c r="J11" i="2"/>
  <c r="E14" i="2"/>
  <c r="H14" i="2"/>
  <c r="J14" i="2"/>
  <c r="E17" i="2"/>
  <c r="H17" i="2"/>
  <c r="J17" i="2"/>
  <c r="E18" i="2"/>
  <c r="H18" i="2"/>
  <c r="J18" i="2"/>
  <c r="E19" i="2"/>
  <c r="H19" i="2"/>
  <c r="J19" i="2"/>
  <c r="E20" i="2"/>
  <c r="H20" i="2"/>
  <c r="J20" i="2"/>
  <c r="E21" i="2"/>
  <c r="H21" i="2"/>
  <c r="J21" i="2"/>
  <c r="E22" i="2"/>
  <c r="H22" i="2"/>
  <c r="J22" i="2"/>
  <c r="E23" i="2"/>
  <c r="H23" i="2"/>
  <c r="J23" i="2"/>
  <c r="E24" i="2"/>
  <c r="H24" i="2"/>
  <c r="J24" i="2"/>
  <c r="E25" i="2"/>
  <c r="H25" i="2"/>
  <c r="J25" i="2"/>
  <c r="E26" i="2"/>
  <c r="H26" i="2"/>
  <c r="J26" i="2"/>
  <c r="E27" i="2"/>
  <c r="H27" i="2"/>
  <c r="J27" i="2"/>
  <c r="E28" i="2"/>
  <c r="H28" i="2"/>
  <c r="J28" i="2"/>
  <c r="E29" i="2"/>
  <c r="H29" i="2"/>
  <c r="J29" i="2"/>
  <c r="E30" i="2"/>
  <c r="H30" i="2"/>
  <c r="J30" i="2"/>
  <c r="E31" i="2"/>
  <c r="H31" i="2"/>
  <c r="J31" i="2"/>
  <c r="E32" i="2"/>
  <c r="H32" i="2"/>
  <c r="J32" i="2"/>
  <c r="E33" i="2"/>
  <c r="H33" i="2"/>
  <c r="J33" i="2"/>
  <c r="E34" i="2"/>
  <c r="H34" i="2"/>
  <c r="J34" i="2"/>
  <c r="E35" i="2"/>
  <c r="H35" i="2"/>
  <c r="J35" i="2"/>
  <c r="E36" i="2"/>
  <c r="H36" i="2"/>
  <c r="J36" i="2"/>
  <c r="E37" i="2"/>
  <c r="H37" i="2"/>
  <c r="J37" i="2"/>
  <c r="E38" i="2"/>
  <c r="H38" i="2"/>
  <c r="J38" i="2"/>
  <c r="E39" i="2"/>
  <c r="H39" i="2"/>
  <c r="J39" i="2"/>
  <c r="E40" i="2"/>
  <c r="H40" i="2"/>
  <c r="J40" i="2"/>
  <c r="E41" i="2"/>
  <c r="H41" i="2"/>
  <c r="J41" i="2"/>
  <c r="E42" i="2"/>
  <c r="H42" i="2"/>
  <c r="J42" i="2"/>
  <c r="E43" i="2"/>
  <c r="H43" i="2"/>
  <c r="J43" i="2"/>
  <c r="E44" i="2"/>
  <c r="H44" i="2"/>
  <c r="J44" i="2"/>
  <c r="E45" i="2"/>
  <c r="H45" i="2"/>
  <c r="J45" i="2"/>
  <c r="E46" i="2"/>
  <c r="H46" i="2"/>
  <c r="J46" i="2"/>
  <c r="E47" i="2"/>
  <c r="H47" i="2"/>
  <c r="J47" i="2"/>
  <c r="E48" i="2"/>
  <c r="H48" i="2"/>
  <c r="J48" i="2"/>
  <c r="E49" i="2"/>
  <c r="H49" i="2"/>
  <c r="J49" i="2"/>
  <c r="E50" i="2"/>
  <c r="H50" i="2"/>
  <c r="J50" i="2"/>
  <c r="E51" i="2"/>
  <c r="H51" i="2"/>
  <c r="J51" i="2"/>
  <c r="E52" i="2"/>
  <c r="H52" i="2"/>
  <c r="J52" i="2"/>
  <c r="E53" i="2"/>
  <c r="H53" i="2"/>
  <c r="J53" i="2"/>
  <c r="E54" i="2"/>
  <c r="H54" i="2"/>
  <c r="O8" i="1"/>
  <c r="O10" i="1"/>
  <c r="O9" i="1"/>
  <c r="G100" i="2"/>
  <c r="I22" i="1"/>
  <c r="G109" i="2" l="1"/>
  <c r="I109" i="2"/>
  <c r="G108" i="2"/>
  <c r="I108" i="2"/>
  <c r="G107" i="2"/>
  <c r="I107" i="2"/>
  <c r="G106" i="2"/>
  <c r="I106" i="2"/>
  <c r="G105" i="2"/>
  <c r="I105" i="2" s="1"/>
  <c r="G104" i="2"/>
  <c r="I104" i="2" s="1"/>
  <c r="G103" i="2"/>
  <c r="I103" i="2"/>
  <c r="G10" i="2"/>
  <c r="I10" i="2"/>
  <c r="G13" i="2"/>
  <c r="I13" i="2"/>
  <c r="G16" i="2"/>
  <c r="I16" i="2"/>
  <c r="G56" i="2"/>
  <c r="I56" i="2"/>
  <c r="G58" i="2"/>
  <c r="I58" i="2"/>
  <c r="G60" i="2"/>
  <c r="I60" i="2"/>
  <c r="G62" i="2"/>
  <c r="I62" i="2"/>
  <c r="G64" i="2"/>
  <c r="I64" i="2"/>
  <c r="G66" i="2"/>
  <c r="I66" i="2" s="1"/>
  <c r="G68" i="2"/>
  <c r="I68" i="2"/>
  <c r="G70" i="2"/>
  <c r="I70" i="2" s="1"/>
  <c r="G72" i="2"/>
  <c r="I72" i="2"/>
  <c r="G74" i="2"/>
  <c r="I74" i="2"/>
  <c r="G76" i="2"/>
  <c r="I76" i="2"/>
  <c r="G78" i="2"/>
  <c r="I78" i="2"/>
  <c r="G80" i="2"/>
  <c r="I80" i="2"/>
  <c r="G82" i="2"/>
  <c r="I82" i="2"/>
  <c r="G84" i="2"/>
  <c r="I84" i="2"/>
  <c r="G86" i="2"/>
  <c r="I86" i="2"/>
  <c r="G88" i="2"/>
  <c r="I88" i="2"/>
  <c r="G9" i="2"/>
  <c r="I9" i="2"/>
  <c r="G12" i="2"/>
  <c r="I12" i="2"/>
  <c r="G15" i="2"/>
  <c r="I15" i="2"/>
  <c r="G55" i="2"/>
  <c r="I55" i="2"/>
  <c r="G57" i="2"/>
  <c r="I57" i="2"/>
  <c r="G59" i="2"/>
  <c r="I59" i="2"/>
  <c r="G61" i="2"/>
  <c r="I61" i="2"/>
  <c r="G63" i="2"/>
  <c r="I63" i="2"/>
  <c r="G65" i="2"/>
  <c r="I65" i="2"/>
  <c r="G67" i="2"/>
  <c r="I67" i="2"/>
  <c r="G69" i="2"/>
  <c r="I69" i="2"/>
  <c r="G71" i="2"/>
  <c r="I71" i="2"/>
  <c r="G73" i="2"/>
  <c r="I73" i="2"/>
  <c r="G75" i="2"/>
  <c r="I75" i="2"/>
  <c r="G77" i="2"/>
  <c r="I77" i="2"/>
  <c r="G79" i="2"/>
  <c r="I79" i="2"/>
  <c r="G81" i="2"/>
  <c r="I81" i="2"/>
  <c r="G83" i="2"/>
  <c r="I83" i="2"/>
  <c r="G85" i="2"/>
  <c r="I85" i="2"/>
  <c r="G87" i="2"/>
  <c r="I87" i="2"/>
  <c r="G89" i="2"/>
  <c r="I89" i="2"/>
  <c r="G8" i="2"/>
  <c r="I8" i="2"/>
  <c r="G11" i="2"/>
  <c r="I11" i="2"/>
  <c r="G14" i="2"/>
  <c r="I14" i="2"/>
  <c r="G17" i="2"/>
  <c r="I17" i="2"/>
  <c r="G18" i="2"/>
  <c r="I18" i="2"/>
  <c r="G19" i="2"/>
  <c r="I19" i="2"/>
  <c r="G20" i="2"/>
  <c r="I20" i="2"/>
  <c r="G21" i="2"/>
  <c r="I21" i="2"/>
  <c r="G22" i="2"/>
  <c r="I22" i="2"/>
  <c r="G23" i="2"/>
  <c r="I23" i="2"/>
  <c r="G24" i="2"/>
  <c r="I24" i="2"/>
  <c r="G25" i="2"/>
  <c r="I25" i="2"/>
  <c r="G26" i="2"/>
  <c r="I26" i="2"/>
  <c r="G27" i="2"/>
  <c r="I27" i="2"/>
  <c r="G28" i="2"/>
  <c r="I28" i="2"/>
  <c r="G29" i="2"/>
  <c r="I29" i="2"/>
  <c r="G30" i="2"/>
  <c r="I30" i="2"/>
  <c r="G31" i="2"/>
  <c r="I31" i="2"/>
  <c r="G32" i="2"/>
  <c r="I32" i="2"/>
  <c r="G33" i="2"/>
  <c r="I33" i="2"/>
  <c r="G34" i="2"/>
  <c r="I34" i="2"/>
  <c r="G35" i="2"/>
  <c r="I35" i="2"/>
  <c r="G36" i="2"/>
  <c r="I36" i="2"/>
  <c r="G37" i="2"/>
  <c r="I37" i="2"/>
  <c r="G38" i="2"/>
  <c r="I38" i="2"/>
  <c r="G39" i="2"/>
  <c r="I39" i="2"/>
  <c r="G40" i="2"/>
  <c r="I40" i="2"/>
  <c r="G41" i="2"/>
  <c r="I41" i="2"/>
  <c r="G42" i="2"/>
  <c r="I42" i="2"/>
  <c r="G43" i="2"/>
  <c r="I43" i="2"/>
  <c r="G44" i="2"/>
  <c r="I44" i="2"/>
  <c r="G45" i="2"/>
  <c r="I45" i="2"/>
  <c r="G46" i="2"/>
  <c r="I46" i="2"/>
  <c r="G47" i="2"/>
  <c r="I47" i="2"/>
  <c r="G48" i="2"/>
  <c r="I48" i="2"/>
  <c r="G49" i="2"/>
  <c r="I49" i="2"/>
  <c r="G50" i="2"/>
  <c r="I50" i="2"/>
  <c r="G51" i="2"/>
  <c r="I51" i="2"/>
  <c r="G52" i="2"/>
  <c r="I52" i="2"/>
  <c r="G53" i="2"/>
  <c r="I53" i="2"/>
  <c r="G54" i="2"/>
  <c r="I54" i="2"/>
</calcChain>
</file>

<file path=xl/sharedStrings.xml><?xml version="1.0" encoding="utf-8"?>
<sst xmlns="http://schemas.openxmlformats.org/spreadsheetml/2006/main" count="4244" uniqueCount="675">
  <si>
    <t xml:space="preserve">Slugs Inventory — August 2026 MONTH TO DATE </t>
  </si>
  <si>
    <t>Date:</t>
  </si>
  <si>
    <t>Item ID</t>
  </si>
  <si>
    <t>Category</t>
  </si>
  <si>
    <t>Item Name (ERP)</t>
  </si>
  <si>
    <t>UOM</t>
  </si>
  <si>
    <t>Opening</t>
  </si>
  <si>
    <t>Received from Vendor</t>
  </si>
  <si>
    <t>Issued to Production</t>
  </si>
  <si>
    <t>Store Balance</t>
  </si>
  <si>
    <t>Work In Process</t>
  </si>
  <si>
    <t>Pieces Can Be Produced (Store + Floor Stock)</t>
  </si>
  <si>
    <t>Status / Remarks</t>
  </si>
  <si>
    <t>Slug</t>
  </si>
  <si>
    <t>13.5X4.2</t>
  </si>
  <si>
    <t>kg</t>
  </si>
  <si>
    <t>16x4.5</t>
  </si>
  <si>
    <t>19X4.5 S/M</t>
  </si>
  <si>
    <t>20.5x4.5</t>
  </si>
  <si>
    <t>25X4.5 S/M</t>
  </si>
  <si>
    <t>30X4.5 S/M</t>
  </si>
  <si>
    <t>32x5.0</t>
  </si>
  <si>
    <t>35X5.0</t>
  </si>
  <si>
    <t>Inventory — August 2026 Month to Date</t>
  </si>
  <si>
    <t xml:space="preserve">Pieces Can Be Produced </t>
  </si>
  <si>
    <t>Lacquer</t>
  </si>
  <si>
    <t>LACQUAR IMP 49989</t>
  </si>
  <si>
    <t>Not active in ERP</t>
  </si>
  <si>
    <t>EPOXY LACQUER (1500)</t>
  </si>
  <si>
    <t>L</t>
  </si>
  <si>
    <t>LACQUAR RHENANIA (ACTEGA COLL 299)</t>
  </si>
  <si>
    <t>PIGMENTED LACQUAR 57300</t>
  </si>
  <si>
    <t>E/P LACQUAR 4000 A/R</t>
  </si>
  <si>
    <t>Base Coat</t>
  </si>
  <si>
    <t>WHITE 5711200001</t>
  </si>
  <si>
    <t>GOLD 5725100018</t>
  </si>
  <si>
    <t>TRANSPARENT 234-786</t>
  </si>
  <si>
    <t>POLYSTER BASE COAT WHITE 23410</t>
  </si>
  <si>
    <t>POLYESTER BASE COAT BEIGE 234-999</t>
  </si>
  <si>
    <t>BEIGE 5711200007</t>
  </si>
  <si>
    <t>SILVER METALLIC 5725100011</t>
  </si>
  <si>
    <t>GOLD METALLIC ALM-550-234</t>
  </si>
  <si>
    <t>P11 TBX HT VARNISH (PC 176)</t>
  </si>
  <si>
    <t>YELLOW IMP 5711200008</t>
  </si>
  <si>
    <t>VR SCHEKOLIN 57251</t>
  </si>
  <si>
    <t>Latex</t>
  </si>
  <si>
    <t>LATEX IMP 574010002</t>
  </si>
  <si>
    <t>Zinc Powder</t>
  </si>
  <si>
    <t>ZINC STEARATE</t>
  </si>
  <si>
    <t>Cap</t>
  </si>
  <si>
    <t>M-7 S/M F/P (S) WHITE</t>
  </si>
  <si>
    <t>PCS</t>
  </si>
  <si>
    <t>M-7 OPHTHALMIC  PINK</t>
  </si>
  <si>
    <t>pcs</t>
  </si>
  <si>
    <t>M-9 S/M SPR BLACK DIA 16MM</t>
  </si>
  <si>
    <t>M-9 S/M SPR WHITE LORINE</t>
  </si>
  <si>
    <t>M-9 S/M SPR WHITE DIA 19</t>
  </si>
  <si>
    <t>M-9 S/M F/P WHITE (S)</t>
  </si>
  <si>
    <t>M-9 S/M SPR BLACK DIA 19</t>
  </si>
  <si>
    <t>M-9 S/M SPR WHITE DIA 22 AUTO</t>
  </si>
  <si>
    <t>M-9 S/M F/P ORANGE (NORMAL)</t>
  </si>
  <si>
    <t>M-9 S/M SPR BEIGE DIA 20.5</t>
  </si>
  <si>
    <t>M-9 S/M SPR WHITE DIA 16MM</t>
  </si>
  <si>
    <t>M-9 S/M F/P Normal White</t>
  </si>
  <si>
    <t>M-9 S/M SPR WHITE DIA 20.5MM</t>
  </si>
  <si>
    <t>M-9 S/M SPR BLACK DIA 20.5MM</t>
  </si>
  <si>
    <t>M-11 S/M SPR WHITE DIA 25MM</t>
  </si>
  <si>
    <t>M-11 S/M SPR ORANGE DIA 25</t>
  </si>
  <si>
    <t>M-11 S/M F/P BLACK</t>
  </si>
  <si>
    <t>M-11 S/M F/P WHITE (LARGE)</t>
  </si>
  <si>
    <t>M-11 S/M SPR DARK BLUE DIA 25MM</t>
  </si>
  <si>
    <t>M-11 S/M SPR BEIGE DIA 25</t>
  </si>
  <si>
    <t>M-12 S/M SPR WHITE DIA 30</t>
  </si>
  <si>
    <t>Carton</t>
  </si>
  <si>
    <t>16X200 3Ply</t>
  </si>
  <si>
    <t>DIA 16 5Ply</t>
  </si>
  <si>
    <t>19X200 3Ply</t>
  </si>
  <si>
    <t>20.5x510 5ply</t>
  </si>
  <si>
    <t>25x336 5Ply</t>
  </si>
  <si>
    <t>30X150 3Ply</t>
  </si>
  <si>
    <t>35x165 5ply</t>
  </si>
  <si>
    <t>MASTER CARTON 38"X24"X15.5"</t>
  </si>
  <si>
    <t>Tape</t>
  </si>
  <si>
    <t>PACKING TAPE 2" OF 60 YARDS</t>
  </si>
  <si>
    <t>Thinner</t>
  </si>
  <si>
    <t>THINNER FOR LACQUER SOL R/C</t>
  </si>
  <si>
    <t>THINNER LACQUAR SOL EPOXY</t>
  </si>
  <si>
    <t>Ink</t>
  </si>
  <si>
    <t>VIOLET 501 IMP</t>
  </si>
  <si>
    <t>VIOLET 502 IMP</t>
  </si>
  <si>
    <t>GREEN 165000</t>
  </si>
  <si>
    <t>BROWN 157662</t>
  </si>
  <si>
    <t>BLUE 126039</t>
  </si>
  <si>
    <t>MEGENTA RED 152166</t>
  </si>
  <si>
    <t>BLUE 165743</t>
  </si>
  <si>
    <t>BLACK (LOCAL) 77660</t>
  </si>
  <si>
    <t>YELLOW (PASTAL-C)</t>
  </si>
  <si>
    <t>INK JET BLACK 77842</t>
  </si>
  <si>
    <t>MAGENTA (LOCAL) 32500</t>
  </si>
  <si>
    <t>WHITE (LOCAL) 07094</t>
  </si>
  <si>
    <t>RED BRONZE (LOCAL) 32519</t>
  </si>
  <si>
    <t>INK BLUE ES 164</t>
  </si>
  <si>
    <t>VIOLET 400484</t>
  </si>
  <si>
    <t>ORANGE (LOCAL)</t>
  </si>
  <si>
    <t>GOLD (LOCAL) 97035</t>
  </si>
  <si>
    <t>GERANIUM (EVER SHINE) ES-130</t>
  </si>
  <si>
    <t>BLUE BRONZE (LOCAL) 51168</t>
  </si>
  <si>
    <t>PINK FLUORESCENT</t>
  </si>
  <si>
    <t>VIOLET TUB 400011</t>
  </si>
  <si>
    <t>YELLOW LEMON 18600</t>
  </si>
  <si>
    <t>INK BLUE PC</t>
  </si>
  <si>
    <t>INK CYAN PROCESS 51650</t>
  </si>
  <si>
    <t>GOLD V0221267-RF-401363</t>
  </si>
  <si>
    <t>INK GOLD V0221267AT-401363 IMP</t>
  </si>
  <si>
    <t>INK BLACK 158000 IMPORTED</t>
  </si>
  <si>
    <t>INK GREEN ES 166</t>
  </si>
  <si>
    <t>PURPLE 48054</t>
  </si>
  <si>
    <t>PET Inventory — August 2026 Month to Date</t>
  </si>
  <si>
    <t>PET Resin</t>
  </si>
  <si>
    <t>PET RESIN A-84</t>
  </si>
  <si>
    <t>Master Batch</t>
  </si>
  <si>
    <t>MASTER BATCH (PA M27) GREEN</t>
  </si>
  <si>
    <t>MASTER BATCH YELLOW CMN# 3087</t>
  </si>
  <si>
    <t>MASTER BATCH ONCOLOR YELLOW NE12340208-ZN</t>
  </si>
  <si>
    <t>MASTER BATCH BEIGE (RCW-25)</t>
  </si>
  <si>
    <t>MASTER BATCH AMBAR BR-535n</t>
  </si>
  <si>
    <t>MASTER BATCH WHITE PRC-MC ET02340000</t>
  </si>
  <si>
    <t>MASTER BATCH RENOL-GREEN NE60340193-MN</t>
  </si>
  <si>
    <t>MASTER BATCH GREEN PE63340532-ZN FA</t>
  </si>
  <si>
    <t>MASTER BATCH BLACK DP# 6411</t>
  </si>
  <si>
    <t>Poly Bag</t>
  </si>
  <si>
    <t>POLY BAG 20X30 (LDPE)</t>
  </si>
  <si>
    <t>POLY BAG 24X36 (LDPE)</t>
  </si>
  <si>
    <t>Granules</t>
  </si>
  <si>
    <t>HIGH DENSITY POLY ETHYLINE (HDPE) 200050</t>
  </si>
  <si>
    <t>LOW DENSITY POLY ETHYLENE ( LDPE 4025AS AB247Y01)</t>
  </si>
  <si>
    <t>HDPE BLOW NATURAL ( MARLEX )</t>
  </si>
  <si>
    <t>Packing</t>
  </si>
  <si>
    <t>PLASTIC DOORI</t>
  </si>
  <si>
    <t>ROLL</t>
  </si>
  <si>
    <t>TUBEX  — August 2026 Month to Date Report</t>
  </si>
  <si>
    <t>Report Date:</t>
  </si>
  <si>
    <t>TUBE</t>
  </si>
  <si>
    <t>TUBE — MTD</t>
  </si>
  <si>
    <t>TUBE — REJECT %</t>
  </si>
  <si>
    <t>Dispatch — MTD</t>
  </si>
  <si>
    <t>Press &amp; Printing Downtime – MTD (Tubes)</t>
  </si>
  <si>
    <t>Hours (MTD)</t>
  </si>
  <si>
    <t>% Share</t>
  </si>
  <si>
    <t>PET</t>
  </si>
  <si>
    <t>PET — MTD</t>
  </si>
  <si>
    <t>PET — REJECT %</t>
  </si>
  <si>
    <t>Material Shortage</t>
  </si>
  <si>
    <t>Operations</t>
  </si>
  <si>
    <t>Summary of Production &amp; Dispatch - MTD</t>
  </si>
  <si>
    <t>Mechanical</t>
  </si>
  <si>
    <t>Type</t>
  </si>
  <si>
    <t>Customer</t>
  </si>
  <si>
    <t>Product Name</t>
  </si>
  <si>
    <t>Dia</t>
  </si>
  <si>
    <t>Prod ID</t>
  </si>
  <si>
    <t>Orders</t>
  </si>
  <si>
    <t>MTD Produced</t>
  </si>
  <si>
    <t>Remaining</t>
  </si>
  <si>
    <t>Compliance</t>
  </si>
  <si>
    <t>Dispatch</t>
  </si>
  <si>
    <t>Remarks</t>
  </si>
  <si>
    <t>Changeover</t>
  </si>
  <si>
    <t>Samsol International Private Limited</t>
  </si>
  <si>
    <t>S-45</t>
  </si>
  <si>
    <t>Produced without Orders</t>
  </si>
  <si>
    <t>TOTAL</t>
  </si>
  <si>
    <t>100%</t>
  </si>
  <si>
    <t>Golden Pearl Cosmetics (PVT) LTD</t>
  </si>
  <si>
    <t>HELLO HAIR COLOR</t>
  </si>
  <si>
    <t>Mablay Beauty PVT LTD.</t>
  </si>
  <si>
    <t>VINCE NURTURAL</t>
  </si>
  <si>
    <t>PF Machine Downtime – MTD (PET)</t>
  </si>
  <si>
    <t>Hola Hair</t>
  </si>
  <si>
    <t>H.H 100GM</t>
  </si>
  <si>
    <t>Samsol Yellow 120ml</t>
  </si>
  <si>
    <t>120 ml</t>
  </si>
  <si>
    <t>Electrical</t>
  </si>
  <si>
    <t>Mablay 130ml White</t>
  </si>
  <si>
    <t>130 ml</t>
  </si>
  <si>
    <t>Mablay 130ml TRP</t>
  </si>
  <si>
    <t>Power Shutdown</t>
  </si>
  <si>
    <t>Alpha Labs PVT LTD</t>
  </si>
  <si>
    <t>Alpha 150ml TRP</t>
  </si>
  <si>
    <t>150 ml</t>
  </si>
  <si>
    <t>15k pieces rejected</t>
  </si>
  <si>
    <t>Horizon Chem</t>
  </si>
  <si>
    <t>Horizon 150ml TRP</t>
  </si>
  <si>
    <t>Samsol Yellow 200ml</t>
  </si>
  <si>
    <t>200 ml</t>
  </si>
  <si>
    <t>Bahadur</t>
  </si>
  <si>
    <t>BAHADUR TUBE 12.5MM</t>
  </si>
  <si>
    <t>Brookes Pharma Private Limited</t>
  </si>
  <si>
    <t>ECZEMUS OINTMENT 0.03% 10G</t>
  </si>
  <si>
    <t>S-45 DIA 19MM</t>
  </si>
  <si>
    <t>S-43 DIA 19MM</t>
  </si>
  <si>
    <t>PYODINE GEL 20GM</t>
  </si>
  <si>
    <t>CONTRATUBEX GEL 20G</t>
  </si>
  <si>
    <t>S-43 DIA 20.5</t>
  </si>
  <si>
    <t>VINCE HIS ONLY BEARD &amp; MUSTACHE COLOR CREAM</t>
  </si>
  <si>
    <t>SAMSOL HAIR COLOR 45 DIA 20.5 MM</t>
  </si>
  <si>
    <t>S-45 DIA 20.5</t>
  </si>
  <si>
    <t>SAMSOL HAIR COLOR 43 DIA 20.5 MM</t>
  </si>
  <si>
    <t>SAMSOL HAIR COLOR 39 SMALL PURPLE</t>
  </si>
  <si>
    <t>SAMSOL HAIR COLOR 41 SMALL PURPLE</t>
  </si>
  <si>
    <t>S 43 25MM</t>
  </si>
  <si>
    <t>TUBES</t>
  </si>
  <si>
    <t>TUBES COMMON RED</t>
  </si>
  <si>
    <t>TUBE COMMON PURPLE</t>
  </si>
  <si>
    <t>HIS ONLY HAIR COLOR CREAM 40GM</t>
  </si>
  <si>
    <t>TUBES MEN BLUE</t>
  </si>
  <si>
    <t>SAMSOL RED 25MM</t>
  </si>
  <si>
    <t>DTM</t>
  </si>
  <si>
    <t>DTM DIA 25MM</t>
  </si>
  <si>
    <t>Professional Beauty Solution (Pvt) Ltd</t>
  </si>
  <si>
    <t>BELINI HAIR COLOR 50ML</t>
  </si>
  <si>
    <t>Seatle (Private) Limited</t>
  </si>
  <si>
    <t>DOWFEN GEL 50G</t>
  </si>
  <si>
    <t>Professional Beauty Solution (PVT) LTD.Pakistan</t>
  </si>
  <si>
    <t>EAZICOLOR PREMIUM HAIR COLOUR 60ML</t>
  </si>
  <si>
    <t>HIBA S HAIR COLOR 60ML</t>
  </si>
  <si>
    <t>Al-Rehman Group</t>
  </si>
  <si>
    <t>SIGNATURE HAIR COLOR CREAM 60ML</t>
  </si>
  <si>
    <t>ACTIVE PRO HAIR COLOR CREAM 60ML</t>
  </si>
  <si>
    <t>VINCE NURTURAL (Varnish)</t>
  </si>
  <si>
    <t>EAZI COLOR PERMANENT HAIR COLOUR 60ML</t>
  </si>
  <si>
    <t>Mateen Sons</t>
  </si>
  <si>
    <t>GP DIA 30MM</t>
  </si>
  <si>
    <t>Mega Grey</t>
  </si>
  <si>
    <t>M.G</t>
  </si>
  <si>
    <t>Adore</t>
  </si>
  <si>
    <t>V- HC BROWN</t>
  </si>
  <si>
    <t>V-HC BLACK</t>
  </si>
  <si>
    <t>ANVIL 43</t>
  </si>
  <si>
    <t>ANVIL 45</t>
  </si>
  <si>
    <t>Samsol Black 120ml</t>
  </si>
  <si>
    <t>Samsol White 120ml</t>
  </si>
  <si>
    <t>Samsol White 200ml</t>
  </si>
  <si>
    <t>Samsol Mustard Oil 200ml TRP</t>
  </si>
  <si>
    <t>Samsol Coconut Oil 200ml White</t>
  </si>
  <si>
    <t>Samsol Black 200ml</t>
  </si>
  <si>
    <t>Mablay 300ml TRP</t>
  </si>
  <si>
    <t>300 ml</t>
  </si>
  <si>
    <t>Mablay 500ml Jar TRP</t>
  </si>
  <si>
    <t>500 ml</t>
  </si>
  <si>
    <t>AUGUST 2026 Tube Required Orders</t>
  </si>
  <si>
    <t>Product ID</t>
  </si>
  <si>
    <t>Job Order #</t>
  </si>
  <si>
    <t>Required Qty</t>
  </si>
  <si>
    <t>Produced</t>
  </si>
  <si>
    <t>Remaining Balance</t>
  </si>
  <si>
    <t>Cap Shortage</t>
  </si>
  <si>
    <t>TOTAL:</t>
  </si>
  <si>
    <t>JULY TUBES MATERIAL REQUIREMENT PLAN</t>
  </si>
  <si>
    <t>Item Name</t>
  </si>
  <si>
    <t>Current Stock (Store + WIP)</t>
  </si>
  <si>
    <t>Surplus / (Deficit)</t>
  </si>
  <si>
    <t>Current Stock
Pieces Can Produce</t>
  </si>
  <si>
    <t>Status</t>
  </si>
  <si>
    <t>Product Name(s)</t>
  </si>
  <si>
    <t>SLUG</t>
  </si>
  <si>
    <t>12.5X4.5X4.8</t>
  </si>
  <si>
    <t>16X4.8 S/M</t>
  </si>
  <si>
    <t>19X4.2</t>
  </si>
  <si>
    <t>25X4.8 S/M</t>
  </si>
  <si>
    <t>30X4.3</t>
  </si>
  <si>
    <t>32X5.2</t>
  </si>
  <si>
    <t>LACQUER</t>
  </si>
  <si>
    <t>LACQUER IMP 49989</t>
  </si>
  <si>
    <t>LACQUER RHENANIA (ACTEGA COLL 299)</t>
  </si>
  <si>
    <t>PIGMENTED LACQUER 57300</t>
  </si>
  <si>
    <t>E/P LACQUER 4000 A/R</t>
  </si>
  <si>
    <t>BASE COAT</t>
  </si>
  <si>
    <t>LATEX</t>
  </si>
  <si>
    <t>CAP</t>
  </si>
  <si>
    <t>CAP 12.5MM (est)</t>
  </si>
  <si>
    <t>CARTON</t>
  </si>
  <si>
    <t>CARTON 12.5MM (est)</t>
  </si>
  <si>
    <t>ZINC POWDER</t>
  </si>
  <si>
    <t>ZINC ARCHIMATE</t>
  </si>
  <si>
    <t>TAPE</t>
  </si>
  <si>
    <t>THINNER</t>
  </si>
  <si>
    <t>THINNER LACQUER SOL EPOXY</t>
  </si>
  <si>
    <t>PET RESIN</t>
  </si>
  <si>
    <t>MASTER BATCH</t>
  </si>
  <si>
    <t>GRANULES</t>
  </si>
  <si>
    <t>POLY BAG</t>
  </si>
  <si>
    <t>PACKING</t>
  </si>
  <si>
    <t>AUGUST 2026 PET Required Pet Orders</t>
  </si>
  <si>
    <t>337, 345 &amp; 350</t>
  </si>
  <si>
    <t>341 &amp; 347</t>
  </si>
  <si>
    <t>15k Rejected</t>
  </si>
  <si>
    <t>AUGUST PET MATERIAL REQUIREMENT PLAN</t>
  </si>
  <si>
    <t xml:space="preserve">  PRODUCTION LOG — One row per machine per product per day.</t>
  </si>
  <si>
    <t>Date</t>
  </si>
  <si>
    <t>Machine</t>
  </si>
  <si>
    <t>Dia / Volume</t>
  </si>
  <si>
    <t>Target Quantity</t>
  </si>
  <si>
    <t>Good Quantity Produced</t>
  </si>
  <si>
    <t>Reject/Scrap Quantity</t>
  </si>
  <si>
    <t>Waste%</t>
  </si>
  <si>
    <t>Mechanical DT</t>
  </si>
  <si>
    <t>Electrical DT</t>
  </si>
  <si>
    <t>Material Shortage DT</t>
  </si>
  <si>
    <t>Changeover DT</t>
  </si>
  <si>
    <t>Operations DT</t>
  </si>
  <si>
    <t>Power Shutdown DT</t>
  </si>
  <si>
    <t>Gas Shutdown DT</t>
  </si>
  <si>
    <t>Workers Shortage DT</t>
  </si>
  <si>
    <t>Lacquer-03</t>
  </si>
  <si>
    <t>Latex-01</t>
  </si>
  <si>
    <t>PF Machine</t>
  </si>
  <si>
    <t>TRANSPARENT BOTTLE 150ML</t>
  </si>
  <si>
    <t>Press-04</t>
  </si>
  <si>
    <t>Printing-04</t>
  </si>
  <si>
    <t>Lacquer-04</t>
  </si>
  <si>
    <t>Press-06</t>
  </si>
  <si>
    <t>Printing-03</t>
  </si>
  <si>
    <t xml:space="preserve">  BILL OF MATERIALS — Customer-Specific</t>
  </si>
  <si>
    <t>BOM ID</t>
  </si>
  <si>
    <t>Material Category</t>
  </si>
  <si>
    <t>Per 1000 Units</t>
  </si>
  <si>
    <t>Material Group</t>
  </si>
  <si>
    <t>Scrap %</t>
  </si>
  <si>
    <t>Change Note</t>
  </si>
  <si>
    <t>Aluminum Slugs</t>
  </si>
  <si>
    <t>POLYSTER BASE COAT WHITE 234</t>
  </si>
  <si>
    <t>Caps</t>
  </si>
  <si>
    <t>Cartons</t>
  </si>
  <si>
    <t>Zinc Stearate</t>
  </si>
  <si>
    <t>Packing Tape</t>
  </si>
  <si>
    <t>PHLOGIN GEL 20G</t>
  </si>
  <si>
    <t>Zinc</t>
  </si>
  <si>
    <t>Muhammad Hashim Khan</t>
  </si>
  <si>
    <t>INK</t>
  </si>
  <si>
    <t>35x180 5ply</t>
  </si>
  <si>
    <t>YELLOW BASE COAT (Item ID unknown — confirm with ERP)</t>
  </si>
  <si>
    <t>MASTER CARTON</t>
  </si>
  <si>
    <t>Master Carton</t>
  </si>
  <si>
    <t>PET BOTTLE SMALL (120ML) YELLOW</t>
  </si>
  <si>
    <t>MASTERBATCH</t>
  </si>
  <si>
    <t>Masterbatch</t>
  </si>
  <si>
    <t>BLACK SMALL BOTTLE 120ML</t>
  </si>
  <si>
    <t>WHITE SMALL BOTTLE 120ML</t>
  </si>
  <si>
    <t>PET BOTTLE SMALL (130ML) TRANSPARENT</t>
  </si>
  <si>
    <t>PET BOTTLE LARGE (200 ML) YELLOW</t>
  </si>
  <si>
    <t>PET BOTTLE LARGE 200ML WHITE</t>
  </si>
  <si>
    <t>PET BOTTLE COCONUT OIL (200ML) WHITE</t>
  </si>
  <si>
    <t>BLACK BOTTLE 200ML</t>
  </si>
  <si>
    <t>TRANSPARENT BOTTLE 300ML</t>
  </si>
  <si>
    <t>MASTER CARTON 34.7 X 59.5 X 34.5</t>
  </si>
  <si>
    <t>TRANSPARENT JAR 500ML</t>
  </si>
  <si>
    <t>PET BOTTLE MUSTARD OIL (200ML) TRANSPARENT</t>
  </si>
  <si>
    <t>Professional Beauty Solution (Pvt) Ltd.Pakistan</t>
  </si>
  <si>
    <t>30X150 3Ply L18.75" W12.5" H6.5"</t>
  </si>
  <si>
    <t>25x336 5Ply L21.5" W14.5" H7 "</t>
  </si>
  <si>
    <t>M-12 S/M SPR WHITE DIA 30 SCABIN</t>
  </si>
  <si>
    <t>35x180 5ply L21.5" W14.5" H8.5"</t>
  </si>
  <si>
    <t>POLYSTER BASE COAT WHITE 23410 CT</t>
  </si>
  <si>
    <t>20.5x510 5ply L21.5" W14.5" H6"</t>
  </si>
  <si>
    <t>PET BOTTLE 130ML WHITE</t>
  </si>
  <si>
    <t>PET BOTTLE (150ML)TRANSPARENT BODY MIST</t>
  </si>
  <si>
    <t xml:space="preserve">  PRODUCT CATALOG — Master lookup for all products</t>
  </si>
  <si>
    <t>Dia (mm)</t>
  </si>
  <si>
    <t>Length (mm)</t>
  </si>
  <si>
    <t>Pcs/Carton</t>
  </si>
  <si>
    <t># of Pieces</t>
  </si>
  <si>
    <t>Slug (kg)</t>
  </si>
  <si>
    <t>Base Coat (kg)</t>
  </si>
  <si>
    <t>Lacquer (kg)</t>
  </si>
  <si>
    <t>Latex (kg)</t>
  </si>
  <si>
    <t>Zinc (kg)</t>
  </si>
  <si>
    <t>Caps (PCS)</t>
  </si>
  <si>
    <t>Cartons (PCS)</t>
  </si>
  <si>
    <t>Ink Used</t>
  </si>
  <si>
    <t>No</t>
  </si>
  <si>
    <t>Yes</t>
  </si>
  <si>
    <t>BOM ISSUES — ERP Action Register (v10.21 · May 2026)</t>
  </si>
  <si>
    <t>Open items only. Fixed/resolved items are removed. Colour code: RED=CRITICAL · ORANGE=HIGH · YELLOW=MEDIUM · WHITE=LOW.</t>
  </si>
  <si>
    <t>S1 — NEW ERP BOMs REQUIRED: TUBE PRODUCTS</t>
  </si>
  <si>
    <t>PID</t>
  </si>
  <si>
    <t>BOM#</t>
  </si>
  <si>
    <t>Product</t>
  </si>
  <si>
    <t>Issue</t>
  </si>
  <si>
    <t>ERP Action Required</t>
  </si>
  <si>
    <t>Priority</t>
  </si>
  <si>
    <t>Placeholder PID — varnish pass</t>
  </si>
  <si>
    <t>Create ERP BOM: Slug(2)+BC(3595)+Lac(4155)+Zinc(194)+Cap(578)+Carton(3598)+Tape(3635).</t>
  </si>
  <si>
    <t>HIGH</t>
  </si>
  <si>
    <t>OPEN</t>
  </si>
  <si>
    <t>—</t>
  </si>
  <si>
    <t>Samsol International</t>
  </si>
  <si>
    <t>S-43 DIA 19</t>
  </si>
  <si>
    <t>Real ERP PID confirmed (was 9003)</t>
  </si>
  <si>
    <t>Create ERP BOM: Slug(22)+BC(3595)+Lac(185)+Cap(80)+Carton(39 or 3619 — confirm)+Zinc(194)+Tape(3635).</t>
  </si>
  <si>
    <t>Placeholder PID. Carton ID 9903 is fake.</t>
  </si>
  <si>
    <t>Create ERP BOM. Confirm real carton Item ID. Lacquer Item ID unknown — add once confirmed.</t>
  </si>
  <si>
    <t>Placeholder PID</t>
  </si>
  <si>
    <t>Create ERP BOM: Slug(6)+BC(3595)+Lac(185)+Cap(68)+Carton(3598)+Zinc(194)+Tape(3635).</t>
  </si>
  <si>
    <t>S3 — BOM RATE CORRECTIONS: Fix quantities in existing ERP BOMs</t>
  </si>
  <si>
    <t>Material</t>
  </si>
  <si>
    <t>Current ERP Rate</t>
  </si>
  <si>
    <t>Correct Rate</t>
  </si>
  <si>
    <t>Notes</t>
  </si>
  <si>
    <t>4155</t>
  </si>
  <si>
    <t>0.16 kg</t>
  </si>
  <si>
    <t>0.50 kg</t>
  </si>
  <si>
    <t>CRITICAL</t>
  </si>
  <si>
    <t>Floor measurement. 3× understatement.</t>
  </si>
  <si>
    <t>Same spec as Anvil 43.</t>
  </si>
  <si>
    <t>4156</t>
  </si>
  <si>
    <t>0.78 kg</t>
  </si>
  <si>
    <t>1.20 kg</t>
  </si>
  <si>
    <t>Floor wet measurement.</t>
  </si>
  <si>
    <t>SAMSOL HC 45 20.5MM</t>
  </si>
  <si>
    <t>3635</t>
  </si>
  <si>
    <t>2.996 PCS</t>
  </si>
  <si>
    <t>0.059 PCS</t>
  </si>
  <si>
    <t>50× data entry error.</t>
  </si>
  <si>
    <t>SAMSOL HC 43 20.5MM</t>
  </si>
  <si>
    <t>any</t>
  </si>
  <si>
    <t>5,600,000 kg</t>
  </si>
  <si>
    <t>~0.56 kg</t>
  </si>
  <si>
    <t>ERP data entry error — magnitude wrong.</t>
  </si>
  <si>
    <t>0.28 kg</t>
  </si>
  <si>
    <t>0.47 kg</t>
  </si>
  <si>
    <t>MEDIUM</t>
  </si>
  <si>
    <t>Floor dry measurement.</t>
  </si>
  <si>
    <t>S4 — MISSING MATERIAL LINES: Add to existing ERP BOMs</t>
  </si>
  <si>
    <t>Missing Material</t>
  </si>
  <si>
    <t>Rate</t>
  </si>
  <si>
    <t>Reason / Evidence</t>
  </si>
  <si>
    <t>6020/6021</t>
  </si>
  <si>
    <t>ANVIL 43 / ANVIL 45</t>
  </si>
  <si>
    <t>YELLOW BASE COAT</t>
  </si>
  <si>
    <t>0.78 kg (est — matches all 35mm)</t>
  </si>
  <si>
    <t>Added to local BOM (red font). Item ID 177 confirmed per S6. ADD to ERP BOM.</t>
  </si>
  <si>
    <t>1,000 PCS</t>
  </si>
  <si>
    <t>No cap in ERP BOM. Same 30mm white cap used by all 30mm products.</t>
  </si>
  <si>
    <t>UNKNOWN</t>
  </si>
  <si>
    <t>TBD</t>
  </si>
  <si>
    <t>No cap line in ERP BOM at all. Confirm Item ID with Rehan.</t>
  </si>
  <si>
    <t>ERP BOM#95 has no carton despite 150 pcs/carton in header. Confirm Item ID.</t>
  </si>
  <si>
    <t>0.28 kg (est)</t>
  </si>
  <si>
    <t>Product_Catalog=Yes but not in BOM. Same rate as Active Pro 30mm.</t>
  </si>
  <si>
    <t>VINCE HIS</t>
  </si>
  <si>
    <t>Product_Catalog=Yes but not in BOM. Confirm rate with Rehan.</t>
  </si>
  <si>
    <t>Header shows Latex=Yes but no latex line in BOM.</t>
  </si>
  <si>
    <t>Product_Catalog=Yes but not in BOM.</t>
  </si>
  <si>
    <t>S5 — ITEM ID CHANGES: Applied in local BOM. Must be replicated in ERP (delete old line, add new line)</t>
  </si>
  <si>
    <t>Old Item ID</t>
  </si>
  <si>
    <t>Old ERP Name</t>
  </si>
  <si>
    <t>New Item ID</t>
  </si>
  <si>
    <t>New ERP Name</t>
  </si>
  <si>
    <t>ACTIVE PRO 60ML</t>
  </si>
  <si>
    <t>0.67 kg</t>
  </si>
  <si>
    <t>0.56 kg</t>
  </si>
  <si>
    <t>0.3737 kg</t>
  </si>
  <si>
    <t>HIBA S HAIR COLOR</t>
  </si>
  <si>
    <t>HIS ONLY HC 40GM</t>
  </si>
  <si>
    <t>0.612 kg</t>
  </si>
  <si>
    <t>0.1785 kg</t>
  </si>
  <si>
    <t>0.61 kg</t>
  </si>
  <si>
    <t>M-11 SPR BEIGE DIA 25</t>
  </si>
  <si>
    <t>M-11 SPR WHITE DIA 25MM</t>
  </si>
  <si>
    <t>0.385 kg</t>
  </si>
  <si>
    <t>M-9 SPR BEIGE DIA 20.5</t>
  </si>
  <si>
    <t>M-9 SPR WHITE DIA 20.5MM</t>
  </si>
  <si>
    <t>0.24 kg</t>
  </si>
  <si>
    <t>0.292 kg</t>
  </si>
  <si>
    <t>0.31 kg</t>
  </si>
  <si>
    <t>0.6684 kg</t>
  </si>
  <si>
    <t>0.2959 kg</t>
  </si>
  <si>
    <t>6.06 PCS</t>
  </si>
  <si>
    <t>S6 — ITEM ID QUERIES: Confirm with Rehan before finalising</t>
  </si>
  <si>
    <t>Detail</t>
  </si>
  <si>
    <t>Item / ID 1</t>
  </si>
  <si>
    <t>Item / ID 2</t>
  </si>
  <si>
    <t>Question / Issue</t>
  </si>
  <si>
    <t>PID 6624 Carton</t>
  </si>
  <si>
    <t>S-43 DIA 19 (19mm product)</t>
  </si>
  <si>
    <t>3619 = 20.5mm carton</t>
  </si>
  <si>
    <t>39 = 19mm carton (expected)</t>
  </si>
  <si>
    <t>BOM originally had 20.5mm carton for 19mm product — likely Rehan data entry error. Which is correct?</t>
  </si>
  <si>
    <t>Gold Inks</t>
  </si>
  <si>
    <t>Item IDs 7094 vs 6935</t>
  </si>
  <si>
    <t>ID 7094 = INK GOLD IMP V0221267AT</t>
  </si>
  <si>
    <t>ID 6935 = GOLD V0221267-RF</t>
  </si>
  <si>
    <t>Same material or different? 7094 has 20 kg consumption; 6935 has zero. Possible duplicate.</t>
  </si>
  <si>
    <t>Verify</t>
  </si>
  <si>
    <t>LOW</t>
  </si>
  <si>
    <t>PID 5698 vs 5731</t>
  </si>
  <si>
    <t>S-45 DIA 20.5 (Samsol)</t>
  </si>
  <si>
    <t>5698 BOM#22 (old)</t>
  </si>
  <si>
    <t>5731 BOM#32 (newer)</t>
  </si>
  <si>
    <t>Is PID 5698 obsolete, superseded by 5731? Confirm ERP.</t>
  </si>
  <si>
    <t>Confirm</t>
  </si>
  <si>
    <t>PID 6077</t>
  </si>
  <si>
    <t>VINCE HIS BOM#138</t>
  </si>
  <si>
    <t>ERP BOM#138</t>
  </si>
  <si>
    <t>BOM#138 not in ERP BOMs file provided. Does it exist in ERP?</t>
  </si>
  <si>
    <t>Zinc Archimate</t>
  </si>
  <si>
    <t>PIDs 6337/6416/6312</t>
  </si>
  <si>
    <t>ZINC ARCHIMATE (Item 4165)</t>
  </si>
  <si>
    <t>ZINC STEARATE (Item 194)</t>
  </si>
  <si>
    <t>4165 is obsolete — replaced by 194. Local BOM fixed. ERP BOM# 157/166/171 must remove 4165, add 194.</t>
  </si>
  <si>
    <t>Local Fixed — ERP Pending</t>
  </si>
  <si>
    <t>Anvil Yellow BC</t>
  </si>
  <si>
    <t>PID 6020/6021</t>
  </si>
  <si>
    <t>Item 177 = YELLOW IMP 5711200008</t>
  </si>
  <si>
    <t>Confirm Item ID 177 is correct for Yellow Base Coat. Rate 0.78 kg/1000 is estimated (red font).</t>
  </si>
  <si>
    <t>Bahadur Lacquer</t>
  </si>
  <si>
    <t>PID 9004</t>
  </si>
  <si>
    <t>Item 185 (est)</t>
  </si>
  <si>
    <t>Lacquer line added to local BOM at 0.17 kg (same as 16mm). Confirm actual rate with Aurangzeb.</t>
  </si>
  <si>
    <t>S7 — ERP ITEM NAME CORRECTIONS: LACQUER spelling (LACQUAR → LACQUER). Fixed in local BOM. ERP item master still incorrect.</t>
  </si>
  <si>
    <t>Old ERP Name (wrong)</t>
  </si>
  <si>
    <t>Correct Name</t>
  </si>
  <si>
    <t>Affected Products</t>
  </si>
  <si>
    <t>→</t>
  </si>
  <si>
    <t>ACTIVE PRO, SIGNATURE, HELLO HC, VINCE NURTURAL, VINCE NURTURAL (Varnish), HIBA HC, VINCE HIS</t>
  </si>
  <si>
    <t>Obsolete in local BOM (replaced by 4155). May still appear in old ERP BOMs.</t>
  </si>
  <si>
    <t>Obsolete in local BOM (replaced by 185). May still appear in old ERP BOMs.</t>
  </si>
  <si>
    <t>S8 — SLUG CHANGE: 30mm diameter products — 30×4.3 (Item 2) → 30×4.5 S/M (Item 406). Effective 21-Apr-2026. Local BOM updated. ERP pending.</t>
  </si>
  <si>
    <t>Old Slug</t>
  </si>
  <si>
    <t>New Slug</t>
  </si>
  <si>
    <t>30×4.3 (Item 2)</t>
  </si>
  <si>
    <t>30×4.5 S/M (Item 406)</t>
  </si>
  <si>
    <t>Replace slug line in ERP BOM</t>
  </si>
  <si>
    <t>S9 — INK MANAGEMENT (Historical Average Method — BOM-based tracking not applicable)</t>
  </si>
  <si>
    <t>Ink consumption tracked via MRP sheet ink section using 12-month ERP averages (May 2025–Apr 2026). DO NOT create ink BOMs in ERP — Aurangzeb's team custom-mixes every batch. Refresh quarterly.</t>
  </si>
  <si>
    <t>Rule</t>
  </si>
  <si>
    <t>Order trigger</t>
  </si>
  <si>
    <t>Order when Days of Stock &lt; 30 (under 1 month supply)</t>
  </si>
  <si>
    <t>Safety stock</t>
  </si>
  <si>
    <t>≥ 2 months stock for high-volume inks (avg &gt; 1 kg/mo)</t>
  </si>
  <si>
    <t>Min order qty</t>
  </si>
  <si>
    <t>High-vol (&gt;1 kg/mo): 5 kg. Low-vol: 2 kg.</t>
  </si>
  <si>
    <t>Mixing buffer</t>
  </si>
  <si>
    <t>30% uplift on avg — manual mixing causes ±20-30% monthly variance.</t>
  </si>
  <si>
    <t>Dormant stock</t>
  </si>
  <si>
    <t>avg=0 but stock on hand: review with Aurangzeb before writing off.</t>
  </si>
  <si>
    <t>Quarterly refresh</t>
  </si>
  <si>
    <t>Each quarter (Aug/Nov/Feb/May): pull ERP stock report → update col E in MRP ink section.</t>
  </si>
  <si>
    <t>Open Query</t>
  </si>
  <si>
    <t>Item ID(s)</t>
  </si>
  <si>
    <t>Question / Action</t>
  </si>
  <si>
    <t>7094 / 6935</t>
  </si>
  <si>
    <t>ID 7094 consumed 20 kg in 12mo. ID 6935 = zero. Same material under two IDs? Ask Rehan to consolidate.</t>
  </si>
  <si>
    <t>Violet 400484</t>
  </si>
  <si>
    <t>3800</t>
  </si>
  <si>
    <t>Zero consumption 12 months. ~1 kg in stock. Still needed? If not → write off.</t>
  </si>
  <si>
    <t>Pink Fluorescent</t>
  </si>
  <si>
    <t>4216</t>
  </si>
  <si>
    <t>Zero consumption 12 months. ~1 kg in stock. Occasional job or obsolete?</t>
  </si>
  <si>
    <t>Ink Jet Black</t>
  </si>
  <si>
    <t>3642</t>
  </si>
  <si>
    <t>Only 1 kg consumed (Apr 2026). One-off or recurring? Avg set to 0.08 — confirm.</t>
  </si>
  <si>
    <t>Rank</t>
  </si>
  <si>
    <t>Ink Name</t>
  </si>
  <si>
    <t>12mo kg</t>
  </si>
  <si>
    <t>Avg/mo kg</t>
  </si>
  <si>
    <t>g/1000 tubes</t>
  </si>
  <si>
    <t>% of Total</t>
  </si>
  <si>
    <t>20.2%</t>
  </si>
  <si>
    <t>9.2%</t>
  </si>
  <si>
    <t>8.9%</t>
  </si>
  <si>
    <t>8.5%</t>
  </si>
  <si>
    <t>7.7%</t>
  </si>
  <si>
    <t>BLACK (LOCAL) 77842</t>
  </si>
  <si>
    <t>7.4%</t>
  </si>
  <si>
    <t>INK GOLD IMP V0221267AT</t>
  </si>
  <si>
    <t>5.1%</t>
  </si>
  <si>
    <t>4.0%</t>
  </si>
  <si>
    <t>3.3%</t>
  </si>
  <si>
    <t>Top 10 inks = 81.7% of all consumption. Remaining 15 inks share 18.3%.  Source: ERP ST_Stk_Cons_YFI.rpt · May 2025–Apr 2026 · 8,617,293 pcs produced.</t>
  </si>
  <si>
    <t>FG STOCK IN HAND — Last Updated: 24-Aug-2026</t>
  </si>
  <si>
    <t>Shows latest date only from FG Stock In hand (Production.xlsx). Older dates are discarded. Re-run update_production.py to refresh.</t>
  </si>
  <si>
    <t>Sr.</t>
  </si>
  <si>
    <t>Product (Catalog Name)</t>
  </si>
  <si>
    <t>Dia / Vol</t>
  </si>
  <si>
    <t>FG Qty (pcs)</t>
  </si>
  <si>
    <t>Dispatch Remarks</t>
  </si>
  <si>
    <t>Cap Item ID (auto)</t>
  </si>
  <si>
    <t>30</t>
  </si>
  <si>
    <t>OK</t>
  </si>
  <si>
    <t>Ready for dispatch</t>
  </si>
  <si>
    <t>32</t>
  </si>
  <si>
    <t>35</t>
  </si>
  <si>
    <t>25</t>
  </si>
  <si>
    <t>Samsol 45 - No Order</t>
  </si>
  <si>
    <t>150ml</t>
  </si>
  <si>
    <t>Hold</t>
  </si>
  <si>
    <t>Inprogress On Packing</t>
  </si>
  <si>
    <t>Not Ready</t>
  </si>
  <si>
    <t>Samsol 45 - Inprogress On Packing</t>
  </si>
  <si>
    <t>Inprogress on Capping</t>
  </si>
  <si>
    <t>20.5</t>
  </si>
  <si>
    <t>Order Cancel</t>
  </si>
  <si>
    <t>19</t>
  </si>
  <si>
    <t>ALPHA CONTAINERS — STRATEGIC ROADMAP &amp; AI PROMPT SPECIFICATION SHEET</t>
  </si>
  <si>
    <t>Feature ID</t>
  </si>
  <si>
    <t>Category / Pillar</t>
  </si>
  <si>
    <t>Feature Name</t>
  </si>
  <si>
    <t>Quick Summary (At a Glance)</t>
  </si>
  <si>
    <t>Ready-to-Paste AntiGravity AI Prompt (Gemini Flash 3.7)</t>
  </si>
  <si>
    <t>Priority &amp; Effort</t>
  </si>
  <si>
    <t>FP-01</t>
  </si>
  <si>
    <t>Web Dashboard &amp; UX</t>
  </si>
  <si>
    <t>Raw Material Yield &amp; Capacity Calculator (Slugs &amp; Resin)</t>
  </si>
  <si>
    <t>Input available slug stock (kg) or resin stock (kg) into a clean calculator on the web dashboard to instantly see how many total tubes or bottles can be produced by diameter and bottle size without manual math.</t>
  </si>
  <si>
    <t>Implement a dual-mode Raw Material Yield &amp; Capacity Calculator in d:\Alpha\Tubex.html and update Scripts/update_html.py.
1. UI Design:
   - Add a dedicated "Raw Material Yield Calculator" section under the Materials tab.
   - Provide a toggle switch between [Aluminum Slugs (Tubes)] and [PET Resin (Bottles)].
2. Aluminum Slugs Mode:
   - Select slug diameter (13.5mm, 16mm, 19mm, 20.5mm, 25mm, 30mm, 32mm, 35mm) and enter available mass (kg).
   - Calculate producible units using exact slug piece mass:
     Units = Round((Available_kg * 1000) / Slug_Weight_g * (1 - Scrap_Factor))
   - Display calculated tubes with diameter badge, slug mass, and estimated scrap allowance.
3. PET Resin Mode:
   - Input available PET resin (kg) (e.g. 2,000 kg).
   - Render cards showing producible quantities across all standard bottle sizes (75ml @ 10g, 120ml @ 17.1g, 130ml @ 18.5g, 150ml @ 20g, 200ml @ 24g, 500ml @ 50g).
4. Verification:
   - Ensure bidirectional real-time calculation on input events.
   - Verify responsive mobile layout and entity escaping.</t>
  </si>
  <si>
    <t>Ready to Implement</t>
  </si>
  <si>
    <t>High / Quick Win</t>
  </si>
  <si>
    <t>FP-02</t>
  </si>
  <si>
    <t>Historical Month Selector &amp; Dashboard Archive Switcher</t>
  </si>
  <si>
    <t>Turn the "August 2026" header on the web dashboard into a clickable dropdown to browse and view complete past monthly dashboards (e.g. July 2026) instantly from archive files without reloading.</t>
  </si>
  <si>
    <t>Upgrade d:\Alpha\Tubex.html and Scripts/build_archives.py to support interactive historical dashboard switching.
1. Architecture:
   - Update build_archives.py to export historical monthly JSON snapshots into d:\Alpha\archives\ (e.g. 2026-07.json, 2026-06.json).
   - Each snapshot must contain complete KPIs, active orders, production log, downtime, and dispatch totals.
2. UI Component:
   - Replace the static #monthLabel in Tubex.html header with a styled &lt;select&gt; dropdown listing all available archived months.
   - On change, asynchronously load the selected month data (or read from an embedded ARCHIVE_DATA map) and re-render the entire dashboard views seamlessly.
3. Caching &amp; PWA:
   - Update sw.js to pre-cache historical JSON files so past month inspection works 100% offline.
4. Verification:
   - Test switching from August 2026 to July 2026 and verify KPIs, orders table, and downtime match July archive records.</t>
  </si>
  <si>
    <t>FP-03</t>
  </si>
  <si>
    <t>Real-Time Hourly Shift Velocity &amp; Target Pacing Gauge</t>
  </si>
  <si>
    <t>A live speedometer/progress visual on the executive dashboard showing current shift production speed vs. required speed to hit daily targets, highlighting slowdowns early in the shift.</t>
  </si>
  <si>
    <t>Add an Hourly Shift Velocity &amp; Target Pacing Gauge to d:\Alpha\Tubex.html.
1. Calculation Model:
   - Calculate Required Run Rate = (Daily Planned Target - MTD Produced) / Remaining Operating Hours.
   - Calculate Actual Shift Velocity = Yesterday Produced / 24 hrs (or operational shift hours).
   - Velocity Index (%) = (Actual Velocity / Required Velocity) * 100.
2. UI Component:
   - Embed a circular SVG gauge or modern progress bar in the KPI card grid.
   - Color-code dynamically: Green (&gt;=100% target pace), Amber (80-99%), Red (&lt;80% bottleneck).
   - Display estimated completion time for current open orders.
3. Automation Integration:
   - In update_html.py, compute velocity metrics and inject them into DASH_DATA.pacing.
4. Verification:
   - Verify correct gauge rendering on desktop and mobile viewports.</t>
  </si>
  <si>
    <t>Medium / High Value</t>
  </si>
  <si>
    <t>FP-04</t>
  </si>
  <si>
    <t>Dark / Light Theme Toggle &amp; Mobile Touch Navigation</t>
  </si>
  <si>
    <t>Add a dark mode toggle button for night shift floor inspections and enable smooth left/right swipe gestures on mobile phones to switch between Dashboard, Orders, Inventory, and MRP tabs.</t>
  </si>
  <si>
    <t>Enhance d:\Alpha\Tubex.html with a Dark/Light Mode Theme Switcher and Touch Navigation.
1. Theme Engine:
   - Refactor CSS color variables to support [data-theme="dark"].
   - Dark palette: background #0d1117, surface #161b22, text #c9d1d9, accent #58a6ff.
   - Add a clean sun/moon toggle button in the header.
   - Persist user preference in localStorage and synchronize with prefers-color-scheme.
2. Touch Navigation:
   - Implement touchstart and touchend touch gesture listeners.
   - Swipe Left -&gt; Next Tab (Dashboard -&gt; Customer Report -&gt; Materials -&gt; Prod Log -&gt; FG Stock -&gt; Inventory -&gt; MRP).
   - Swipe Right -&gt; Previous Tab.
3. Verification:
   - Test theme persistence on page refresh.
   - Test touch swipe transitions in mobile responsive simulator.</t>
  </si>
  <si>
    <t>Medium / Polish</t>
  </si>
  <si>
    <t>FP-05</t>
  </si>
  <si>
    <t>One-Click Executive PDF &amp; CSV Report Exporter</t>
  </si>
  <si>
    <t>A single button on the web dashboard to download today's clean, formatted production and inventory summary as a 1-page PDF or Excel sheet for instant sharing on WhatsApp with executive directors.</t>
  </si>
  <si>
    <t>Add a client-side Executive PDF &amp; CSV Export system to d:\Alpha\Tubex.html.
1. PDF Export:
   - Integrate lightweight client-side PDF renderer (or print-optimized stylesheet media print).
   - Format an executive single-page printable briefing containing:
     • Header banner with Plant Date &amp; Shift Timestamps
     • KPI Cards summary (Tube MTD, PET MTD, Dispatch MTD)
     • Top Active Orders table with compliance bars
     • Machine Downtime summary
2. CSV / Excel Export:
   - Add export buttons to Orders, Inventory, and MRP tables.
   - Generate UTF-8 CSV with byte order mark (BOM) so Urdu / special customer names open cleanly in Excel.
3. Verification:
   - Test PDF download and verify 1-page print layout without element clipping.</t>
  </si>
  <si>
    <t>Medium / Quick Win</t>
  </si>
  <si>
    <t>FP-06</t>
  </si>
  <si>
    <t>Automation &amp; Ingestion</t>
  </si>
  <si>
    <t>Automated WhatsApp WIP &amp; Production Message Parser Bot</t>
  </si>
  <si>
    <t>A smart helper script that reads Mehmood's WIP message (#19mm 10kg #30mm 125kg) and Imran's daily WhatsApp production files directly from clipboard or a drop folder, eliminating manual copy-pasting.</t>
  </si>
  <si>
    <t>Create an automated WhatsApp Message &amp; File Ingestion Bot in d:\Alpha\Scripts\.
1. Architecture:
   - Create Scripts/auto_ingest_whatsapp.py.
   - Implement clipboard regex listener for slug WIP messages matching pattern r"#(\d+(?:\.\d+)?mm)\s*(\d+(?:\.\d+)?)\s*kg".
   - Automatically parse weights and update Tubex_Aug26.xlsx Inventory sheet Column I (WIP).
2. Download Folder Watcher:
   - Monitor Downloads folder for incoming WhatsApp documents (e.g. document_2026-*.xlsx, Production*.xlsx).
   - Automatically validate, rename to Production.xlsx, and move to d:\Alpha\ with timestamp logging.
3. Pipeline Integration:
   - Add interactive trigger in daily.py to auto-detect clipboard text upon launching Step 4.
4. Verification:
   - Test with sample string "#19mm 10kg #30mm 125kg #32mm 25kg" and verify Inventory Col I update.</t>
  </si>
  <si>
    <t>High / Time Saver</t>
  </si>
  <si>
    <t>FP-07</t>
  </si>
  <si>
    <t>Direct ERP Database / SQL Connector (Zero-Click Extraction)</t>
  </si>
  <si>
    <t>Connect directly to the ERP SQL database to pull inventory and dispatch reports in 5 seconds, completely replacing the 10-minute manual Remote Desktop export routine.</t>
  </si>
  <si>
    <t>Develop a direct ERP SQL / ODBC Connector module in d:\Alpha\Scripts\erp_connector.py.
1. Database Architecture:
   - Use pyodbc / pymssql / sqlalchemy with secure connection string parameters stored in config/erp_config.json.
   - Create read-only analytical SQL queries mapping directly to ERP tables for:
     • Item Wise Consolidated Stock (Inventory)
     • Tube Date-Wise Dispatches
     • PET Date-Wise Dispatches
2. Automated File Generation:
   - Automatically export queried datasets directly into d:\Alpha\inventory.xls, dispatch.xls, and dispatch_pet.xls.
   - Fallback gracefully to manual copy files if ERP network is unreachable.
3. Pipeline Integration:
   - Integrate into daily.py Step 2 (Check ERP Exports) as an automated one-click sync.
4. Verification:
   - Test connection, query execution time, and verify output matches standard manual Excel exports.</t>
  </si>
  <si>
    <t>Strategic / High Value</t>
  </si>
  <si>
    <t>FP-08</t>
  </si>
  <si>
    <t>Automated Daily Morning Executive Briefing (WhatsApp / Email)</t>
  </si>
  <si>
    <t>Automatically generate and send a concise morning summary message to management at 9:00 AM with yesterday's total production, open order status, critical material shortages, and top machine downtime causes.</t>
  </si>
  <si>
    <t>Create an automated Morning Executive Briefing Generator in d:\Alpha\Scripts\send_briefing.py.
1. Briefing Payload Composition:
   - Summarize daily performance metrics from Tubex_Aug26.xlsx and Production_Archive.xlsx:
     • Yesterday Output: Tube pcs + PET pcs
     • MTD Output vs Monthly Plan compliance (%)
     • Critical MRP Shortages (items with Required &gt; 0 and Balance &lt;= 0)
     • Top 3 Machine Downtimes (hours + category)
2. Formatting &amp; Delivery:
   - Format with clean Unicode emojis and bullet points for WhatsApp / Email readability.
   - Integrate with local WhatsApp Web automation or SMTP email dispatcher.
3. Automation Schedule:
   - Hook into end of daily.py after Step 9 to save briefing.txt and trigger dispatch.
4. Verification:
   - Dry run script and verify formatted output text in Logs/briefing_sample.txt.</t>
  </si>
  <si>
    <t>FP-09</t>
  </si>
  <si>
    <t>Planning &amp; MRP Intelligence</t>
  </si>
  <si>
    <t>Dynamic Machine-Specific Scrap Rate Auto-Calibration</t>
  </si>
  <si>
    <t>Automatically recalculate and update BOM scrap percentages based on actual historical machine performance from the last 30 days of production logs, eliminating static scrap under-budgeting.</t>
  </si>
  <si>
    <t>Implement dynamic machine scrap rate calibration in d:\Alpha\Scripts\calibrate_scrap.py.
1. Data Analysis:
   - Read Production_Log sheet across the last 30 days (or Production_Archive.xlsx).
   - Compute realized scrap rate per machine line (Print 1, Print 2, PF 1, PF 2) and diameter:
     Realized_Scrap = Sum(Wastage_Qty) / Sum(Total_Qty)
2. BOM Scrap Auto-Calibration:
   - Update TableBOM[Scrap %] in Tubex_Aug26.xlsx with moving 30-day average scrap factors.
   - Implement safety clamps (min 5%, max 25%) to prevent anomalies from single bad batches.
3. Reporting:
   - Generate a Scrap Variance Report highlighting lines with rising defect trends.
4. Verification:
   - Verify gross material requirement recalculations in MRP sheet reflect real plant yields.</t>
  </si>
  <si>
    <t>High / Cost Saver</t>
  </si>
  <si>
    <t>FP-10</t>
  </si>
  <si>
    <t>Reorder Point (ROP) &amp; Safety Stock Depletion Forecast Engine</t>
  </si>
  <si>
    <t>A smart warning engine in MRP that calculates exact days of stock remaining for all raw materials based on planned run rates and supplier lead times, alerting procurement before physical stockouts occur.</t>
  </si>
  <si>
    <t>Build a Reorder Point (ROP) &amp; Stock Depletion Forecaster in d:\Alpha\Scripts\forecast_depletion.py and Tubex.html.
1. Mathematical Model:
   - Daily Burn Rate = Average daily consumption of material based on active monthly plan.
   - Days of Stock Left = (Store Balance + WIP) / Daily Burn Rate.
   - Reorder Point (ROP) = (Daily Burn Rate * Supplier Lead Time Days) + Safety Stock.
2. MRP Sheet Integration:
   - Add "Days Remaining" and "Procurement Action" columns to Tubex_Aug26.xlsx MRP sheet.
   - Flag items: RED (Days &lt; Lead Time -&gt; Reorder Urgently), AMBER (Days &lt; 1.5x Lead Time -&gt; Prepare PO), GREEN (Sufficient).
3. Dashboard Integration:
   - Render an alert pill in Tubex.html under MRP Materials tab.
4. Verification:
   - Test with sample lacquer and cap inventory levels against active August orders.</t>
  </si>
  <si>
    <t>High / Prevention</t>
  </si>
  <si>
    <t>FP-11</t>
  </si>
  <si>
    <t>Smart Printing Line Changeover &amp; Sequence Scheduler</t>
  </si>
  <si>
    <t>An algorithmic scheduler that sequences open tube orders by diameter and base color to minimize machine changeover downtime on Print 1 and Print 2, boosting daily output capacity.</t>
  </si>
  <si>
    <t>Develop a Smart Changeover Optimization Scheduler in d:\Alpha\Scripts\schedule_optimizer.py.
1. Scheduling Algorithm:
   - Formulate open tube orders from Tubex_Dashboard and August_Plan.xlsx.
   - Group jobs by Tube Diameter (13.5mm -&gt; 16mm -&gt; 19mm ...) to eliminate mechanical tooling changeovers.
   - Sub-sequence by Base Coat Color (White -&gt; Clear -&gt; Dark) to eliminate wash-down ink wash cycles.
2. Output Deliverables:
   - Generate an optimized "Daily Production Schedule" tab in Tubex_Aug26.xlsx.
   - Estimate downtime savings in hours and extra piece capacity gained.
3. Dashboard View:
   - Display the recommended production order sequence in Tubex.html under Production Log / Schedule.
4. Verification:
   - Run optimizer against active August tube order book and verify sequence logic.</t>
  </si>
  <si>
    <t>Strategic / Efficiency</t>
  </si>
  <si>
    <t>FP-12</t>
  </si>
  <si>
    <t>Architecture &amp; Resilience</t>
  </si>
  <si>
    <t>Unified Modular Python Package &amp; CLI Tool (`python -m alpha`)</t>
  </si>
  <si>
    <t>Consolidate all standalone scripts into a single clean, maintainable Python package (alphapackage) with unified configuration, centralized logging, and a modern command-line interface.</t>
  </si>
  <si>
    <t>Refactor d:\Alpha\Scripts\ into a unified, modular Python package named alpha_engine.
1. Directory Structure:
   d:\Alpha\alpha_engine\
   ├── __init__.py
   ├── __main__.py          (CLI entrypoint: python -m alpha_engine)
   ├── core/
   │   ├── config.py        (Centralized paths and constants)
   │   ├── logging.py       (Structured JSON &amp; console logging)
   │   └── checks.py        (Freshness, lockfile, safety checks)
   ├── pipeline/
   │   ├── production.py
   │   ├── inventory.py
   │   ├── dispatch.py
   │   ├── dashboard_sort.py
   │   ├── archives.py
   │   └── html_generator.py
   └── cli.py               (argparse commands: run, audit, test, backup)
2. Backward Compatibility:
   - Maintain thin shim wrappers for existing .bat files (Run_All_Updates.bat, Daily_Update.bat, Push.bat).
3. Verification:
   - Execute python -m alpha_engine run and verify end-to-end execution.</t>
  </si>
  <si>
    <t>Medium / Code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</si>
</sst>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m/d/yyyy"/>
    <numFmt numFmtId="165" formatCode="0.000"/>
    <numFmt numFmtId="166" formatCode="#,##0.0"/>
    <numFmt numFmtId="167" formatCode="dd\-mmm\-yyyy"/>
    <numFmt numFmtId="168" formatCode="0.0%"/>
    <numFmt numFmtId="169" formatCode="0.0"/>
    <numFmt numFmtId="170" formatCode="yyyy\-mm\-dd"/>
    <numFmt numFmtId="171" formatCode="[$-F800]dddd\,\ mmmm\ dd\,\ yyyy"/>
    <numFmt numFmtId="172" formatCode="0.#"/>
    <numFmt numFmtId="173" formatCode="_(* #,##0.00_);_(* \(#,##0.00\);_(* \-??_);_(@_)"/>
  </numFmts>
  <fonts count="76" x14ac:knownFonts="1">
    <font>
      <sz val="11"/>
      <color theme="1"/>
      <name val="Calibri"/>
      <family val="2"/>
      <charset val="1"/>
    </font>
    <font>
      <b/>
      <sz val="11"/>
      <color theme="1"/>
      <name val="Calibri"/>
      <family val="2"/>
      <charset val="1"/>
    </font>
    <font>
      <sz val="9"/>
      <color rgb="FF000000"/>
      <name val="Segoe UI"/>
      <family val="2"/>
      <charset val="1"/>
    </font>
    <font>
      <b/>
      <sz val="9"/>
      <color rgb="FFFFFFFF"/>
      <name val="Segoe UI"/>
      <family val="2"/>
      <charset val="1"/>
    </font>
    <font>
      <sz val="9"/>
      <name val="Segoe UI"/>
      <family val="2"/>
      <charset val="1"/>
    </font>
    <font>
      <sz val="10"/>
      <name val="Arial"/>
      <family val="2"/>
      <charset val="1"/>
    </font>
    <font>
      <b/>
      <sz val="9"/>
      <name val="Segoe UI"/>
      <family val="2"/>
      <charset val="1"/>
    </font>
    <font>
      <sz val="11"/>
      <name val="Calibri"/>
      <family val="2"/>
      <charset val="1"/>
    </font>
    <font>
      <b/>
      <sz val="13"/>
      <color rgb="FFFFFFFF"/>
      <name val="Segoe UI"/>
      <family val="2"/>
      <charset val="1"/>
    </font>
    <font>
      <sz val="9"/>
      <color rgb="FF1A1A2E"/>
      <name val="Segoe UI"/>
      <family val="2"/>
      <charset val="1"/>
    </font>
    <font>
      <b/>
      <sz val="9"/>
      <color rgb="FF1A1A2E"/>
      <name val="Segoe UI"/>
      <family val="2"/>
      <charset val="1"/>
    </font>
    <font>
      <b/>
      <sz val="11"/>
      <color rgb="FFFFFFFF"/>
      <name val="Segoe UI"/>
      <family val="2"/>
      <charset val="1"/>
    </font>
    <font>
      <b/>
      <sz val="14"/>
      <color rgb="FFFFFFFF"/>
      <name val="Segoe UI"/>
      <family val="2"/>
      <charset val="1"/>
    </font>
    <font>
      <b/>
      <sz val="10"/>
      <color rgb="FFFFFFFF"/>
      <name val="Segoe UI"/>
      <family val="2"/>
      <charset val="1"/>
    </font>
    <font>
      <sz val="10"/>
      <color theme="1"/>
      <name val="Calibri"/>
      <family val="2"/>
      <charset val="1"/>
    </font>
    <font>
      <sz val="9"/>
      <color rgb="FF00B050"/>
      <name val="Segoe UI"/>
      <family val="2"/>
      <charset val="1"/>
    </font>
    <font>
      <sz val="9"/>
      <color rgb="FFFF0000"/>
      <name val="Segoe UI"/>
      <family val="2"/>
      <charset val="1"/>
    </font>
    <font>
      <sz val="11"/>
      <color rgb="FFFF0000"/>
      <name val="Calibri"/>
      <family val="2"/>
      <charset val="1"/>
    </font>
    <font>
      <b/>
      <sz val="8"/>
      <color rgb="FFFFFFFF"/>
      <name val="Segoe UI"/>
      <family val="2"/>
      <charset val="1"/>
    </font>
    <font>
      <b/>
      <sz val="9"/>
      <color rgb="FF0000AA"/>
      <name val="Segoe UI"/>
      <family val="2"/>
      <charset val="1"/>
    </font>
    <font>
      <i/>
      <sz val="8"/>
      <color rgb="FF555577"/>
      <name val="Segoe UI"/>
      <family val="2"/>
      <charset val="1"/>
    </font>
    <font>
      <sz val="9"/>
      <color rgb="FF1A1A2E"/>
      <name val="Segoe UI"/>
      <family val="2"/>
    </font>
    <font>
      <sz val="11"/>
      <color theme="1"/>
      <name val="Calibri"/>
      <family val="2"/>
      <charset val="1"/>
    </font>
    <font>
      <b/>
      <sz val="9"/>
      <color rgb="FF1F3864"/>
      <name val="Segoe UI"/>
      <family val="2"/>
    </font>
    <font>
      <b/>
      <sz val="10"/>
      <color rgb="FFFFFFFF"/>
      <name val="Segoe UI"/>
      <family val="2"/>
    </font>
    <font>
      <b/>
      <sz val="9"/>
      <color rgb="FFC0392B"/>
      <name val="Segoe UI"/>
      <family val="2"/>
    </font>
    <font>
      <sz val="9"/>
      <color rgb="FFE67E22"/>
      <name val="Segoe UI"/>
      <family val="2"/>
    </font>
    <font>
      <sz val="9"/>
      <color rgb="FF27AE60"/>
      <name val="Segoe UI"/>
      <family val="2"/>
    </font>
    <font>
      <b/>
      <sz val="9"/>
      <color rgb="FF2E86C1"/>
      <name val="Segoe UI"/>
      <family val="2"/>
    </font>
    <font>
      <sz val="9"/>
      <color rgb="FF000000"/>
      <name val="Segoe UI"/>
      <family val="2"/>
    </font>
    <font>
      <sz val="11"/>
      <color theme="1"/>
      <name val="Segoe UI"/>
      <family val="2"/>
    </font>
    <font>
      <b/>
      <sz val="18"/>
      <color rgb="FFFFFFFF"/>
      <name val="Segoe UI"/>
      <family val="2"/>
    </font>
    <font>
      <b/>
      <sz val="12"/>
      <color rgb="FFBDD7EE"/>
      <name val="Segoe UI"/>
      <family val="2"/>
    </font>
    <font>
      <b/>
      <sz val="12"/>
      <color rgb="FFFFFFFF"/>
      <name val="Segoe UI"/>
      <family val="2"/>
    </font>
    <font>
      <sz val="18"/>
      <color rgb="FFFFFFFF"/>
      <name val="Segoe UI"/>
      <family val="2"/>
    </font>
    <font>
      <b/>
      <sz val="9"/>
      <color rgb="FFFFFFFF"/>
      <name val="Segoe UI"/>
      <family val="2"/>
    </font>
    <font>
      <b/>
      <sz val="12"/>
      <color rgb="FFB4E0E0"/>
      <name val="Segoe UI"/>
      <family val="2"/>
    </font>
    <font>
      <b/>
      <sz val="15"/>
      <color theme="0"/>
      <name val="Segoe UI"/>
      <family val="2"/>
    </font>
    <font>
      <b/>
      <sz val="9"/>
      <name val="Segoe UI"/>
      <family val="2"/>
    </font>
    <font>
      <sz val="9"/>
      <color theme="1"/>
      <name val="Segoe UI"/>
      <family val="2"/>
      <charset val="1"/>
    </font>
    <font>
      <b/>
      <sz val="9"/>
      <color theme="1"/>
      <name val="Segoe UI"/>
      <family val="2"/>
      <charset val="1"/>
    </font>
    <font>
      <sz val="9"/>
      <color theme="1"/>
      <name val="Segoe UI"/>
      <family val="2"/>
    </font>
    <font>
      <b/>
      <sz val="9"/>
      <color theme="1"/>
      <name val="Segoe UI"/>
      <family val="2"/>
    </font>
    <font>
      <sz val="9"/>
      <name val="Segoe UI"/>
      <family val="2"/>
    </font>
    <font>
      <sz val="9"/>
      <color rgb="FF1A1A2E"/>
      <name val="Segoe UI"/>
      <family val="2"/>
    </font>
    <font>
      <b/>
      <sz val="9"/>
      <color rgb="FF1A1A2E"/>
      <name val="Segoe UI"/>
      <family val="2"/>
    </font>
    <font>
      <b/>
      <sz val="9"/>
      <color rgb="FF1A1A2E"/>
      <name val="Segoe UI"/>
      <family val="2"/>
    </font>
    <font>
      <b/>
      <sz val="9"/>
      <color rgb="FFFFFFFF"/>
      <name val="Segoe UI"/>
      <family val="2"/>
    </font>
    <font>
      <b/>
      <sz val="9"/>
      <name val="Segoe UI"/>
      <family val="2"/>
    </font>
    <font>
      <b/>
      <sz val="9"/>
      <color rgb="FFFFFFFF"/>
      <name val="Segoe UI"/>
      <family val="2"/>
    </font>
    <font>
      <sz val="9"/>
      <name val="Segoe UI"/>
      <family val="2"/>
    </font>
    <font>
      <sz val="9"/>
      <color rgb="FFFF0000"/>
      <name val="Segoe UI"/>
      <family val="2"/>
    </font>
    <font>
      <b/>
      <sz val="13"/>
      <color rgb="FFFFFFFF"/>
      <name val="Segoe UI"/>
      <family val="2"/>
    </font>
    <font>
      <b/>
      <sz val="10"/>
      <color rgb="FFFFFFFF"/>
      <name val="Segoe UI"/>
      <family val="2"/>
    </font>
    <font>
      <b/>
      <sz val="10"/>
      <color rgb="FF1F3864"/>
      <name val="Segoe UI"/>
      <family val="2"/>
    </font>
    <font>
      <b/>
      <sz val="9.5"/>
      <color rgb="FF2E4D8F"/>
      <name val="Segoe UI"/>
      <family val="2"/>
    </font>
    <font>
      <b/>
      <sz val="10"/>
      <color rgb="FF000000"/>
      <name val="Segoe UI"/>
      <family val="2"/>
    </font>
    <font>
      <i/>
      <sz val="9.5"/>
      <color rgb="FF262626"/>
      <name val="Segoe UI"/>
      <family val="2"/>
    </font>
    <font>
      <sz val="8.5"/>
      <color rgb="FF111111"/>
      <name val="Consolas"/>
      <family val="3"/>
    </font>
    <font>
      <b/>
      <sz val="9"/>
      <color rgb="FF1B5E20"/>
      <name val="Segoe UI"/>
      <family val="2"/>
    </font>
    <font>
      <b/>
      <sz val="9"/>
      <color rgb="FFB71C1C"/>
      <name val="Segoe UI"/>
      <family val="2"/>
    </font>
    <font>
      <b/>
      <sz val="9"/>
      <color rgb="FF4A148C"/>
      <name val="Segoe UI"/>
      <family val="2"/>
    </font>
    <font>
      <sz val="10"/>
      <name val="Arial"/>
    </font>
    <font>
      <b/>
      <sz val="10"/>
      <name val="Arial"/>
    </font>
    <font>
      <b/>
      <sz val="11"/>
      <color rgb="FFBDD7EE"/>
      <name val="Segoe UI"/>
    </font>
    <font>
      <b/>
      <sz val="9.5"/>
      <color rgb="FF1F3864"/>
      <name val="Segoe UI"/>
    </font>
    <font>
      <sz val="9"/>
      <name val="Segoe UI"/>
    </font>
    <font>
      <b/>
      <sz val="9"/>
      <name val="Segoe UI"/>
    </font>
    <font>
      <b/>
      <sz val="11"/>
      <color rgb="FFB4E0E0"/>
      <name val="Segoe UI"/>
    </font>
    <font>
      <b/>
      <sz val="9.5"/>
      <color rgb="FF1F6B75"/>
      <name val="Segoe UI"/>
    </font>
    <font>
      <sz val="9"/>
      <color rgb="FF1A1A2E"/>
      <name val="Segoe UI"/>
    </font>
    <font>
      <b/>
      <sz val="9"/>
      <color rgb="FF1A1A2E"/>
      <name val="Segoe UI"/>
    </font>
    <font>
      <sz val="9"/>
      <color rgb="FFFF0000"/>
      <name val="Segoe UI"/>
    </font>
    <font>
      <b/>
      <sz val="9"/>
      <color rgb="FFFF0000"/>
      <name val="Segoe UI"/>
    </font>
    <font>
      <sz val="11"/>
      <color rgb="FFFF0000"/>
      <name val="Calibri"/>
    </font>
    <font>
      <b/>
      <sz val="9.5"/>
      <color rgb="FF1A1A2E"/>
      <name val="Segoe UI"/>
    </font>
  </fonts>
  <fills count="29">
    <fill>
      <patternFill patternType="none"/>
    </fill>
    <fill>
      <patternFill patternType="gray125"/>
    </fill>
    <fill>
      <patternFill patternType="solid">
        <fgColor rgb="FFF2F2F2"/>
        <bgColor rgb="FFF2F3F4"/>
      </patternFill>
    </fill>
    <fill>
      <patternFill patternType="solid">
        <fgColor rgb="FF1F3864"/>
        <bgColor rgb="FF2E4057"/>
      </patternFill>
    </fill>
    <fill>
      <patternFill patternType="solid">
        <fgColor rgb="FF2E4D8F"/>
        <bgColor rgb="FF2E4057"/>
      </patternFill>
    </fill>
    <fill>
      <patternFill patternType="solid">
        <fgColor rgb="FF1F6B75"/>
        <bgColor rgb="FF008080"/>
      </patternFill>
    </fill>
    <fill>
      <patternFill patternType="solid">
        <fgColor rgb="FFF7F9FC"/>
        <bgColor rgb="FFF5F5F5"/>
      </patternFill>
    </fill>
    <fill>
      <patternFill patternType="solid">
        <fgColor rgb="FF1A1A2E"/>
        <bgColor rgb="FF003300"/>
      </patternFill>
    </fill>
    <fill>
      <patternFill patternType="solid">
        <fgColor rgb="FFFFFFFF"/>
        <bgColor rgb="FFF7F9FC"/>
      </patternFill>
    </fill>
    <fill>
      <patternFill patternType="solid">
        <fgColor rgb="FFE8EDF5"/>
        <bgColor rgb="FFEDF2FB"/>
      </patternFill>
    </fill>
    <fill>
      <patternFill patternType="solid">
        <fgColor rgb="FFD6EAD6"/>
      </patternFill>
    </fill>
    <fill>
      <patternFill patternType="solid">
        <fgColor rgb="FFFDEBD0"/>
      </patternFill>
    </fill>
    <fill>
      <patternFill patternType="solid">
        <fgColor rgb="FF2E4D8F"/>
      </patternFill>
    </fill>
    <fill>
      <patternFill patternType="solid">
        <fgColor rgb="FFEBF1FA"/>
      </patternFill>
    </fill>
    <fill>
      <patternFill patternType="solid">
        <fgColor rgb="FFFFFFFF"/>
      </patternFill>
    </fill>
    <fill>
      <patternFill patternType="solid">
        <fgColor rgb="FFF2F2F2"/>
      </patternFill>
    </fill>
    <fill>
      <patternFill patternType="solid">
        <fgColor rgb="FF2E4D8F"/>
      </patternFill>
    </fill>
    <fill>
      <patternFill patternType="solid">
        <fgColor rgb="FF2E4D8F"/>
      </patternFill>
    </fill>
    <fill>
      <patternFill patternType="solid">
        <fgColor rgb="FFF7F9FC"/>
      </patternFill>
    </fill>
    <fill>
      <patternFill patternType="solid">
        <fgColor rgb="FFF7F9FC"/>
      </patternFill>
    </fill>
    <fill>
      <patternFill patternType="solid">
        <fgColor rgb="FFD9E1F2"/>
      </patternFill>
    </fill>
    <fill>
      <patternFill patternType="solid">
        <fgColor rgb="FFF2F2F2"/>
      </patternFill>
    </fill>
    <fill>
      <patternFill patternType="solid">
        <fgColor rgb="FF1F3864"/>
      </patternFill>
    </fill>
    <fill>
      <patternFill patternType="solid">
        <fgColor rgb="FF1F6B75"/>
      </patternFill>
    </fill>
    <fill>
      <patternFill patternType="solid">
        <fgColor rgb="FFD0EAEA"/>
      </patternFill>
    </fill>
    <fill>
      <patternFill patternType="solid">
        <fgColor rgb="FFF2F5F9"/>
      </patternFill>
    </fill>
    <fill>
      <patternFill patternType="solid">
        <fgColor rgb="FFE8F5E9"/>
      </patternFill>
    </fill>
    <fill>
      <patternFill patternType="solid">
        <fgColor rgb="FFFFEBEE"/>
      </patternFill>
    </fill>
    <fill>
      <patternFill patternType="solid">
        <fgColor rgb="FFF3E5F5"/>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bottom style="thin">
        <color rgb="FFD0D5DD"/>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0B0B0"/>
      </left>
      <right style="thin">
        <color rgb="FFB0B0B0"/>
      </right>
      <top style="thin">
        <color rgb="FFB0B0B0"/>
      </top>
      <bottom style="thin">
        <color rgb="FFB0B0B0"/>
      </bottom>
      <diagonal/>
    </border>
    <border>
      <left/>
      <right/>
      <top/>
      <bottom/>
      <diagonal/>
    </border>
    <border>
      <left style="thin">
        <color rgb="FFE0E0E0"/>
      </left>
      <right style="thin">
        <color rgb="FFE0E0E0"/>
      </right>
      <top style="thin">
        <color rgb="FFE0E0E0"/>
      </top>
      <bottom style="thin">
        <color rgb="FFE0E0E0"/>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style="thin">
        <color auto="1"/>
      </left>
      <right style="thin">
        <color auto="1"/>
      </right>
      <top style="thin">
        <color auto="1"/>
      </top>
      <bottom style="thin">
        <color auto="1"/>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diagonal/>
    </border>
    <border>
      <left/>
      <right/>
      <top/>
      <bottom/>
      <diagonal/>
    </border>
    <border>
      <left style="thin">
        <color rgb="FFB0B0B0"/>
      </left>
      <right style="thin">
        <color rgb="FFB0B0B0"/>
      </right>
      <top style="thin">
        <color rgb="FFB0B0B0"/>
      </top>
      <bottom style="thin">
        <color rgb="FFB0B0B0"/>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0">
    <xf numFmtId="0" fontId="0" fillId="0" borderId="32"/>
    <xf numFmtId="173" fontId="22" fillId="0" borderId="32"/>
    <xf numFmtId="0" fontId="22" fillId="0" borderId="32"/>
    <xf numFmtId="0" fontId="22" fillId="0" borderId="32">
      <alignment horizontal="left"/>
    </xf>
    <xf numFmtId="0" fontId="22" fillId="0" borderId="32"/>
    <xf numFmtId="0" fontId="22" fillId="0" borderId="32"/>
    <xf numFmtId="0" fontId="1" fillId="0" borderId="32"/>
    <xf numFmtId="0" fontId="1" fillId="0" borderId="32">
      <alignment horizontal="left"/>
    </xf>
    <xf numFmtId="0" fontId="22" fillId="0" borderId="32"/>
    <xf numFmtId="43" fontId="22" fillId="0" borderId="32"/>
  </cellStyleXfs>
  <cellXfs count="347">
    <xf numFmtId="0" fontId="0" fillId="0" borderId="0" xfId="0" applyBorder="1"/>
    <xf numFmtId="0" fontId="0" fillId="0" borderId="0" xfId="0" applyBorder="1" applyAlignment="1">
      <alignment horizontal="center"/>
    </xf>
    <xf numFmtId="0" fontId="0" fillId="2" borderId="0" xfId="0" applyFill="1" applyBorder="1"/>
    <xf numFmtId="0" fontId="0" fillId="0" borderId="0" xfId="0" applyBorder="1" applyAlignment="1">
      <alignment horizontal="left"/>
    </xf>
    <xf numFmtId="2" fontId="0" fillId="0" borderId="0" xfId="0" applyNumberFormat="1" applyBorder="1"/>
    <xf numFmtId="1" fontId="1" fillId="0" borderId="0" xfId="0" applyNumberFormat="1" applyFont="1" applyBorder="1" applyAlignment="1">
      <alignment horizontal="left"/>
    </xf>
    <xf numFmtId="0" fontId="8" fillId="3" borderId="2" xfId="0" applyFont="1" applyFill="1" applyBorder="1" applyAlignment="1">
      <alignment vertical="center"/>
    </xf>
    <xf numFmtId="0" fontId="8" fillId="3" borderId="3" xfId="0" applyFont="1" applyFill="1" applyBorder="1" applyAlignment="1">
      <alignment vertical="center"/>
    </xf>
    <xf numFmtId="2" fontId="8" fillId="3" borderId="3" xfId="0" applyNumberFormat="1" applyFont="1" applyFill="1" applyBorder="1" applyAlignment="1">
      <alignment vertical="center"/>
    </xf>
    <xf numFmtId="1" fontId="8" fillId="3" borderId="3" xfId="0" applyNumberFormat="1" applyFont="1" applyFill="1" applyBorder="1" applyAlignment="1">
      <alignment horizontal="right" vertical="center"/>
    </xf>
    <xf numFmtId="164" fontId="8" fillId="3" borderId="4" xfId="0" applyNumberFormat="1" applyFont="1" applyFill="1" applyBorder="1" applyAlignment="1">
      <alignment horizontal="left" vertical="center"/>
    </xf>
    <xf numFmtId="0" fontId="4" fillId="0" borderId="0" xfId="0" applyFont="1" applyBorder="1"/>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2" fontId="3" fillId="4" borderId="1" xfId="0" applyNumberFormat="1" applyFont="1" applyFill="1" applyBorder="1" applyAlignment="1">
      <alignment horizontal="center" vertical="center" wrapText="1"/>
    </xf>
    <xf numFmtId="1" fontId="3" fillId="4" borderId="1" xfId="0" applyNumberFormat="1" applyFont="1" applyFill="1" applyBorder="1" applyAlignment="1">
      <alignment horizontal="center" vertical="center" wrapText="1"/>
    </xf>
    <xf numFmtId="0" fontId="9" fillId="6" borderId="1" xfId="0" applyFont="1" applyFill="1" applyBorder="1" applyAlignment="1">
      <alignment horizontal="center" vertical="center"/>
    </xf>
    <xf numFmtId="1" fontId="10" fillId="6" borderId="1" xfId="0" applyNumberFormat="1" applyFont="1" applyFill="1" applyBorder="1" applyAlignment="1">
      <alignment horizontal="center"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2" fontId="11" fillId="3" borderId="6" xfId="0" applyNumberFormat="1" applyFont="1" applyFill="1" applyBorder="1" applyAlignment="1">
      <alignment vertical="center"/>
    </xf>
    <xf numFmtId="1" fontId="11" fillId="3" borderId="6" xfId="0" applyNumberFormat="1" applyFont="1" applyFill="1" applyBorder="1" applyAlignment="1">
      <alignment vertical="center"/>
    </xf>
    <xf numFmtId="0" fontId="9" fillId="6" borderId="1" xfId="0" applyFont="1" applyFill="1" applyBorder="1" applyAlignment="1">
      <alignment horizontal="left" vertical="center" wrapText="1"/>
    </xf>
    <xf numFmtId="0" fontId="6" fillId="6" borderId="1" xfId="0" applyFont="1" applyFill="1" applyBorder="1" applyAlignment="1">
      <alignment horizontal="center" vertical="center"/>
    </xf>
    <xf numFmtId="2" fontId="9" fillId="6" borderId="1" xfId="0" applyNumberFormat="1" applyFont="1" applyFill="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horizontal="left" vertical="center"/>
    </xf>
    <xf numFmtId="1" fontId="9" fillId="0" borderId="1" xfId="0" applyNumberFormat="1" applyFont="1" applyBorder="1" applyAlignment="1">
      <alignment horizontal="center" vertical="center"/>
    </xf>
    <xf numFmtId="1" fontId="10" fillId="0" borderId="1" xfId="0" applyNumberFormat="1" applyFont="1" applyBorder="1" applyAlignment="1">
      <alignment horizontal="center" vertical="center"/>
    </xf>
    <xf numFmtId="0" fontId="3" fillId="4" borderId="1" xfId="0" applyFont="1" applyFill="1" applyBorder="1" applyAlignment="1">
      <alignment horizontal="center" vertical="center"/>
    </xf>
    <xf numFmtId="0" fontId="3" fillId="4" borderId="1" xfId="0" applyFont="1" applyFill="1" applyBorder="1" applyAlignment="1">
      <alignment horizontal="left" vertical="center"/>
    </xf>
    <xf numFmtId="1" fontId="3" fillId="4" borderId="1" xfId="0" applyNumberFormat="1" applyFont="1" applyFill="1" applyBorder="1" applyAlignment="1">
      <alignment horizontal="center" vertical="center"/>
    </xf>
    <xf numFmtId="3" fontId="3" fillId="4" borderId="1" xfId="0" applyNumberFormat="1" applyFont="1" applyFill="1" applyBorder="1" applyAlignment="1">
      <alignment horizontal="center" vertical="center"/>
    </xf>
    <xf numFmtId="0" fontId="10" fillId="6" borderId="1" xfId="0" applyFont="1" applyFill="1" applyBorder="1" applyAlignment="1">
      <alignment horizontal="left" vertical="center"/>
    </xf>
    <xf numFmtId="165" fontId="7" fillId="0" borderId="0" xfId="0" applyNumberFormat="1" applyFont="1" applyBorder="1"/>
    <xf numFmtId="9" fontId="5" fillId="0" borderId="0" xfId="0" applyNumberFormat="1" applyFont="1" applyBorder="1"/>
    <xf numFmtId="0" fontId="0" fillId="0" borderId="1" xfId="0" applyBorder="1" applyAlignment="1">
      <alignment horizontal="left" wrapText="1"/>
    </xf>
    <xf numFmtId="0" fontId="0" fillId="2" borderId="1" xfId="0" applyFill="1" applyBorder="1" applyAlignment="1">
      <alignment horizontal="left" wrapText="1"/>
    </xf>
    <xf numFmtId="0" fontId="13" fillId="4" borderId="1" xfId="0" applyFont="1" applyFill="1" applyBorder="1" applyAlignment="1">
      <alignment horizontal="center" vertical="center" wrapText="1"/>
    </xf>
    <xf numFmtId="0" fontId="13" fillId="4" borderId="1" xfId="0" applyFont="1" applyFill="1" applyBorder="1" applyAlignment="1">
      <alignment horizontal="left" vertical="center" wrapText="1"/>
    </xf>
    <xf numFmtId="0" fontId="13" fillId="4" borderId="2" xfId="0" applyFont="1" applyFill="1" applyBorder="1" applyAlignment="1">
      <alignment horizontal="center" vertical="center" wrapText="1"/>
    </xf>
    <xf numFmtId="0" fontId="13" fillId="7" borderId="1" xfId="0" applyFont="1" applyFill="1" applyBorder="1" applyAlignment="1">
      <alignment horizontal="left" wrapText="1"/>
    </xf>
    <xf numFmtId="0" fontId="14" fillId="2" borderId="0" xfId="0" applyFont="1" applyFill="1" applyBorder="1"/>
    <xf numFmtId="0" fontId="14" fillId="0" borderId="0" xfId="0" applyFont="1" applyBorder="1"/>
    <xf numFmtId="0" fontId="2" fillId="8" borderId="1" xfId="0" applyFont="1" applyFill="1" applyBorder="1" applyAlignment="1">
      <alignment horizontal="center" vertical="center"/>
    </xf>
    <xf numFmtId="0" fontId="2" fillId="8" borderId="1" xfId="0" applyFont="1" applyFill="1" applyBorder="1" applyAlignment="1">
      <alignment horizontal="left" vertical="center"/>
    </xf>
    <xf numFmtId="0" fontId="4" fillId="8" borderId="1" xfId="0" applyFont="1" applyFill="1" applyBorder="1" applyAlignment="1">
      <alignment horizontal="center" vertical="center"/>
    </xf>
    <xf numFmtId="165" fontId="4" fillId="8" borderId="1" xfId="0" applyNumberFormat="1" applyFont="1" applyFill="1" applyBorder="1" applyAlignment="1">
      <alignment horizontal="center" vertical="center"/>
    </xf>
    <xf numFmtId="166" fontId="2" fillId="8" borderId="1" xfId="0" applyNumberFormat="1" applyFont="1" applyFill="1" applyBorder="1" applyAlignment="1">
      <alignment horizontal="center" vertical="center"/>
    </xf>
    <xf numFmtId="0" fontId="15" fillId="0" borderId="0" xfId="0" applyFont="1" applyBorder="1"/>
    <xf numFmtId="166" fontId="16" fillId="8" borderId="1" xfId="0" applyNumberFormat="1" applyFont="1" applyFill="1" applyBorder="1" applyAlignment="1">
      <alignment horizontal="center" vertical="center"/>
    </xf>
    <xf numFmtId="1" fontId="0" fillId="0" borderId="0" xfId="0" applyNumberFormat="1" applyBorder="1"/>
    <xf numFmtId="1" fontId="1" fillId="0" borderId="0" xfId="0" applyNumberFormat="1" applyFont="1" applyBorder="1"/>
    <xf numFmtId="0" fontId="8" fillId="3" borderId="6" xfId="0" applyFont="1" applyFill="1" applyBorder="1" applyAlignment="1">
      <alignment horizontal="right"/>
    </xf>
    <xf numFmtId="164" fontId="8" fillId="3" borderId="6" xfId="0" applyNumberFormat="1" applyFont="1" applyFill="1" applyBorder="1" applyAlignment="1">
      <alignment horizontal="left"/>
    </xf>
    <xf numFmtId="0" fontId="0" fillId="0" borderId="0" xfId="0" applyBorder="1" applyAlignment="1">
      <alignment vertical="center" wrapText="1"/>
    </xf>
    <xf numFmtId="0" fontId="17" fillId="0" borderId="0" xfId="0" applyFont="1" applyBorder="1"/>
    <xf numFmtId="0" fontId="8" fillId="3" borderId="0" xfId="0" applyFont="1" applyFill="1" applyBorder="1" applyAlignment="1">
      <alignment horizontal="left"/>
    </xf>
    <xf numFmtId="0" fontId="8" fillId="3" borderId="0" xfId="0" applyFont="1" applyFill="1" applyBorder="1" applyAlignment="1">
      <alignment horizontal="center"/>
    </xf>
    <xf numFmtId="0" fontId="8" fillId="3" borderId="1" xfId="0" applyFont="1" applyFill="1" applyBorder="1" applyAlignment="1">
      <alignment vertical="center"/>
    </xf>
    <xf numFmtId="0" fontId="18" fillId="4" borderId="1" xfId="0" applyFont="1" applyFill="1" applyBorder="1" applyAlignment="1">
      <alignment horizontal="center" vertical="center" wrapText="1"/>
    </xf>
    <xf numFmtId="0" fontId="19" fillId="8" borderId="1" xfId="0" applyFont="1" applyFill="1" applyBorder="1" applyAlignment="1">
      <alignment horizontal="center" vertical="center"/>
    </xf>
    <xf numFmtId="0" fontId="8" fillId="3" borderId="0" xfId="0" applyFont="1" applyFill="1" applyBorder="1"/>
    <xf numFmtId="167" fontId="13" fillId="4" borderId="8" xfId="0" applyNumberFormat="1" applyFont="1" applyFill="1" applyBorder="1" applyAlignment="1">
      <alignment horizontal="center" wrapText="1"/>
    </xf>
    <xf numFmtId="0" fontId="13" fillId="4" borderId="9" xfId="0" applyFont="1" applyFill="1" applyBorder="1" applyAlignment="1">
      <alignment horizontal="center" wrapText="1"/>
    </xf>
    <xf numFmtId="0" fontId="13" fillId="4" borderId="9" xfId="0" applyFont="1" applyFill="1" applyBorder="1" applyAlignment="1">
      <alignment horizontal="left" wrapText="1"/>
    </xf>
    <xf numFmtId="0" fontId="13" fillId="4" borderId="5" xfId="0" applyFont="1" applyFill="1" applyBorder="1" applyAlignment="1">
      <alignment horizontal="center" wrapText="1"/>
    </xf>
    <xf numFmtId="3" fontId="13" fillId="4" borderId="9" xfId="0" applyNumberFormat="1" applyFont="1" applyFill="1" applyBorder="1" applyAlignment="1">
      <alignment horizontal="center" wrapText="1"/>
    </xf>
    <xf numFmtId="168" fontId="13" fillId="4" borderId="9" xfId="0" applyNumberFormat="1" applyFont="1" applyFill="1" applyBorder="1" applyAlignment="1">
      <alignment horizontal="center" wrapText="1"/>
    </xf>
    <xf numFmtId="0" fontId="3" fillId="4" borderId="10" xfId="0" applyFont="1" applyFill="1" applyBorder="1" applyAlignment="1">
      <alignment horizontal="center" vertical="center"/>
    </xf>
    <xf numFmtId="0" fontId="27" fillId="14" borderId="12" xfId="0" applyFont="1" applyFill="1" applyBorder="1" applyAlignment="1">
      <alignment horizontal="center" vertical="center"/>
    </xf>
    <xf numFmtId="0" fontId="21" fillId="14" borderId="12" xfId="0" applyFont="1" applyFill="1" applyBorder="1" applyAlignment="1">
      <alignment horizontal="center" vertical="center"/>
    </xf>
    <xf numFmtId="0" fontId="21" fillId="14" borderId="12" xfId="0" applyFont="1" applyFill="1" applyBorder="1" applyAlignment="1">
      <alignment horizontal="left" vertical="top" wrapText="1"/>
    </xf>
    <xf numFmtId="0" fontId="9" fillId="0" borderId="11" xfId="0" applyFont="1" applyBorder="1"/>
    <xf numFmtId="0" fontId="23" fillId="13" borderId="12" xfId="0" applyFont="1" applyFill="1" applyBorder="1" applyAlignment="1">
      <alignment horizontal="center" vertical="center"/>
    </xf>
    <xf numFmtId="0" fontId="23" fillId="13" borderId="12" xfId="0" applyFont="1" applyFill="1" applyBorder="1" applyAlignment="1">
      <alignment horizontal="left" vertical="top" wrapText="1"/>
    </xf>
    <xf numFmtId="0" fontId="25" fillId="14" borderId="12" xfId="0" applyFont="1" applyFill="1" applyBorder="1" applyAlignment="1">
      <alignment horizontal="left" vertical="top" wrapText="1"/>
    </xf>
    <xf numFmtId="0" fontId="28" fillId="14" borderId="12" xfId="0" applyFont="1" applyFill="1" applyBorder="1" applyAlignment="1">
      <alignment horizontal="left" vertical="top" wrapText="1"/>
    </xf>
    <xf numFmtId="0" fontId="21" fillId="15" borderId="12" xfId="0" applyFont="1" applyFill="1" applyBorder="1" applyAlignment="1">
      <alignment horizontal="center" vertical="center"/>
    </xf>
    <xf numFmtId="0" fontId="21" fillId="15" borderId="12" xfId="0" applyFont="1" applyFill="1" applyBorder="1" applyAlignment="1">
      <alignment horizontal="left" vertical="top" wrapText="1"/>
    </xf>
    <xf numFmtId="0" fontId="25" fillId="15" borderId="12" xfId="0" applyFont="1" applyFill="1" applyBorder="1" applyAlignment="1">
      <alignment horizontal="left" vertical="top" wrapText="1"/>
    </xf>
    <xf numFmtId="0" fontId="28" fillId="15" borderId="12" xfId="0" applyFont="1" applyFill="1" applyBorder="1" applyAlignment="1">
      <alignment horizontal="left" vertical="top" wrapText="1"/>
    </xf>
    <xf numFmtId="0" fontId="9" fillId="0" borderId="11" xfId="0" applyFont="1" applyBorder="1" applyAlignment="1">
      <alignment horizontal="left" vertical="center" wrapText="1"/>
    </xf>
    <xf numFmtId="0" fontId="9" fillId="0" borderId="11" xfId="0" applyFont="1" applyBorder="1" applyAlignment="1">
      <alignment horizontal="center" vertical="center" wrapText="1"/>
    </xf>
    <xf numFmtId="0" fontId="9" fillId="0" borderId="11" xfId="0" applyFont="1" applyBorder="1" applyAlignment="1">
      <alignment horizontal="left" vertical="center" indent="1"/>
    </xf>
    <xf numFmtId="0" fontId="26" fillId="15" borderId="12" xfId="0" applyFont="1" applyFill="1" applyBorder="1" applyAlignment="1">
      <alignment horizontal="left" vertical="top" wrapText="1"/>
    </xf>
    <xf numFmtId="0" fontId="26" fillId="14" borderId="12" xfId="0" applyFont="1" applyFill="1" applyBorder="1" applyAlignment="1">
      <alignment horizontal="left" vertical="top" wrapText="1"/>
    </xf>
    <xf numFmtId="0" fontId="9" fillId="0" borderId="11" xfId="0" applyFont="1" applyBorder="1" applyAlignment="1">
      <alignment horizontal="center"/>
    </xf>
    <xf numFmtId="0" fontId="9" fillId="0" borderId="11" xfId="0" applyFont="1" applyBorder="1" applyAlignment="1">
      <alignment horizontal="left"/>
    </xf>
    <xf numFmtId="2" fontId="21" fillId="14" borderId="12" xfId="0" applyNumberFormat="1" applyFont="1" applyFill="1" applyBorder="1" applyAlignment="1">
      <alignment horizontal="left" vertical="top" wrapText="1"/>
    </xf>
    <xf numFmtId="2" fontId="21" fillId="15" borderId="12" xfId="0" applyNumberFormat="1" applyFont="1" applyFill="1" applyBorder="1" applyAlignment="1">
      <alignment horizontal="left" vertical="top" wrapText="1"/>
    </xf>
    <xf numFmtId="2" fontId="9" fillId="0" borderId="11" xfId="0" applyNumberFormat="1" applyFont="1" applyBorder="1" applyAlignment="1">
      <alignment horizontal="left" vertical="center" wrapText="1"/>
    </xf>
    <xf numFmtId="0" fontId="9" fillId="0" borderId="11" xfId="0" applyFont="1" applyBorder="1" applyAlignment="1">
      <alignment horizontal="left" vertical="center"/>
    </xf>
    <xf numFmtId="0" fontId="9" fillId="0" borderId="11" xfId="0" applyFont="1" applyBorder="1" applyAlignment="1">
      <alignment horizontal="center" vertical="center"/>
    </xf>
    <xf numFmtId="169" fontId="9" fillId="0" borderId="11" xfId="0" applyNumberFormat="1" applyFont="1" applyBorder="1" applyAlignment="1">
      <alignment horizontal="center" vertical="center"/>
    </xf>
    <xf numFmtId="2" fontId="9" fillId="0" borderId="11" xfId="0" applyNumberFormat="1" applyFont="1" applyBorder="1" applyAlignment="1">
      <alignment horizontal="center" vertical="center"/>
    </xf>
    <xf numFmtId="0" fontId="29" fillId="2" borderId="0" xfId="0" applyFont="1" applyFill="1" applyBorder="1"/>
    <xf numFmtId="0" fontId="30" fillId="0" borderId="0" xfId="0" applyFont="1" applyBorder="1" applyAlignment="1">
      <alignment horizontal="center"/>
    </xf>
    <xf numFmtId="0" fontId="30" fillId="2" borderId="0" xfId="0" applyFont="1" applyFill="1" applyBorder="1"/>
    <xf numFmtId="0" fontId="30" fillId="0" borderId="0" xfId="0" applyFont="1" applyBorder="1"/>
    <xf numFmtId="9" fontId="30" fillId="0" borderId="0" xfId="0" applyNumberFormat="1" applyFont="1" applyBorder="1"/>
    <xf numFmtId="0" fontId="32" fillId="3" borderId="0" xfId="0" applyFont="1" applyFill="1" applyBorder="1" applyAlignment="1">
      <alignment horizontal="center" vertical="center"/>
    </xf>
    <xf numFmtId="0" fontId="32" fillId="3" borderId="0" xfId="0" applyFont="1" applyFill="1" applyBorder="1" applyAlignment="1">
      <alignment horizontal="left" vertical="center"/>
    </xf>
    <xf numFmtId="168" fontId="34" fillId="3" borderId="0" xfId="0" applyNumberFormat="1" applyFont="1" applyFill="1" applyBorder="1" applyAlignment="1">
      <alignment horizontal="center" vertical="center"/>
    </xf>
    <xf numFmtId="3" fontId="31" fillId="3" borderId="0" xfId="0" applyNumberFormat="1" applyFont="1" applyFill="1" applyBorder="1" applyAlignment="1">
      <alignment horizontal="center" vertical="center"/>
    </xf>
    <xf numFmtId="168" fontId="31" fillId="3" borderId="0" xfId="0" applyNumberFormat="1" applyFont="1" applyFill="1" applyBorder="1" applyAlignment="1">
      <alignment horizontal="center" vertical="center"/>
    </xf>
    <xf numFmtId="3" fontId="31" fillId="3" borderId="0" xfId="0" applyNumberFormat="1" applyFont="1" applyFill="1" applyBorder="1" applyAlignment="1">
      <alignment vertical="center"/>
    </xf>
    <xf numFmtId="0" fontId="36" fillId="5" borderId="0" xfId="0" applyFont="1" applyFill="1" applyBorder="1" applyAlignment="1">
      <alignment horizontal="center" vertical="center"/>
    </xf>
    <xf numFmtId="0" fontId="36" fillId="5" borderId="0" xfId="0" applyFont="1" applyFill="1" applyBorder="1" applyAlignment="1">
      <alignment vertical="center"/>
    </xf>
    <xf numFmtId="168" fontId="34" fillId="5" borderId="0" xfId="0" applyNumberFormat="1" applyFont="1" applyFill="1" applyBorder="1" applyAlignment="1">
      <alignment horizontal="center" vertical="center"/>
    </xf>
    <xf numFmtId="3" fontId="31" fillId="5" borderId="0" xfId="0" applyNumberFormat="1" applyFont="1" applyFill="1" applyBorder="1" applyAlignment="1">
      <alignment horizontal="center" vertical="center"/>
    </xf>
    <xf numFmtId="168" fontId="31" fillId="5" borderId="0" xfId="0" applyNumberFormat="1" applyFont="1" applyFill="1" applyBorder="1" applyAlignment="1">
      <alignment horizontal="center" vertical="center"/>
    </xf>
    <xf numFmtId="3" fontId="31" fillId="5" borderId="0" xfId="0" applyNumberFormat="1" applyFont="1" applyFill="1" applyBorder="1" applyAlignment="1">
      <alignment vertical="center"/>
    </xf>
    <xf numFmtId="169" fontId="30" fillId="0" borderId="0" xfId="0" applyNumberFormat="1" applyFont="1" applyBorder="1"/>
    <xf numFmtId="3" fontId="3" fillId="4" borderId="1" xfId="9" applyNumberFormat="1" applyFont="1" applyFill="1" applyBorder="1" applyAlignment="1">
      <alignment horizontal="center" vertical="center" wrapText="1"/>
    </xf>
    <xf numFmtId="0" fontId="35" fillId="4" borderId="1" xfId="0" applyFont="1" applyFill="1" applyBorder="1" applyAlignment="1">
      <alignment horizontal="center" vertical="center" wrapText="1"/>
    </xf>
    <xf numFmtId="9" fontId="35" fillId="4" borderId="1" xfId="0" applyNumberFormat="1" applyFont="1" applyFill="1" applyBorder="1" applyAlignment="1">
      <alignment horizontal="center" vertical="center" wrapText="1"/>
    </xf>
    <xf numFmtId="0" fontId="35" fillId="4" borderId="1" xfId="0" applyFont="1" applyFill="1" applyBorder="1" applyAlignment="1">
      <alignment horizontal="center" vertical="center"/>
    </xf>
    <xf numFmtId="170" fontId="8" fillId="3" borderId="4" xfId="0" applyNumberFormat="1" applyFont="1" applyFill="1" applyBorder="1" applyAlignment="1">
      <alignment horizontal="left" vertical="center"/>
    </xf>
    <xf numFmtId="0" fontId="29" fillId="2" borderId="13" xfId="0" applyFont="1" applyFill="1" applyBorder="1"/>
    <xf numFmtId="0" fontId="30" fillId="0" borderId="13" xfId="0" applyFont="1" applyBorder="1"/>
    <xf numFmtId="0" fontId="30" fillId="2" borderId="13" xfId="0" applyFont="1" applyFill="1" applyBorder="1"/>
    <xf numFmtId="0" fontId="32" fillId="3" borderId="13" xfId="0" applyFont="1" applyFill="1" applyBorder="1" applyAlignment="1">
      <alignment vertical="center"/>
    </xf>
    <xf numFmtId="0" fontId="8" fillId="3" borderId="14" xfId="0" applyFont="1" applyFill="1" applyBorder="1" applyAlignment="1">
      <alignment horizontal="left" vertical="center"/>
    </xf>
    <xf numFmtId="0" fontId="8" fillId="3" borderId="2" xfId="0" applyFont="1" applyFill="1" applyBorder="1" applyAlignment="1">
      <alignment horizontal="left" vertical="center"/>
    </xf>
    <xf numFmtId="0" fontId="9" fillId="0" borderId="15" xfId="0" applyFont="1" applyBorder="1" applyAlignment="1">
      <alignment horizontal="center" vertical="center" wrapText="1"/>
    </xf>
    <xf numFmtId="0" fontId="9" fillId="0" borderId="16" xfId="0" applyFont="1" applyBorder="1" applyAlignment="1">
      <alignment horizontal="center" vertical="center"/>
    </xf>
    <xf numFmtId="0" fontId="39" fillId="0" borderId="1" xfId="0" applyFont="1" applyBorder="1" applyAlignment="1">
      <alignment horizontal="center" vertical="center"/>
    </xf>
    <xf numFmtId="0" fontId="39" fillId="0" borderId="1" xfId="0" applyFont="1" applyBorder="1" applyAlignment="1">
      <alignment horizontal="left" vertical="center"/>
    </xf>
    <xf numFmtId="1" fontId="39" fillId="0" borderId="1" xfId="0" applyNumberFormat="1" applyFont="1" applyBorder="1" applyAlignment="1">
      <alignment horizontal="center" vertical="center"/>
    </xf>
    <xf numFmtId="1" fontId="40" fillId="0" borderId="1" xfId="0" applyNumberFormat="1" applyFont="1" applyBorder="1" applyAlignment="1">
      <alignment horizontal="center" vertical="center"/>
    </xf>
    <xf numFmtId="0" fontId="39" fillId="6" borderId="7" xfId="0" applyFont="1" applyFill="1" applyBorder="1" applyAlignment="1">
      <alignment horizontal="center" vertical="center"/>
    </xf>
    <xf numFmtId="0" fontId="39" fillId="8" borderId="7" xfId="0" applyFont="1" applyFill="1" applyBorder="1" applyAlignment="1">
      <alignment horizontal="center" vertical="center"/>
    </xf>
    <xf numFmtId="167" fontId="22" fillId="0" borderId="17" xfId="0" applyNumberFormat="1" applyFont="1" applyBorder="1"/>
    <xf numFmtId="0" fontId="22" fillId="0" borderId="17" xfId="0" applyFont="1" applyBorder="1"/>
    <xf numFmtId="3" fontId="22" fillId="0" borderId="17" xfId="0" applyNumberFormat="1" applyFont="1" applyBorder="1"/>
    <xf numFmtId="168" fontId="22" fillId="0" borderId="17" xfId="0" applyNumberFormat="1" applyFont="1" applyBorder="1"/>
    <xf numFmtId="0" fontId="41" fillId="0" borderId="1" xfId="0" applyFont="1" applyBorder="1" applyAlignment="1">
      <alignment horizontal="center" vertical="center"/>
    </xf>
    <xf numFmtId="0" fontId="41" fillId="0" borderId="1" xfId="0" applyFont="1" applyBorder="1" applyAlignment="1">
      <alignment horizontal="left" vertical="center"/>
    </xf>
    <xf numFmtId="1" fontId="41" fillId="0" borderId="1" xfId="0" applyNumberFormat="1" applyFont="1" applyBorder="1" applyAlignment="1">
      <alignment horizontal="center" vertical="center"/>
    </xf>
    <xf numFmtId="1" fontId="42" fillId="0" borderId="1" xfId="0" applyNumberFormat="1" applyFont="1" applyBorder="1" applyAlignment="1">
      <alignment horizontal="center" vertical="center"/>
    </xf>
    <xf numFmtId="1" fontId="3" fillId="4" borderId="2" xfId="0" applyNumberFormat="1" applyFont="1" applyFill="1" applyBorder="1" applyAlignment="1">
      <alignment horizontal="center" vertical="center" wrapText="1"/>
    </xf>
    <xf numFmtId="1" fontId="9" fillId="0" borderId="2" xfId="0" applyNumberFormat="1" applyFont="1" applyBorder="1" applyAlignment="1">
      <alignment horizontal="center" vertical="center"/>
    </xf>
    <xf numFmtId="1" fontId="0" fillId="0" borderId="18" xfId="0" applyNumberFormat="1" applyBorder="1"/>
    <xf numFmtId="0" fontId="3" fillId="4" borderId="2" xfId="0" applyFont="1" applyFill="1" applyBorder="1" applyAlignment="1">
      <alignment horizontal="center" vertical="center" wrapText="1"/>
    </xf>
    <xf numFmtId="1" fontId="41" fillId="0" borderId="2" xfId="0" applyNumberFormat="1" applyFont="1" applyBorder="1" applyAlignment="1">
      <alignment horizontal="center" vertical="center"/>
    </xf>
    <xf numFmtId="1" fontId="39" fillId="0" borderId="2" xfId="0" applyNumberFormat="1" applyFont="1" applyBorder="1" applyAlignment="1">
      <alignment horizontal="center" vertical="center"/>
    </xf>
    <xf numFmtId="0" fontId="8" fillId="3" borderId="18" xfId="0" applyFont="1" applyFill="1" applyBorder="1" applyAlignment="1">
      <alignment horizontal="center"/>
    </xf>
    <xf numFmtId="0" fontId="0" fillId="0" borderId="19" xfId="0" applyBorder="1" applyAlignment="1">
      <alignment horizontal="left"/>
    </xf>
    <xf numFmtId="0" fontId="17" fillId="0" borderId="19" xfId="0" applyFont="1" applyBorder="1" applyAlignment="1">
      <alignment horizontal="left"/>
    </xf>
    <xf numFmtId="0" fontId="39" fillId="6" borderId="19" xfId="0" applyFont="1" applyFill="1" applyBorder="1" applyAlignment="1">
      <alignment horizontal="left" vertical="center"/>
    </xf>
    <xf numFmtId="0" fontId="39" fillId="8" borderId="19" xfId="0" applyFont="1" applyFill="1" applyBorder="1" applyAlignment="1">
      <alignment horizontal="left" vertical="center"/>
    </xf>
    <xf numFmtId="0" fontId="43" fillId="0" borderId="1" xfId="0" applyFont="1" applyBorder="1" applyAlignment="1">
      <alignment horizontal="center" vertical="center"/>
    </xf>
    <xf numFmtId="0" fontId="43" fillId="0" borderId="1" xfId="0" applyFont="1" applyBorder="1" applyAlignment="1">
      <alignment horizontal="left" vertical="center"/>
    </xf>
    <xf numFmtId="1" fontId="43" fillId="0" borderId="1" xfId="0" applyNumberFormat="1" applyFont="1" applyBorder="1" applyAlignment="1">
      <alignment horizontal="center" vertical="center"/>
    </xf>
    <xf numFmtId="1" fontId="38" fillId="0" borderId="1" xfId="0" applyNumberFormat="1" applyFont="1" applyBorder="1" applyAlignment="1">
      <alignment horizontal="center" vertical="center"/>
    </xf>
    <xf numFmtId="1" fontId="43" fillId="0" borderId="2" xfId="0" applyNumberFormat="1" applyFont="1" applyBorder="1" applyAlignment="1">
      <alignment horizontal="center" vertical="center"/>
    </xf>
    <xf numFmtId="0" fontId="7" fillId="0" borderId="19" xfId="0" applyFont="1" applyBorder="1" applyAlignment="1">
      <alignment horizontal="left"/>
    </xf>
    <xf numFmtId="0" fontId="7" fillId="0" borderId="0" xfId="0" applyFont="1" applyBorder="1"/>
    <xf numFmtId="0" fontId="9" fillId="0" borderId="20" xfId="0" applyFont="1" applyBorder="1" applyAlignment="1">
      <alignment horizontal="center" vertical="center"/>
    </xf>
    <xf numFmtId="167" fontId="22" fillId="0" borderId="21" xfId="0" applyNumberFormat="1" applyFont="1" applyBorder="1"/>
    <xf numFmtId="0" fontId="22" fillId="0" borderId="21" xfId="0" applyFont="1" applyBorder="1"/>
    <xf numFmtId="3" fontId="22" fillId="0" borderId="21" xfId="0" applyNumberFormat="1" applyFont="1" applyBorder="1"/>
    <xf numFmtId="168" fontId="22" fillId="0" borderId="21" xfId="0" applyNumberFormat="1" applyFont="1" applyBorder="1"/>
    <xf numFmtId="0" fontId="29" fillId="2" borderId="22" xfId="0" applyFont="1" applyFill="1" applyBorder="1"/>
    <xf numFmtId="0" fontId="30" fillId="2" borderId="22" xfId="0" applyFont="1" applyFill="1" applyBorder="1"/>
    <xf numFmtId="0" fontId="2" fillId="8" borderId="23" xfId="0" applyFont="1" applyFill="1" applyBorder="1" applyAlignment="1">
      <alignment horizontal="center" vertical="center"/>
    </xf>
    <xf numFmtId="0" fontId="2" fillId="8" borderId="23" xfId="0" applyFont="1" applyFill="1" applyBorder="1" applyAlignment="1">
      <alignment horizontal="left" vertical="center"/>
    </xf>
    <xf numFmtId="0" fontId="4" fillId="8" borderId="23" xfId="0" applyFont="1" applyFill="1" applyBorder="1" applyAlignment="1">
      <alignment horizontal="center" vertical="center"/>
    </xf>
    <xf numFmtId="165" fontId="4" fillId="8" borderId="23" xfId="0" applyNumberFormat="1" applyFont="1" applyFill="1" applyBorder="1" applyAlignment="1">
      <alignment horizontal="center" vertical="center"/>
    </xf>
    <xf numFmtId="166" fontId="2" fillId="8" borderId="23" xfId="0" applyNumberFormat="1" applyFont="1" applyFill="1" applyBorder="1" applyAlignment="1">
      <alignment horizontal="center" vertical="center"/>
    </xf>
    <xf numFmtId="0" fontId="19" fillId="8" borderId="23" xfId="0" applyFont="1" applyFill="1" applyBorder="1" applyAlignment="1">
      <alignment horizontal="center" vertical="center"/>
    </xf>
    <xf numFmtId="0" fontId="22" fillId="0" borderId="22" xfId="0" applyFont="1" applyBorder="1"/>
    <xf numFmtId="0" fontId="9" fillId="0" borderId="23" xfId="0" applyFont="1" applyBorder="1" applyAlignment="1">
      <alignment horizontal="center" vertical="center"/>
    </xf>
    <xf numFmtId="166" fontId="16" fillId="8" borderId="23" xfId="0" applyNumberFormat="1" applyFont="1" applyFill="1" applyBorder="1" applyAlignment="1">
      <alignment horizontal="center" vertical="center"/>
    </xf>
    <xf numFmtId="0" fontId="46" fillId="6" borderId="1" xfId="0" applyFont="1" applyFill="1" applyBorder="1" applyAlignment="1">
      <alignment horizontal="center" vertical="center" wrapText="1"/>
    </xf>
    <xf numFmtId="0" fontId="36" fillId="5" borderId="24" xfId="0" applyFont="1" applyFill="1" applyBorder="1" applyAlignment="1">
      <alignment vertical="center"/>
    </xf>
    <xf numFmtId="0" fontId="32" fillId="3" borderId="24" xfId="0" applyFont="1" applyFill="1" applyBorder="1" applyAlignment="1">
      <alignment vertical="center"/>
    </xf>
    <xf numFmtId="171" fontId="32" fillId="3" borderId="24" xfId="0" applyNumberFormat="1" applyFont="1" applyFill="1" applyBorder="1" applyAlignment="1">
      <alignment horizontal="center" vertical="center"/>
    </xf>
    <xf numFmtId="171" fontId="36" fillId="5" borderId="24" xfId="0" applyNumberFormat="1" applyFont="1" applyFill="1" applyBorder="1" applyAlignment="1">
      <alignment horizontal="center" vertical="center"/>
    </xf>
    <xf numFmtId="0" fontId="47" fillId="16" borderId="25" xfId="0" applyFont="1" applyFill="1" applyBorder="1" applyAlignment="1">
      <alignment horizontal="center" vertical="center" wrapText="1"/>
    </xf>
    <xf numFmtId="0" fontId="46" fillId="6" borderId="1" xfId="0" applyFont="1" applyFill="1" applyBorder="1" applyAlignment="1">
      <alignment horizontal="center" vertical="center"/>
    </xf>
    <xf numFmtId="3" fontId="46" fillId="6" borderId="1" xfId="0" applyNumberFormat="1" applyFont="1" applyFill="1" applyBorder="1" applyAlignment="1">
      <alignment horizontal="center" vertical="center"/>
    </xf>
    <xf numFmtId="1" fontId="46" fillId="6" borderId="1" xfId="0" applyNumberFormat="1" applyFont="1" applyFill="1" applyBorder="1" applyAlignment="1">
      <alignment horizontal="center" vertical="center"/>
    </xf>
    <xf numFmtId="0" fontId="38" fillId="6" borderId="1" xfId="0" applyFont="1" applyFill="1" applyBorder="1" applyAlignment="1">
      <alignment horizontal="center" vertical="center"/>
    </xf>
    <xf numFmtId="0" fontId="46" fillId="0" borderId="15" xfId="0" applyFont="1" applyBorder="1" applyAlignment="1">
      <alignment horizontal="center" vertical="center" wrapText="1"/>
    </xf>
    <xf numFmtId="0" fontId="46" fillId="0" borderId="15" xfId="0" applyFont="1" applyBorder="1" applyAlignment="1">
      <alignment horizontal="left" vertical="center" wrapText="1"/>
    </xf>
    <xf numFmtId="1" fontId="46" fillId="0" borderId="15" xfId="0" applyNumberFormat="1" applyFont="1" applyBorder="1" applyAlignment="1">
      <alignment horizontal="center" vertical="center" wrapText="1"/>
    </xf>
    <xf numFmtId="3" fontId="46" fillId="0" borderId="15" xfId="0" applyNumberFormat="1" applyFont="1" applyBorder="1" applyAlignment="1">
      <alignment horizontal="center" vertical="center" wrapText="1"/>
    </xf>
    <xf numFmtId="0" fontId="46" fillId="6" borderId="1" xfId="0" applyFont="1" applyFill="1" applyBorder="1" applyAlignment="1">
      <alignment horizontal="left" vertical="center"/>
    </xf>
    <xf numFmtId="3" fontId="46" fillId="6" borderId="1" xfId="0" applyNumberFormat="1" applyFont="1" applyFill="1" applyBorder="1" applyAlignment="1">
      <alignment horizontal="left" vertical="center"/>
    </xf>
    <xf numFmtId="0" fontId="46" fillId="0" borderId="1" xfId="0" applyFont="1" applyBorder="1" applyAlignment="1">
      <alignment horizontal="center" vertical="center"/>
    </xf>
    <xf numFmtId="0" fontId="46" fillId="0" borderId="1" xfId="0" applyFont="1" applyBorder="1" applyAlignment="1">
      <alignment horizontal="left" vertical="center"/>
    </xf>
    <xf numFmtId="0" fontId="46" fillId="0" borderId="16" xfId="0" applyFont="1" applyBorder="1" applyAlignment="1">
      <alignment horizontal="center" vertical="center"/>
    </xf>
    <xf numFmtId="0" fontId="46" fillId="0" borderId="20" xfId="0" applyFont="1" applyBorder="1" applyAlignment="1">
      <alignment horizontal="center" vertical="center"/>
    </xf>
    <xf numFmtId="0" fontId="46" fillId="0" borderId="20" xfId="0" applyFont="1" applyBorder="1" applyAlignment="1">
      <alignment horizontal="left" vertical="center"/>
    </xf>
    <xf numFmtId="0" fontId="46" fillId="0" borderId="23" xfId="0" applyFont="1" applyBorder="1" applyAlignment="1">
      <alignment horizontal="center" vertical="center"/>
    </xf>
    <xf numFmtId="0" fontId="46" fillId="0" borderId="23" xfId="0" applyFont="1" applyBorder="1" applyAlignment="1">
      <alignment horizontal="left" vertical="center"/>
    </xf>
    <xf numFmtId="1" fontId="46" fillId="0" borderId="1" xfId="0" applyNumberFormat="1" applyFont="1" applyBorder="1" applyAlignment="1">
      <alignment horizontal="center" vertical="center"/>
    </xf>
    <xf numFmtId="3" fontId="46" fillId="0" borderId="1" xfId="0" applyNumberFormat="1" applyFont="1" applyBorder="1" applyAlignment="1">
      <alignment horizontal="center" vertical="center"/>
    </xf>
    <xf numFmtId="1" fontId="46" fillId="0" borderId="16" xfId="0" applyNumberFormat="1" applyFont="1" applyBorder="1" applyAlignment="1">
      <alignment horizontal="center" vertical="center"/>
    </xf>
    <xf numFmtId="3" fontId="46" fillId="0" borderId="16" xfId="0" applyNumberFormat="1" applyFont="1" applyBorder="1" applyAlignment="1">
      <alignment horizontal="center" vertical="center"/>
    </xf>
    <xf numFmtId="1" fontId="46" fillId="0" borderId="20" xfId="0" applyNumberFormat="1" applyFont="1" applyBorder="1" applyAlignment="1">
      <alignment horizontal="center" vertical="center"/>
    </xf>
    <xf numFmtId="3" fontId="46" fillId="0" borderId="20" xfId="0" applyNumberFormat="1" applyFont="1" applyBorder="1" applyAlignment="1">
      <alignment horizontal="center" vertical="center"/>
    </xf>
    <xf numFmtId="1" fontId="46" fillId="0" borderId="23" xfId="0" applyNumberFormat="1" applyFont="1" applyBorder="1" applyAlignment="1">
      <alignment horizontal="center" vertical="center"/>
    </xf>
    <xf numFmtId="3" fontId="46" fillId="0" borderId="23" xfId="0" applyNumberFormat="1" applyFont="1" applyBorder="1" applyAlignment="1">
      <alignment horizontal="center" vertical="center"/>
    </xf>
    <xf numFmtId="2" fontId="46" fillId="6" borderId="1" xfId="0" applyNumberFormat="1" applyFont="1" applyFill="1" applyBorder="1" applyAlignment="1">
      <alignment horizontal="center" vertical="center"/>
    </xf>
    <xf numFmtId="3" fontId="46" fillId="0" borderId="1" xfId="0" applyNumberFormat="1" applyFont="1" applyBorder="1" applyAlignment="1">
      <alignment horizontal="center" vertical="center" wrapText="1"/>
    </xf>
    <xf numFmtId="3" fontId="48" fillId="18" borderId="26" xfId="0" applyNumberFormat="1" applyFont="1" applyFill="1" applyBorder="1" applyAlignment="1">
      <alignment horizontal="center" vertical="center"/>
    </xf>
    <xf numFmtId="1" fontId="49" fillId="17" borderId="26" xfId="0" applyNumberFormat="1" applyFont="1" applyFill="1" applyBorder="1" applyAlignment="1">
      <alignment vertical="center" wrapText="1"/>
    </xf>
    <xf numFmtId="3" fontId="48" fillId="18" borderId="26" xfId="0" applyNumberFormat="1" applyFont="1" applyFill="1" applyBorder="1" applyAlignment="1">
      <alignment horizontal="left" vertical="center"/>
    </xf>
    <xf numFmtId="0" fontId="49" fillId="17" borderId="26" xfId="0" applyFont="1" applyFill="1" applyBorder="1" applyAlignment="1">
      <alignment horizontal="left" vertical="center" wrapText="1"/>
    </xf>
    <xf numFmtId="3" fontId="48" fillId="19" borderId="27" xfId="0" applyNumberFormat="1" applyFont="1" applyFill="1" applyBorder="1" applyAlignment="1">
      <alignment horizontal="center" vertical="center"/>
    </xf>
    <xf numFmtId="0" fontId="50" fillId="8" borderId="28" xfId="0" applyFont="1" applyFill="1" applyBorder="1" applyAlignment="1">
      <alignment horizontal="center" vertical="center"/>
    </xf>
    <xf numFmtId="0" fontId="50" fillId="8" borderId="28" xfId="0" applyFont="1" applyFill="1" applyBorder="1" applyAlignment="1">
      <alignment horizontal="left" vertical="center"/>
    </xf>
    <xf numFmtId="0" fontId="50" fillId="8" borderId="28" xfId="0" applyFont="1" applyFill="1" applyBorder="1" applyAlignment="1">
      <alignment horizontal="right" vertical="center"/>
    </xf>
    <xf numFmtId="165" fontId="50" fillId="8" borderId="28" xfId="0" applyNumberFormat="1" applyFont="1" applyFill="1" applyBorder="1" applyAlignment="1">
      <alignment horizontal="right" vertical="center"/>
    </xf>
    <xf numFmtId="166" fontId="50" fillId="8" borderId="28" xfId="0" applyNumberFormat="1" applyFont="1" applyFill="1" applyBorder="1" applyAlignment="1">
      <alignment horizontal="left" vertical="center"/>
    </xf>
    <xf numFmtId="166" fontId="50" fillId="8" borderId="28" xfId="0" applyNumberFormat="1" applyFont="1" applyFill="1" applyBorder="1" applyAlignment="1">
      <alignment horizontal="right" vertical="center"/>
    </xf>
    <xf numFmtId="0" fontId="51" fillId="8" borderId="19" xfId="0" applyFont="1" applyFill="1" applyBorder="1" applyAlignment="1">
      <alignment horizontal="left" vertical="center"/>
    </xf>
    <xf numFmtId="0" fontId="53" fillId="17" borderId="0" xfId="0" applyFont="1" applyFill="1" applyBorder="1" applyAlignment="1">
      <alignment horizontal="center" vertical="center" wrapText="1"/>
    </xf>
    <xf numFmtId="0" fontId="54" fillId="25" borderId="29" xfId="0" applyFont="1" applyFill="1" applyBorder="1" applyAlignment="1">
      <alignment horizontal="center" vertical="top"/>
    </xf>
    <xf numFmtId="0" fontId="55" fillId="25" borderId="29" xfId="0" applyFont="1" applyFill="1" applyBorder="1" applyAlignment="1">
      <alignment horizontal="center" vertical="top" wrapText="1"/>
    </xf>
    <xf numFmtId="0" fontId="56" fillId="25" borderId="29" xfId="0" applyFont="1" applyFill="1" applyBorder="1" applyAlignment="1">
      <alignment horizontal="left" vertical="top" wrapText="1"/>
    </xf>
    <xf numFmtId="0" fontId="57" fillId="25" borderId="29" xfId="0" applyFont="1" applyFill="1" applyBorder="1" applyAlignment="1">
      <alignment horizontal="left" vertical="top" wrapText="1"/>
    </xf>
    <xf numFmtId="0" fontId="58" fillId="25" borderId="29" xfId="0" applyFont="1" applyFill="1" applyBorder="1" applyAlignment="1">
      <alignment horizontal="left" vertical="top" wrapText="1"/>
    </xf>
    <xf numFmtId="0" fontId="59" fillId="26" borderId="29" xfId="0" applyFont="1" applyFill="1" applyBorder="1" applyAlignment="1">
      <alignment horizontal="center" vertical="top"/>
    </xf>
    <xf numFmtId="0" fontId="60" fillId="27" borderId="29" xfId="0" applyFont="1" applyFill="1" applyBorder="1" applyAlignment="1">
      <alignment horizontal="center" vertical="top" wrapText="1"/>
    </xf>
    <xf numFmtId="0" fontId="54" fillId="14" borderId="29" xfId="0" applyFont="1" applyFill="1" applyBorder="1" applyAlignment="1">
      <alignment horizontal="center" vertical="top"/>
    </xf>
    <xf numFmtId="0" fontId="55" fillId="14" borderId="29" xfId="0" applyFont="1" applyFill="1" applyBorder="1" applyAlignment="1">
      <alignment horizontal="center" vertical="top" wrapText="1"/>
    </xf>
    <xf numFmtId="0" fontId="56" fillId="14" borderId="29" xfId="0" applyFont="1" applyFill="1" applyBorder="1" applyAlignment="1">
      <alignment horizontal="left" vertical="top" wrapText="1"/>
    </xf>
    <xf numFmtId="0" fontId="57" fillId="14" borderId="29" xfId="0" applyFont="1" applyFill="1" applyBorder="1" applyAlignment="1">
      <alignment horizontal="left" vertical="top" wrapText="1"/>
    </xf>
    <xf numFmtId="0" fontId="58" fillId="14" borderId="29" xfId="0" applyFont="1" applyFill="1" applyBorder="1" applyAlignment="1">
      <alignment horizontal="left" vertical="top" wrapText="1"/>
    </xf>
    <xf numFmtId="0" fontId="61" fillId="28" borderId="29" xfId="0" applyFont="1" applyFill="1" applyBorder="1" applyAlignment="1">
      <alignment horizontal="center" vertical="top" wrapText="1"/>
    </xf>
    <xf numFmtId="0" fontId="44" fillId="0" borderId="1" xfId="0" applyFont="1" applyBorder="1" applyAlignment="1">
      <alignment horizontal="center" vertical="center"/>
    </xf>
    <xf numFmtId="0" fontId="44" fillId="0" borderId="1" xfId="0" applyFont="1" applyBorder="1" applyAlignment="1">
      <alignment horizontal="left" vertical="center"/>
    </xf>
    <xf numFmtId="1" fontId="44" fillId="0" borderId="1" xfId="0" applyNumberFormat="1" applyFont="1" applyBorder="1" applyAlignment="1">
      <alignment horizontal="center" vertical="center"/>
    </xf>
    <xf numFmtId="1" fontId="45" fillId="0" borderId="1" xfId="0" applyNumberFormat="1" applyFont="1" applyBorder="1" applyAlignment="1">
      <alignment horizontal="center" vertical="center"/>
    </xf>
    <xf numFmtId="1" fontId="44" fillId="0" borderId="2" xfId="0" applyNumberFormat="1" applyFont="1" applyBorder="1" applyAlignment="1">
      <alignment horizontal="center" vertical="center"/>
    </xf>
    <xf numFmtId="0" fontId="9" fillId="0" borderId="30" xfId="0" applyFont="1" applyBorder="1" applyAlignment="1">
      <alignment horizontal="center" vertical="center" wrapText="1"/>
    </xf>
    <xf numFmtId="0" fontId="46" fillId="0" borderId="30" xfId="0" applyFont="1" applyBorder="1" applyAlignment="1">
      <alignment horizontal="center" vertical="center" wrapText="1"/>
    </xf>
    <xf numFmtId="0" fontId="46" fillId="0" borderId="30" xfId="0" applyFont="1" applyBorder="1" applyAlignment="1">
      <alignment horizontal="left" vertical="center" wrapText="1"/>
    </xf>
    <xf numFmtId="1" fontId="46" fillId="0" borderId="30" xfId="0" applyNumberFormat="1" applyFont="1" applyBorder="1" applyAlignment="1">
      <alignment horizontal="center" vertical="center" wrapText="1"/>
    </xf>
    <xf numFmtId="3" fontId="46" fillId="0" borderId="30" xfId="0" applyNumberFormat="1" applyFont="1" applyBorder="1" applyAlignment="1">
      <alignment horizontal="center" vertical="center" wrapText="1"/>
    </xf>
    <xf numFmtId="0" fontId="46" fillId="0" borderId="30" xfId="0" applyFont="1" applyBorder="1" applyAlignment="1">
      <alignment horizontal="center" vertical="center"/>
    </xf>
    <xf numFmtId="0" fontId="46" fillId="0" borderId="30" xfId="0" applyFont="1" applyBorder="1" applyAlignment="1">
      <alignment horizontal="left" vertical="center"/>
    </xf>
    <xf numFmtId="0" fontId="9" fillId="0" borderId="30" xfId="0" applyFont="1" applyBorder="1" applyAlignment="1">
      <alignment horizontal="center" vertical="center"/>
    </xf>
    <xf numFmtId="1" fontId="46" fillId="0" borderId="30" xfId="0" applyNumberFormat="1" applyFont="1" applyBorder="1" applyAlignment="1">
      <alignment horizontal="center" vertical="center"/>
    </xf>
    <xf numFmtId="3" fontId="46" fillId="0" borderId="30" xfId="0" applyNumberFormat="1" applyFont="1" applyBorder="1" applyAlignment="1">
      <alignment horizontal="center" vertical="center"/>
    </xf>
    <xf numFmtId="0" fontId="46" fillId="6" borderId="30" xfId="0" applyFont="1" applyFill="1" applyBorder="1" applyAlignment="1">
      <alignment horizontal="center" vertical="center" wrapText="1"/>
    </xf>
    <xf numFmtId="0" fontId="10" fillId="6" borderId="1" xfId="0" applyFont="1" applyFill="1" applyBorder="1" applyAlignment="1">
      <alignment horizontal="center" vertical="center"/>
    </xf>
    <xf numFmtId="3" fontId="38" fillId="19" borderId="27" xfId="0" applyNumberFormat="1" applyFont="1" applyFill="1" applyBorder="1" applyAlignment="1">
      <alignment horizontal="center" vertical="center"/>
    </xf>
    <xf numFmtId="0" fontId="1" fillId="0" borderId="0" xfId="0" applyFont="1" applyBorder="1"/>
    <xf numFmtId="3" fontId="38" fillId="18" borderId="26" xfId="0" applyNumberFormat="1" applyFont="1" applyFill="1" applyBorder="1" applyAlignment="1">
      <alignment horizontal="left" vertical="center"/>
    </xf>
    <xf numFmtId="0" fontId="45" fillId="0" borderId="16" xfId="0" applyFont="1" applyBorder="1" applyAlignment="1">
      <alignment horizontal="left" vertical="center"/>
    </xf>
    <xf numFmtId="0" fontId="45" fillId="6" borderId="1" xfId="0" applyFont="1" applyFill="1" applyBorder="1" applyAlignment="1">
      <alignment horizontal="center" vertical="center" wrapText="1"/>
    </xf>
    <xf numFmtId="0" fontId="75" fillId="0" borderId="19" xfId="0" applyFont="1" applyBorder="1" applyAlignment="1">
      <alignment horizontal="left" vertical="center" wrapText="1"/>
    </xf>
    <xf numFmtId="0" fontId="72" fillId="0" borderId="1" xfId="0" applyFont="1" applyBorder="1" applyAlignment="1">
      <alignment horizontal="center" vertical="center"/>
    </xf>
    <xf numFmtId="0" fontId="72" fillId="0" borderId="1" xfId="0" applyFont="1" applyBorder="1" applyAlignment="1">
      <alignment horizontal="left" vertical="center"/>
    </xf>
    <xf numFmtId="1" fontId="72" fillId="0" borderId="1" xfId="0" applyNumberFormat="1" applyFont="1" applyBorder="1" applyAlignment="1">
      <alignment horizontal="center" vertical="center"/>
    </xf>
    <xf numFmtId="1" fontId="73" fillId="0" borderId="1" xfId="0" applyNumberFormat="1" applyFont="1" applyBorder="1" applyAlignment="1">
      <alignment horizontal="center" vertical="center"/>
    </xf>
    <xf numFmtId="1" fontId="72" fillId="0" borderId="2" xfId="0" applyNumberFormat="1" applyFont="1" applyBorder="1" applyAlignment="1">
      <alignment horizontal="center" vertical="center"/>
    </xf>
    <xf numFmtId="0" fontId="74" fillId="0" borderId="19" xfId="0" applyFont="1" applyBorder="1" applyAlignment="1">
      <alignment horizontal="left"/>
    </xf>
    <xf numFmtId="0" fontId="72" fillId="6" borderId="19" xfId="0" applyFont="1" applyFill="1" applyBorder="1" applyAlignment="1">
      <alignment horizontal="left" vertical="center"/>
    </xf>
    <xf numFmtId="0" fontId="72" fillId="8" borderId="19" xfId="0" applyFont="1" applyFill="1" applyBorder="1" applyAlignment="1">
      <alignment horizontal="left" vertical="center"/>
    </xf>
    <xf numFmtId="0" fontId="74" fillId="0" borderId="0" xfId="0" applyFont="1" applyBorder="1"/>
    <xf numFmtId="0" fontId="45" fillId="6" borderId="1" xfId="0" applyFont="1" applyFill="1" applyBorder="1" applyAlignment="1">
      <alignment horizontal="center" vertical="center"/>
    </xf>
    <xf numFmtId="0" fontId="22" fillId="0" borderId="32" xfId="0" applyFont="1"/>
    <xf numFmtId="167" fontId="22" fillId="0" borderId="32" xfId="0" applyNumberFormat="1" applyFont="1"/>
    <xf numFmtId="3" fontId="22" fillId="0" borderId="32" xfId="0" applyNumberFormat="1" applyFont="1"/>
    <xf numFmtId="168" fontId="22" fillId="0" borderId="32" xfId="0" applyNumberFormat="1" applyFont="1"/>
    <xf numFmtId="0" fontId="70" fillId="10" borderId="34" xfId="0" applyFont="1" applyFill="1" applyBorder="1" applyAlignment="1">
      <alignment horizontal="center" vertical="center"/>
    </xf>
    <xf numFmtId="0" fontId="70" fillId="10" borderId="34" xfId="0" applyFont="1" applyFill="1" applyBorder="1" applyAlignment="1">
      <alignment horizontal="left" vertical="center"/>
    </xf>
    <xf numFmtId="3" fontId="71" fillId="10" borderId="34" xfId="0" applyNumberFormat="1" applyFont="1" applyFill="1" applyBorder="1" applyAlignment="1">
      <alignment horizontal="center" vertical="center"/>
    </xf>
    <xf numFmtId="0" fontId="70" fillId="10" borderId="34" xfId="0" applyFont="1" applyFill="1" applyBorder="1" applyAlignment="1">
      <alignment horizontal="left" vertical="center" wrapText="1"/>
    </xf>
    <xf numFmtId="0" fontId="70" fillId="0" borderId="33" xfId="0" applyFont="1" applyBorder="1" applyAlignment="1">
      <alignment horizontal="center" vertical="center" wrapText="1"/>
    </xf>
    <xf numFmtId="0" fontId="70" fillId="0" borderId="33" xfId="0" applyFont="1" applyBorder="1"/>
    <xf numFmtId="0" fontId="70" fillId="11" borderId="34" xfId="0" applyFont="1" applyFill="1" applyBorder="1" applyAlignment="1">
      <alignment horizontal="center" vertical="center"/>
    </xf>
    <xf numFmtId="0" fontId="70" fillId="11" borderId="34" xfId="0" applyFont="1" applyFill="1" applyBorder="1" applyAlignment="1">
      <alignment horizontal="left" vertical="center"/>
    </xf>
    <xf numFmtId="3" fontId="71" fillId="11" borderId="34" xfId="0" applyNumberFormat="1" applyFont="1" applyFill="1" applyBorder="1" applyAlignment="1">
      <alignment horizontal="center" vertical="center"/>
    </xf>
    <xf numFmtId="0" fontId="70" fillId="11" borderId="34" xfId="0" applyFont="1" applyFill="1" applyBorder="1" applyAlignment="1">
      <alignment horizontal="left" vertical="center" wrapText="1"/>
    </xf>
    <xf numFmtId="0" fontId="70" fillId="0" borderId="33" xfId="0" applyFont="1" applyBorder="1" applyAlignment="1">
      <alignment horizontal="center" vertical="center"/>
    </xf>
    <xf numFmtId="0" fontId="70" fillId="0" borderId="33" xfId="0" applyFont="1" applyBorder="1" applyAlignment="1">
      <alignment horizontal="left" vertical="center"/>
    </xf>
    <xf numFmtId="3" fontId="70" fillId="0" borderId="33" xfId="0" applyNumberFormat="1" applyFont="1" applyBorder="1" applyAlignment="1">
      <alignment horizontal="center" vertical="center"/>
    </xf>
    <xf numFmtId="0" fontId="70" fillId="0" borderId="33" xfId="0" applyFont="1" applyBorder="1" applyAlignment="1">
      <alignment horizontal="left" vertical="center" wrapText="1"/>
    </xf>
    <xf numFmtId="0" fontId="70" fillId="0" borderId="33" xfId="0" applyFont="1" applyBorder="1" applyAlignment="1">
      <alignment horizontal="center"/>
    </xf>
    <xf numFmtId="0" fontId="29" fillId="0" borderId="33" xfId="0" applyFont="1" applyBorder="1"/>
    <xf numFmtId="0" fontId="30" fillId="0" borderId="33" xfId="0" applyFont="1" applyBorder="1"/>
    <xf numFmtId="0" fontId="65" fillId="20" borderId="36" xfId="0" applyFont="1" applyFill="1" applyBorder="1" applyAlignment="1">
      <alignment horizontal="left" vertical="center"/>
    </xf>
    <xf numFmtId="0" fontId="65" fillId="20" borderId="36" xfId="0" applyFont="1" applyFill="1" applyBorder="1" applyAlignment="1">
      <alignment horizontal="right" vertical="center"/>
    </xf>
    <xf numFmtId="0" fontId="66" fillId="0" borderId="36" xfId="0" applyFont="1" applyBorder="1" applyAlignment="1">
      <alignment horizontal="left" vertical="center"/>
    </xf>
    <xf numFmtId="166" fontId="66" fillId="0" borderId="36" xfId="0" applyNumberFormat="1" applyFont="1" applyBorder="1" applyAlignment="1">
      <alignment horizontal="right" vertical="center"/>
    </xf>
    <xf numFmtId="168" fontId="66" fillId="0" borderId="36" xfId="0" applyNumberFormat="1" applyFont="1" applyBorder="1" applyAlignment="1">
      <alignment horizontal="right" vertical="center"/>
    </xf>
    <xf numFmtId="169" fontId="30" fillId="0" borderId="33" xfId="0" applyNumberFormat="1" applyFont="1" applyBorder="1"/>
    <xf numFmtId="0" fontId="62" fillId="0" borderId="35" xfId="0" applyFont="1" applyBorder="1" applyAlignment="1">
      <alignment horizontal="center" vertical="center"/>
    </xf>
    <xf numFmtId="0" fontId="62" fillId="0" borderId="35" xfId="0" applyFont="1" applyBorder="1" applyAlignment="1">
      <alignment horizontal="left" vertical="center"/>
    </xf>
    <xf numFmtId="3" fontId="62" fillId="0" borderId="35" xfId="0" applyNumberFormat="1" applyFont="1" applyBorder="1" applyAlignment="1">
      <alignment horizontal="left" vertical="center"/>
    </xf>
    <xf numFmtId="172" fontId="62" fillId="0" borderId="35" xfId="0" applyNumberFormat="1" applyFont="1" applyBorder="1" applyAlignment="1">
      <alignment horizontal="center" vertical="center"/>
    </xf>
    <xf numFmtId="3" fontId="62" fillId="0" borderId="35" xfId="0" applyNumberFormat="1" applyFont="1" applyBorder="1" applyAlignment="1">
      <alignment horizontal="center" vertical="center"/>
    </xf>
    <xf numFmtId="3" fontId="63" fillId="0" borderId="35" xfId="0" applyNumberFormat="1" applyFont="1" applyBorder="1" applyAlignment="1">
      <alignment horizontal="center" vertical="center"/>
    </xf>
    <xf numFmtId="9" fontId="62" fillId="0" borderId="35" xfId="0" applyNumberFormat="1" applyFont="1" applyBorder="1" applyAlignment="1">
      <alignment horizontal="center" vertical="center"/>
    </xf>
    <xf numFmtId="0" fontId="63" fillId="0" borderId="35" xfId="0" applyFont="1" applyBorder="1" applyAlignment="1">
      <alignment horizontal="left" vertical="center"/>
    </xf>
    <xf numFmtId="0" fontId="67" fillId="21" borderId="36" xfId="0" applyFont="1" applyFill="1" applyBorder="1" applyAlignment="1">
      <alignment horizontal="left" vertical="center"/>
    </xf>
    <xf numFmtId="166" fontId="67" fillId="21" borderId="36" xfId="0" applyNumberFormat="1" applyFont="1" applyFill="1" applyBorder="1" applyAlignment="1">
      <alignment horizontal="right" vertical="center"/>
    </xf>
    <xf numFmtId="168" fontId="67" fillId="21" borderId="36" xfId="0" applyNumberFormat="1" applyFont="1" applyFill="1" applyBorder="1" applyAlignment="1">
      <alignment horizontal="right" vertical="center"/>
    </xf>
    <xf numFmtId="0" fontId="0" fillId="0" borderId="33" xfId="0" applyBorder="1"/>
    <xf numFmtId="0" fontId="68" fillId="0" borderId="33" xfId="0" applyFont="1" applyBorder="1"/>
    <xf numFmtId="3" fontId="69" fillId="24" borderId="36" xfId="0" applyNumberFormat="1" applyFont="1" applyFill="1" applyBorder="1" applyAlignment="1">
      <alignment horizontal="left" vertical="center"/>
    </xf>
    <xf numFmtId="166" fontId="69" fillId="24" borderId="36" xfId="0" applyNumberFormat="1" applyFont="1" applyFill="1" applyBorder="1" applyAlignment="1">
      <alignment horizontal="right" vertical="center"/>
    </xf>
    <xf numFmtId="168" fontId="69" fillId="24" borderId="36" xfId="0" applyNumberFormat="1" applyFont="1" applyFill="1" applyBorder="1" applyAlignment="1">
      <alignment horizontal="right" vertical="center"/>
    </xf>
    <xf numFmtId="0" fontId="49" fillId="3" borderId="31" xfId="0" applyFont="1" applyFill="1" applyBorder="1" applyAlignment="1">
      <alignment horizontal="left" vertical="center"/>
    </xf>
    <xf numFmtId="169" fontId="49" fillId="3" borderId="31" xfId="0" applyNumberFormat="1" applyFont="1" applyFill="1" applyBorder="1" applyAlignment="1">
      <alignment horizontal="center" vertical="center"/>
    </xf>
    <xf numFmtId="0" fontId="49" fillId="3" borderId="31" xfId="0" applyFont="1" applyFill="1" applyBorder="1" applyAlignment="1">
      <alignment horizontal="right" vertical="center"/>
    </xf>
    <xf numFmtId="3" fontId="49" fillId="3" borderId="31" xfId="0" applyNumberFormat="1" applyFont="1" applyFill="1" applyBorder="1" applyAlignment="1">
      <alignment horizontal="center" vertical="center"/>
    </xf>
    <xf numFmtId="0" fontId="50" fillId="0" borderId="33" xfId="0" applyFont="1" applyBorder="1"/>
    <xf numFmtId="166" fontId="50" fillId="0" borderId="33" xfId="0" applyNumberFormat="1" applyFont="1" applyBorder="1"/>
    <xf numFmtId="168" fontId="50" fillId="0" borderId="33" xfId="0" applyNumberFormat="1" applyFont="1" applyBorder="1"/>
    <xf numFmtId="0" fontId="22" fillId="0" borderId="33" xfId="0" applyFont="1" applyBorder="1"/>
    <xf numFmtId="0" fontId="48" fillId="0" borderId="33" xfId="0" applyFont="1" applyBorder="1"/>
    <xf numFmtId="166" fontId="48" fillId="0" borderId="33" xfId="0" applyNumberFormat="1" applyFont="1" applyBorder="1"/>
    <xf numFmtId="168" fontId="48" fillId="0" borderId="33" xfId="0" applyNumberFormat="1" applyFont="1" applyBorder="1"/>
    <xf numFmtId="0" fontId="62" fillId="0" borderId="33" xfId="0" applyFont="1" applyBorder="1"/>
    <xf numFmtId="0" fontId="8" fillId="3" borderId="6" xfId="0" applyFont="1" applyFill="1" applyBorder="1" applyAlignment="1">
      <alignment horizontal="center"/>
    </xf>
    <xf numFmtId="0" fontId="0" fillId="0" borderId="6" xfId="0" applyBorder="1"/>
    <xf numFmtId="0" fontId="32" fillId="3" borderId="32" xfId="0" applyFont="1" applyFill="1"/>
    <xf numFmtId="0" fontId="30" fillId="0" borderId="0" xfId="0" applyFont="1" applyBorder="1"/>
    <xf numFmtId="0" fontId="30" fillId="0" borderId="0" xfId="0" applyFont="1" applyBorder="1" applyAlignment="1">
      <alignment horizontal="center"/>
    </xf>
    <xf numFmtId="9" fontId="30" fillId="0" borderId="0" xfId="0" applyNumberFormat="1" applyFont="1" applyBorder="1"/>
    <xf numFmtId="3" fontId="31" fillId="3" borderId="32" xfId="0" applyNumberFormat="1" applyFont="1" applyFill="1" applyAlignment="1">
      <alignment horizontal="center" vertical="center"/>
    </xf>
    <xf numFmtId="167" fontId="33" fillId="3" borderId="32" xfId="0" applyNumberFormat="1" applyFont="1" applyFill="1" applyAlignment="1">
      <alignment horizontal="center"/>
    </xf>
    <xf numFmtId="0" fontId="36" fillId="5" borderId="32" xfId="0" applyFont="1" applyFill="1" applyAlignment="1">
      <alignment vertical="center"/>
    </xf>
    <xf numFmtId="0" fontId="32" fillId="3" borderId="32" xfId="0" applyFont="1" applyFill="1" applyAlignment="1">
      <alignment vertical="center"/>
    </xf>
    <xf numFmtId="0" fontId="31" fillId="3" borderId="32" xfId="0" applyFont="1" applyFill="1" applyAlignment="1">
      <alignment horizontal="center" vertical="center"/>
    </xf>
    <xf numFmtId="0" fontId="64" fillId="22" borderId="33" xfId="0" applyFont="1" applyFill="1" applyBorder="1" applyAlignment="1">
      <alignment horizontal="center" vertical="center"/>
    </xf>
    <xf numFmtId="0" fontId="0" fillId="0" borderId="32" xfId="0"/>
    <xf numFmtId="0" fontId="68" fillId="23" borderId="33" xfId="0" applyFont="1" applyFill="1" applyBorder="1" applyAlignment="1">
      <alignment horizontal="center" vertical="center"/>
    </xf>
    <xf numFmtId="3" fontId="31" fillId="5" borderId="32" xfId="0" applyNumberFormat="1" applyFont="1" applyFill="1" applyAlignment="1">
      <alignment horizontal="center" vertical="center"/>
    </xf>
    <xf numFmtId="0" fontId="37" fillId="3" borderId="5" xfId="0" applyFont="1" applyFill="1" applyBorder="1" applyAlignment="1">
      <alignment horizontal="center" vertical="center"/>
    </xf>
    <xf numFmtId="0" fontId="12" fillId="3" borderId="32" xfId="0" applyFont="1" applyFill="1" applyAlignment="1">
      <alignment horizontal="center"/>
    </xf>
    <xf numFmtId="0" fontId="0" fillId="0" borderId="0" xfId="0" applyBorder="1"/>
    <xf numFmtId="0" fontId="0" fillId="0" borderId="0" xfId="0" applyBorder="1" applyAlignment="1">
      <alignment horizontal="left"/>
    </xf>
    <xf numFmtId="165" fontId="7" fillId="0" borderId="0" xfId="0" applyNumberFormat="1" applyFont="1" applyBorder="1"/>
    <xf numFmtId="9" fontId="5" fillId="0" borderId="0" xfId="0" applyNumberFormat="1" applyFont="1" applyBorder="1"/>
    <xf numFmtId="0" fontId="24" fillId="12" borderId="32" xfId="0" applyFont="1" applyFill="1" applyAlignment="1">
      <alignment horizontal="left" vertical="center"/>
    </xf>
    <xf numFmtId="0" fontId="20" fillId="9" borderId="32" xfId="0" applyFont="1" applyFill="1" applyAlignment="1">
      <alignment horizontal="left" vertical="center" indent="1"/>
    </xf>
    <xf numFmtId="0" fontId="8" fillId="3" borderId="32" xfId="0" applyFont="1" applyFill="1" applyAlignment="1">
      <alignment horizontal="left" vertical="center" indent="1"/>
    </xf>
    <xf numFmtId="0" fontId="52" fillId="22" borderId="32" xfId="0" applyFont="1" applyFill="1" applyAlignment="1">
      <alignment horizontal="center" vertical="center"/>
    </xf>
  </cellXfs>
  <cellStyles count="10">
    <cellStyle name="Comma" xfId="9" builtinId="3"/>
    <cellStyle name="Comma 2" xfId="1" xr:uid="{00000000-0005-0000-0000-000001000000}"/>
    <cellStyle name="Normal" xfId="0" builtinId="0"/>
    <cellStyle name="Normal 2" xfId="2" xr:uid="{00000000-0005-0000-0000-000002000000}"/>
    <cellStyle name="Pivot Table Category" xfId="3" xr:uid="{00000000-0005-0000-0000-000003000000}"/>
    <cellStyle name="Pivot Table Corner" xfId="4" xr:uid="{00000000-0005-0000-0000-000004000000}"/>
    <cellStyle name="Pivot Table Field" xfId="5" xr:uid="{00000000-0005-0000-0000-000005000000}"/>
    <cellStyle name="Pivot Table Result" xfId="6" xr:uid="{00000000-0005-0000-0000-000006000000}"/>
    <cellStyle name="Pivot Table Title" xfId="7" xr:uid="{00000000-0005-0000-0000-000007000000}"/>
    <cellStyle name="Pivot Table Value" xfId="8" xr:uid="{00000000-0005-0000-0000-000008000000}"/>
  </cellStyles>
  <dxfs count="6">
    <dxf>
      <font>
        <sz val="9"/>
        <color rgb="FF006100"/>
        <name val="Segoe UI"/>
        <charset val="1"/>
      </font>
      <fill>
        <patternFill>
          <bgColor rgb="FFC6EFCE"/>
        </patternFill>
      </fill>
    </dxf>
    <dxf>
      <font>
        <b/>
        <sz val="9"/>
        <color rgb="FF9C0006"/>
        <name val="Segoe UI"/>
        <charset val="1"/>
      </font>
      <fill>
        <patternFill>
          <bgColor rgb="FFFFC7CE"/>
        </patternFill>
      </fill>
    </dxf>
    <dxf>
      <font>
        <color rgb="FFFF0000"/>
      </font>
    </dxf>
    <dxf>
      <font>
        <b/>
        <sz val="9"/>
        <color rgb="FF9C0006"/>
        <name val="Segoe UI"/>
        <charset val="1"/>
      </font>
      <fill>
        <patternFill>
          <bgColor rgb="FFFFC7CE"/>
        </patternFill>
      </fill>
    </dxf>
    <dxf>
      <font>
        <sz val="9"/>
        <color rgb="FF9C6500"/>
        <name val="Segoe UI"/>
        <charset val="1"/>
      </font>
      <fill>
        <patternFill>
          <bgColor rgb="FFFFEB9C"/>
        </patternFill>
      </fill>
    </dxf>
    <dxf>
      <font>
        <sz val="9"/>
        <color rgb="FF006100"/>
        <name val="Segoe UI"/>
        <charset val="1"/>
      </font>
      <fill>
        <patternFill>
          <bgColor rgb="FFC6EFCE"/>
        </patternFill>
      </fill>
    </dxf>
  </dxfs>
  <tableStyles count="0" defaultTableStyle="TableStyleMedium2" defaultPivotStyle="PivotStyleLight16"/>
  <colors>
    <indexedColors>
      <rgbColor rgb="FF000000"/>
      <rgbColor rgb="FFFFFFFF"/>
      <rgbColor rgb="FFFF0000"/>
      <rgbColor rgb="FFF5F5F5"/>
      <rgbColor rgb="FF0000FF"/>
      <rgbColor rgb="FFFDEBD0"/>
      <rgbColor rgb="FFFF00FF"/>
      <rgbColor rgb="FFF0F3F8"/>
      <rgbColor rgb="FF9C0006"/>
      <rgbColor rgb="FF006100"/>
      <rgbColor rgb="FF0000AA"/>
      <rgbColor rgb="FF9C6500"/>
      <rgbColor rgb="FF800080"/>
      <rgbColor rgb="FF1F6B75"/>
      <rgbColor rgb="FFB0B0B0"/>
      <rgbColor rgb="FF888888"/>
      <rgbColor rgb="FFB4E0E0"/>
      <rgbColor rgb="FFF7F9FC"/>
      <rgbColor rgb="FFFFFCE0"/>
      <rgbColor rgb="FFEBF5FB"/>
      <rgbColor rgb="FF660066"/>
      <rgbColor rgb="FFDCE6F2"/>
      <rgbColor rgb="FF0066CC"/>
      <rgbColor rgb="FFD0D8E4"/>
      <rgbColor rgb="FF000080"/>
      <rgbColor rgb="FFFF00FF"/>
      <rgbColor rgb="FFFDF3DC"/>
      <rgbColor rgb="FFF2F4F8"/>
      <rgbColor rgb="FF800080"/>
      <rgbColor rgb="FF800000"/>
      <rgbColor rgb="FF008080"/>
      <rgbColor rgb="FF0000FF"/>
      <rgbColor rgb="FFF2F3F4"/>
      <rgbColor rgb="FFEDF2FB"/>
      <rgbColor rgb="FFC6EFCE"/>
      <rgbColor rgb="FFFFEB9C"/>
      <rgbColor rgb="FFBDD7EE"/>
      <rgbColor rgb="FFD9D9D9"/>
      <rgbColor rgb="FFD0D5DD"/>
      <rgbColor rgb="FFFFC7CE"/>
      <rgbColor rgb="FF4F81BD"/>
      <rgbColor rgb="FFE8EDF5"/>
      <rgbColor rgb="FFD6EAD6"/>
      <rgbColor rgb="FFFCE4E4"/>
      <rgbColor rgb="FFFDF0E0"/>
      <rgbColor rgb="FFF2F2F2"/>
      <rgbColor rgb="FF555577"/>
      <rgbColor rgb="FFD5D8DC"/>
      <rgbColor rgb="FF1F3864"/>
      <rgbColor rgb="FF00B050"/>
      <rgbColor rgb="FF003300"/>
      <rgbColor rgb="FF1A1A2E"/>
      <rgbColor rgb="FF993300"/>
      <rgbColor rgb="FF993366"/>
      <rgbColor rgb="FF2E4D8F"/>
      <rgbColor rgb="FF2E40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BOM" displayName="TableBOM" ref="A2:M353" totalsRowShown="0">
  <autoFilter ref="A2:M353" xr:uid="{00000000-0009-0000-0100-000001000000}"/>
  <tableColumns count="13">
    <tableColumn id="1" xr3:uid="{00000000-0010-0000-0000-000001000000}" name="Product ID"/>
    <tableColumn id="2" xr3:uid="{00000000-0010-0000-0000-000002000000}" name="BOM ID"/>
    <tableColumn id="3" xr3:uid="{00000000-0010-0000-0000-000003000000}" name="Customer"/>
    <tableColumn id="4" xr3:uid="{00000000-0010-0000-0000-000004000000}" name="Product Name"/>
    <tableColumn id="5" xr3:uid="{00000000-0010-0000-0000-000005000000}" name="Dia"/>
    <tableColumn id="6" xr3:uid="{00000000-0010-0000-0000-000006000000}" name="Material Category"/>
    <tableColumn id="7" xr3:uid="{00000000-0010-0000-0000-000007000000}" name="Item ID"/>
    <tableColumn id="8" xr3:uid="{00000000-0010-0000-0000-000008000000}" name="Item Name"/>
    <tableColumn id="9" xr3:uid="{00000000-0010-0000-0000-000009000000}" name="UOM"/>
    <tableColumn id="10" xr3:uid="{00000000-0010-0000-0000-00000A000000}" name="Per 1000 Units"/>
    <tableColumn id="11" xr3:uid="{00000000-0010-0000-0000-00000B000000}" name="Material Group"/>
    <tableColumn id="12" xr3:uid="{00000000-0010-0000-0000-00000C000000}" name="Scrap %"/>
    <tableColumn id="13" xr3:uid="{00000000-0010-0000-0000-00000D000000}" name="Change No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Inventory" displayName="TableInventory" ref="A2:J111" totalsRowShown="0">
  <tableColumns count="10">
    <tableColumn id="1" xr3:uid="{00000000-0010-0000-0100-000001000000}" name="Item ID"/>
    <tableColumn id="2" xr3:uid="{00000000-0010-0000-0100-000002000000}" name="Category"/>
    <tableColumn id="3" xr3:uid="{00000000-0010-0000-0100-000003000000}" name="Item Name (ERP)"/>
    <tableColumn id="4" xr3:uid="{00000000-0010-0000-0100-000004000000}" name="UOM"/>
    <tableColumn id="5" xr3:uid="{00000000-0010-0000-0100-000005000000}" name="Opening"/>
    <tableColumn id="6" xr3:uid="{00000000-0010-0000-0100-000006000000}" name="Received from Vendor"/>
    <tableColumn id="7" xr3:uid="{00000000-0010-0000-0100-000007000000}" name="Issued to Production"/>
    <tableColumn id="8" xr3:uid="{00000000-0010-0000-0100-000008000000}" name="Store Balance"/>
    <tableColumn id="9" xr3:uid="{00000000-0010-0000-0100-000009000000}" name="Work In Process"/>
    <tableColumn id="10" xr3:uid="{00000000-0010-0000-0100-00000A000000}" name="Pieces Can Be Produced (Store + Floor Stock)"/>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01"/>
  <sheetViews>
    <sheetView showGridLines="0" zoomScaleNormal="100" workbookViewId="0">
      <selection activeCell="D7" sqref="D7"/>
    </sheetView>
  </sheetViews>
  <sheetFormatPr defaultColWidth="8.7109375" defaultRowHeight="16.5" x14ac:dyDescent="0.3"/>
  <cols>
    <col min="1" max="1" width="1.5703125" style="99" customWidth="1"/>
    <col min="2" max="2" width="7" style="99" customWidth="1"/>
    <col min="3" max="3" width="32.7109375" style="99" customWidth="1"/>
    <col min="4" max="4" width="45" style="99" customWidth="1"/>
    <col min="5" max="5" width="8.85546875" style="97" customWidth="1"/>
    <col min="6" max="6" width="9.140625" style="99" hidden="1" customWidth="1"/>
    <col min="7" max="7" width="12.140625" style="100" customWidth="1"/>
    <col min="8" max="8" width="11.140625" style="99" customWidth="1"/>
    <col min="9" max="9" width="10.28515625" style="99" customWidth="1"/>
    <col min="10" max="10" width="10.5703125" style="99" customWidth="1"/>
    <col min="11" max="11" width="9.28515625" style="99" customWidth="1"/>
    <col min="12" max="12" width="31.5703125" style="99" customWidth="1"/>
    <col min="13" max="13" width="14.7109375" style="99" customWidth="1"/>
    <col min="14" max="14" width="13.28515625" style="99" customWidth="1"/>
    <col min="15" max="15" width="9.5703125" style="99" customWidth="1"/>
    <col min="16" max="167" width="8.7109375" style="99" customWidth="1"/>
    <col min="168" max="16384" width="8.7109375" style="99"/>
  </cols>
  <sheetData>
    <row r="1" spans="1:29" ht="6" customHeight="1" x14ac:dyDescent="0.3">
      <c r="A1" s="96"/>
      <c r="B1" s="96"/>
      <c r="C1" s="96"/>
      <c r="D1" s="96"/>
      <c r="F1" s="96"/>
      <c r="G1" s="96"/>
      <c r="H1" s="96"/>
      <c r="I1" s="96"/>
      <c r="J1" s="96"/>
      <c r="K1" s="96"/>
      <c r="L1" s="96"/>
      <c r="M1" s="96"/>
      <c r="N1" s="96"/>
      <c r="O1" s="96"/>
      <c r="P1" s="96"/>
      <c r="Q1" s="96"/>
      <c r="R1" s="98"/>
      <c r="S1" s="98"/>
      <c r="T1" s="98"/>
      <c r="U1" s="98"/>
      <c r="V1" s="98"/>
      <c r="W1" s="98"/>
      <c r="X1" s="98"/>
      <c r="Y1" s="98"/>
      <c r="Z1" s="98"/>
      <c r="AA1" s="98"/>
      <c r="AB1" s="98"/>
      <c r="AC1" s="98"/>
    </row>
    <row r="2" spans="1:29" ht="42" customHeight="1" x14ac:dyDescent="0.3">
      <c r="A2" s="96"/>
      <c r="B2" s="332" t="s">
        <v>140</v>
      </c>
      <c r="C2" s="325"/>
      <c r="D2" s="325"/>
      <c r="E2" s="326"/>
      <c r="F2" s="325"/>
      <c r="G2" s="327"/>
      <c r="H2" s="325"/>
      <c r="I2" s="325"/>
      <c r="J2" s="325"/>
      <c r="K2" s="325"/>
      <c r="L2" s="325"/>
      <c r="M2" s="325"/>
      <c r="N2" s="325"/>
      <c r="O2" s="325"/>
      <c r="P2" s="96"/>
      <c r="Q2" s="96"/>
      <c r="R2" s="96"/>
      <c r="S2" s="98"/>
      <c r="T2" s="98"/>
      <c r="U2" s="98"/>
      <c r="V2" s="98"/>
      <c r="W2" s="98"/>
      <c r="X2" s="98"/>
      <c r="Y2" s="98"/>
      <c r="Z2" s="98"/>
      <c r="AA2" s="98"/>
      <c r="AB2" s="98"/>
      <c r="AC2" s="98"/>
    </row>
    <row r="3" spans="1:29" ht="21.75" customHeight="1" x14ac:dyDescent="0.3">
      <c r="A3" s="96"/>
      <c r="B3" s="324" t="s">
        <v>141</v>
      </c>
      <c r="C3" s="325"/>
      <c r="D3" s="325"/>
      <c r="E3" s="326"/>
      <c r="F3" s="325"/>
      <c r="G3" s="327"/>
      <c r="H3" s="329">
        <f>MAX(Production_Log!$A$3:$A$8961)</f>
        <v>46256</v>
      </c>
      <c r="I3" s="325"/>
      <c r="J3" s="325"/>
      <c r="K3" s="325"/>
      <c r="L3" s="325"/>
      <c r="M3" s="325"/>
      <c r="N3" s="325"/>
      <c r="O3" s="325"/>
      <c r="P3" s="96"/>
      <c r="Q3" s="96"/>
      <c r="R3" s="96"/>
      <c r="S3" s="98"/>
      <c r="T3" s="98"/>
      <c r="U3" s="98"/>
      <c r="V3" s="98"/>
      <c r="W3" s="98"/>
      <c r="X3" s="98"/>
      <c r="Y3" s="98"/>
      <c r="Z3" s="98"/>
      <c r="AA3" s="98"/>
      <c r="AB3" s="98"/>
      <c r="AC3" s="98"/>
    </row>
    <row r="4" spans="1:29" ht="3" customHeight="1" x14ac:dyDescent="0.3">
      <c r="A4" s="96"/>
      <c r="B4" s="96"/>
      <c r="C4" s="96"/>
      <c r="D4" s="96"/>
      <c r="F4" s="96"/>
      <c r="G4" s="96"/>
      <c r="H4" s="96"/>
      <c r="I4" s="96"/>
      <c r="J4" s="96"/>
      <c r="K4" s="96"/>
      <c r="L4" s="96"/>
      <c r="M4" s="96"/>
      <c r="N4" s="96"/>
      <c r="O4" s="96"/>
      <c r="P4" s="96"/>
      <c r="Q4" s="96"/>
      <c r="R4" s="96"/>
      <c r="S4" s="98"/>
      <c r="T4" s="98"/>
      <c r="U4" s="98"/>
      <c r="V4" s="98"/>
      <c r="W4" s="98"/>
      <c r="X4" s="98"/>
      <c r="Y4" s="98"/>
      <c r="Z4" s="98"/>
      <c r="AA4" s="98"/>
      <c r="AB4" s="98"/>
      <c r="AC4" s="98"/>
    </row>
    <row r="5" spans="1:29" ht="27" customHeight="1" x14ac:dyDescent="0.3">
      <c r="A5" s="96"/>
      <c r="B5" s="177" t="s">
        <v>142</v>
      </c>
      <c r="C5" s="178">
        <f>MAX(Production_Log!$A$3:$A$8961)</f>
        <v>46256</v>
      </c>
      <c r="D5" s="101" t="s">
        <v>143</v>
      </c>
      <c r="E5" s="101"/>
      <c r="F5" s="102"/>
      <c r="G5" s="331" t="s">
        <v>144</v>
      </c>
      <c r="H5" s="325"/>
      <c r="I5" s="103"/>
      <c r="J5" s="331" t="s">
        <v>145</v>
      </c>
      <c r="K5" s="325"/>
      <c r="L5" s="122"/>
      <c r="M5" s="333" t="s">
        <v>146</v>
      </c>
      <c r="N5" s="334"/>
      <c r="O5" s="334"/>
      <c r="P5" s="286"/>
      <c r="Q5" s="286"/>
      <c r="R5" s="286"/>
      <c r="S5" s="287"/>
      <c r="T5" s="287"/>
      <c r="U5" s="287"/>
      <c r="V5" s="287"/>
      <c r="W5" s="98"/>
      <c r="X5" s="98"/>
      <c r="Y5" s="98"/>
      <c r="Z5" s="98"/>
      <c r="AA5" s="98"/>
      <c r="AB5" s="98"/>
      <c r="AC5" s="98"/>
    </row>
    <row r="6" spans="1:29" ht="18" customHeight="1" x14ac:dyDescent="0.3">
      <c r="A6" s="96"/>
      <c r="B6" s="328">
        <f>SUMPRODUCT((Production_Log!$A$3:$A$8961=MAX(Production_Log!$A$3:$A$8961))*(LEFT(Production_Log!$B$3:$B$8961,5)="Print")*(ISERROR(SEARCH("(Varnish)",Production_Log!$D$3:$D$8961)))*Production_Log!$H$3:$H$8961)</f>
        <v>22134</v>
      </c>
      <c r="C6" s="325"/>
      <c r="D6" s="104">
        <f>SUMIF($B$11:$B$66,"TUBE",$H$11:$H$66)</f>
        <v>266310</v>
      </c>
      <c r="E6" s="328"/>
      <c r="F6" s="325"/>
      <c r="G6" s="105">
        <f t="array" ref="G6">IFERROR(SUMPRODUCT((Production_Log!$F$3:$F$8961&lt;&gt;0)*(LEFT(Production_Log!$B$3:$B$8961,5)="Print")*(ISERROR(SEARCH("(Varnish)",Production_Log!$D$3:$D$8961)))*Production_Log!$I$3:$I$8961)/SUMPRODUCT((Production_Log!$F$3:$F$8961&lt;&gt;0)*(LEFT(Production_Log!$B$3:$B$8961,5)="Print")*(ISERROR(SEARCH("(Varnish)",Production_Log!$D$3:$D$8961)))*(Production_Log!$H$3:$H$8961+Production_Log!$I$3:$I$8961)),"-")</f>
        <v>2.0162625556495825E-2</v>
      </c>
      <c r="H6" s="105"/>
      <c r="I6" s="103"/>
      <c r="J6" s="328">
        <f>SUMIF($B$11:$B$66,"TUBE",$K$11:$K$66)</f>
        <v>224896</v>
      </c>
      <c r="K6" s="325"/>
      <c r="L6" s="106"/>
      <c r="M6" s="288" t="s">
        <v>3</v>
      </c>
      <c r="N6" s="289" t="s">
        <v>147</v>
      </c>
      <c r="O6" s="289" t="s">
        <v>148</v>
      </c>
      <c r="P6" s="286"/>
      <c r="Q6" s="286"/>
      <c r="R6" s="287"/>
      <c r="S6" s="287"/>
      <c r="T6" s="287"/>
      <c r="U6" s="287"/>
      <c r="V6" s="287"/>
      <c r="W6" s="98"/>
      <c r="X6" s="98"/>
      <c r="Y6" s="98"/>
      <c r="Z6" s="98"/>
      <c r="AA6" s="98"/>
      <c r="AB6" s="98"/>
      <c r="AC6" s="98"/>
    </row>
    <row r="7" spans="1:29" ht="27" customHeight="1" x14ac:dyDescent="0.3">
      <c r="A7" s="96"/>
      <c r="B7" s="176" t="s">
        <v>149</v>
      </c>
      <c r="C7" s="179">
        <f>MAX(Production_Log!$A$3:$A$8961)</f>
        <v>46256</v>
      </c>
      <c r="D7" s="107" t="s">
        <v>150</v>
      </c>
      <c r="E7" s="107"/>
      <c r="F7" s="108"/>
      <c r="G7" s="330" t="s">
        <v>151</v>
      </c>
      <c r="H7" s="325"/>
      <c r="I7" s="109"/>
      <c r="J7" s="108" t="s">
        <v>145</v>
      </c>
      <c r="K7" s="108"/>
      <c r="L7" s="108"/>
      <c r="M7" s="290" t="s">
        <v>152</v>
      </c>
      <c r="N7" s="291">
        <f>SUMPRODUCT(((LEFT(Production_Log!$B$3:$B$1063,5)="Press")+(LEFT(Production_Log!$B$3:$B$1063,5)="Print")+(LEFT(Production_Log!$B$3:$B$1063,5)="PLINE"))*Production_Log!$M$3:$M$1063)/60</f>
        <v>80.166666666666671</v>
      </c>
      <c r="O7" s="292">
        <f>IFERROR(N7/$N$11,"")</f>
        <v>0.81663837011884555</v>
      </c>
      <c r="P7" s="286"/>
      <c r="Q7" s="286"/>
      <c r="R7" s="287"/>
      <c r="S7" s="287"/>
      <c r="T7" s="287"/>
      <c r="U7" s="287"/>
      <c r="V7" s="287"/>
      <c r="W7" s="98"/>
      <c r="X7" s="98"/>
      <c r="Y7" s="98"/>
      <c r="Z7" s="98"/>
      <c r="AA7" s="98"/>
      <c r="AB7" s="98"/>
      <c r="AC7" s="98"/>
    </row>
    <row r="8" spans="1:29" ht="27" customHeight="1" x14ac:dyDescent="0.3">
      <c r="A8" s="96"/>
      <c r="B8" s="336">
        <f>SUMPRODUCT((Production_Log!$A$3:$A$8961=MAX(Production_Log!$A$3:$A$8961))*(Production_Log!$B$3:$B$8961="PF Machine")*Production_Log!$H$3:$H$8961)</f>
        <v>0</v>
      </c>
      <c r="C8" s="325"/>
      <c r="D8" s="110">
        <f>SUMIF($B$11:$B$66,"PET",$H$11:$H$66)</f>
        <v>90735</v>
      </c>
      <c r="E8" s="336"/>
      <c r="F8" s="325"/>
      <c r="G8" s="111">
        <f t="array" ref="G8">IFERROR(SUMPRODUCT((Production_Log!$B$3:$B$8961="PF Machine")*Production_Log!$I$3:$I$8961)/SUMPRODUCT((Production_Log!$B$3:$B$8961="PF Machine")*(Production_Log!$H$3:$H$8961+Production_Log!$I$3:$I$8961)),0)</f>
        <v>6.8907131862493587E-2</v>
      </c>
      <c r="H8" s="111"/>
      <c r="I8" s="109"/>
      <c r="J8" s="336">
        <f>SUMIF($B$11:$B$66,"PET",$K$11:$K$66)</f>
        <v>92000</v>
      </c>
      <c r="K8" s="325"/>
      <c r="L8" s="112"/>
      <c r="M8" s="290" t="s">
        <v>153</v>
      </c>
      <c r="N8" s="291">
        <f>SUMPRODUCT(((LEFT(Production_Log!$B$3:$B$1063,5)="Press")+(LEFT(Production_Log!$B$3:$B$1063,5)="Print")+(LEFT(Production_Log!$B$3:$B$1063,5)="PLINE"))*Production_Log!$O$3:$O$1063)/60</f>
        <v>12</v>
      </c>
      <c r="O8" s="292">
        <f>IFERROR(N8/$N$11,"")</f>
        <v>0.12224108658743632</v>
      </c>
      <c r="P8" s="286"/>
      <c r="Q8" s="286"/>
      <c r="R8" s="287"/>
      <c r="S8" s="287"/>
      <c r="T8" s="287"/>
      <c r="U8" s="287"/>
      <c r="V8" s="287"/>
      <c r="W8" s="98"/>
      <c r="X8" s="98"/>
      <c r="Y8" s="98"/>
      <c r="Z8" s="98"/>
      <c r="AA8" s="98"/>
      <c r="AB8" s="98"/>
      <c r="AC8" s="98"/>
    </row>
    <row r="9" spans="1:29" ht="20.25" customHeight="1" x14ac:dyDescent="0.3">
      <c r="A9" s="96"/>
      <c r="B9" s="337" t="s">
        <v>154</v>
      </c>
      <c r="C9" s="323"/>
      <c r="D9" s="323"/>
      <c r="E9" s="323"/>
      <c r="F9" s="323"/>
      <c r="G9" s="323"/>
      <c r="H9" s="323"/>
      <c r="I9" s="323"/>
      <c r="J9" s="323"/>
      <c r="K9" s="323"/>
      <c r="L9" s="323"/>
      <c r="M9" s="290" t="s">
        <v>155</v>
      </c>
      <c r="N9" s="291">
        <f>SUMPRODUCT(((LEFT(Production_Log!$B$3:$B$1063,5)="Press")+(LEFT(Production_Log!$B$3:$B$1063,5)="Print")+(LEFT(Production_Log!$B$3:$B$1063,5)="PLINE"))*Production_Log!$K$3:$K$1063)/60</f>
        <v>5</v>
      </c>
      <c r="O9" s="292">
        <f>IFERROR(N9/$N$11,"")</f>
        <v>5.0933786078098467E-2</v>
      </c>
      <c r="P9" s="286"/>
      <c r="Q9" s="286"/>
      <c r="R9" s="287"/>
      <c r="S9" s="287"/>
      <c r="T9" s="293"/>
      <c r="U9" s="287"/>
      <c r="V9" s="287"/>
      <c r="W9" s="98"/>
      <c r="X9" s="98"/>
      <c r="Y9" s="98"/>
      <c r="Z9" s="98"/>
      <c r="AA9" s="98"/>
      <c r="AB9" s="98"/>
      <c r="AC9" s="98"/>
    </row>
    <row r="10" spans="1:29" ht="24" customHeight="1" x14ac:dyDescent="0.3">
      <c r="A10" s="96"/>
      <c r="B10" s="115" t="s">
        <v>156</v>
      </c>
      <c r="C10" s="115" t="s">
        <v>157</v>
      </c>
      <c r="D10" s="115" t="s">
        <v>158</v>
      </c>
      <c r="E10" s="115" t="s">
        <v>159</v>
      </c>
      <c r="F10" s="115" t="s">
        <v>160</v>
      </c>
      <c r="G10" s="115" t="s">
        <v>161</v>
      </c>
      <c r="H10" s="115" t="s">
        <v>162</v>
      </c>
      <c r="I10" s="115" t="s">
        <v>163</v>
      </c>
      <c r="J10" s="116" t="s">
        <v>164</v>
      </c>
      <c r="K10" s="117" t="s">
        <v>165</v>
      </c>
      <c r="L10" s="117" t="s">
        <v>166</v>
      </c>
      <c r="M10" s="290" t="s">
        <v>167</v>
      </c>
      <c r="N10" s="291">
        <f>SUMPRODUCT(((LEFT(Production_Log!$B$3:$B$1063,5)="Press")+(LEFT(Production_Log!$B$3:$B$1063,5)="Print")+(LEFT(Production_Log!$B$3:$B$1063,5)="PLINE"))*Production_Log!$N$3:$N$1063)/60</f>
        <v>1</v>
      </c>
      <c r="O10" s="292">
        <f>IFERROR(N10/$N$11,"")</f>
        <v>1.0186757215619693E-2</v>
      </c>
      <c r="P10" s="286"/>
      <c r="Q10" s="286"/>
      <c r="R10" s="287"/>
      <c r="S10" s="287"/>
      <c r="T10" s="293"/>
      <c r="U10" s="287"/>
      <c r="V10" s="287"/>
      <c r="W10" s="98"/>
      <c r="X10" s="98"/>
      <c r="Y10" s="98"/>
      <c r="Z10" s="98"/>
      <c r="AA10" s="98"/>
      <c r="AB10" s="98"/>
      <c r="AC10" s="98"/>
    </row>
    <row r="11" spans="1:29" s="120" customFormat="1" ht="16.5" customHeight="1" x14ac:dyDescent="0.3">
      <c r="A11" s="119"/>
      <c r="B11" s="294" t="s">
        <v>142</v>
      </c>
      <c r="C11" s="295" t="s">
        <v>168</v>
      </c>
      <c r="D11" s="296" t="s">
        <v>169</v>
      </c>
      <c r="E11" s="297">
        <v>25</v>
      </c>
      <c r="F11" s="298">
        <v>5389</v>
      </c>
      <c r="G11" s="298">
        <f>IFERROR(INDEX(MRP!$F$3:$F$150,MATCH(F11,MRP!$D$3:$D$150,0)),0)</f>
        <v>0</v>
      </c>
      <c r="H11" s="299">
        <f>SUMPRODUCT((Production_Log!$F$3:$F$1063=F11)*((LEFT(Production_Log!$B$3:$B$1063,5)="Print")+(LEFT(Production_Log!$B$3:$B$1063,5)="PLINE"))*(ISERROR(SEARCH("(Varnish)",Production_Log!$D$3:$D$1063)))*Production_Log!$H$3:$H$1063)</f>
        <v>60144</v>
      </c>
      <c r="I11" s="298">
        <f>G11-H11</f>
        <v>-60144</v>
      </c>
      <c r="J11" s="300" t="str">
        <f>IF(G11=0,"-",H11/G11)</f>
        <v>-</v>
      </c>
      <c r="K11" s="299"/>
      <c r="L11" s="301" t="s">
        <v>170</v>
      </c>
      <c r="M11" s="302" t="s">
        <v>171</v>
      </c>
      <c r="N11" s="303">
        <f>SUM(N7:N10)</f>
        <v>98.166666666666671</v>
      </c>
      <c r="O11" s="304" t="s">
        <v>172</v>
      </c>
      <c r="P11" s="286"/>
      <c r="Q11" s="286"/>
      <c r="R11" s="286"/>
      <c r="S11" s="305"/>
      <c r="T11" s="293"/>
      <c r="U11" s="305"/>
      <c r="V11" s="287"/>
      <c r="W11" s="121"/>
      <c r="X11" s="121"/>
      <c r="Y11" s="121"/>
      <c r="Z11" s="121"/>
      <c r="AA11" s="121"/>
      <c r="AB11" s="121"/>
      <c r="AC11" s="121"/>
    </row>
    <row r="12" spans="1:29" ht="16.5" customHeight="1" x14ac:dyDescent="0.3">
      <c r="A12" s="96"/>
      <c r="B12" s="294" t="s">
        <v>142</v>
      </c>
      <c r="C12" s="295" t="s">
        <v>173</v>
      </c>
      <c r="D12" s="296" t="s">
        <v>174</v>
      </c>
      <c r="E12" s="297">
        <v>30</v>
      </c>
      <c r="F12" s="298">
        <v>6206</v>
      </c>
      <c r="G12" s="298">
        <f>IFERROR(INDEX(MRP!$F$3:$F$150,MATCH(F12,MRP!$D$3:$D$150,0)),0)</f>
        <v>259778</v>
      </c>
      <c r="H12" s="299">
        <f>SUMPRODUCT((Production_Log!$F$3:$F$1063=F12)*((LEFT(Production_Log!$B$3:$B$1063,5)="Print")+(LEFT(Production_Log!$B$3:$B$1063,5)="PLINE"))*(ISERROR(SEARCH("(Varnish)",Production_Log!$D$3:$D$1063)))*Production_Log!$H$3:$H$1063)</f>
        <v>206166</v>
      </c>
      <c r="I12" s="298">
        <f>G12-H12</f>
        <v>53612</v>
      </c>
      <c r="J12" s="300">
        <f>IF(G12=0,"-",H12/G12)</f>
        <v>0.79362378646382681</v>
      </c>
      <c r="K12" s="299">
        <v>188496</v>
      </c>
      <c r="L12" s="301"/>
      <c r="M12" s="306"/>
      <c r="N12" s="305"/>
      <c r="O12" s="305"/>
      <c r="P12" s="286"/>
      <c r="Q12" s="286"/>
      <c r="R12" s="287"/>
      <c r="S12" s="287"/>
      <c r="T12" s="293"/>
      <c r="U12" s="287"/>
      <c r="V12" s="287"/>
      <c r="W12" s="98"/>
      <c r="X12" s="98"/>
      <c r="Y12" s="98"/>
      <c r="Z12" s="98"/>
      <c r="AA12" s="98"/>
      <c r="AB12" s="98"/>
      <c r="AC12" s="98"/>
    </row>
    <row r="13" spans="1:29" x14ac:dyDescent="0.3">
      <c r="A13" s="96"/>
      <c r="B13" s="294" t="s">
        <v>142</v>
      </c>
      <c r="C13" s="295" t="s">
        <v>175</v>
      </c>
      <c r="D13" s="296" t="s">
        <v>176</v>
      </c>
      <c r="E13" s="297">
        <v>30</v>
      </c>
      <c r="F13" s="298">
        <v>5814</v>
      </c>
      <c r="G13" s="298">
        <f>IFERROR(INDEX(MRP!$F$3:$F$150,MATCH(F13,MRP!$D$3:$D$150,0)),0)</f>
        <v>25000</v>
      </c>
      <c r="H13" s="299">
        <f>SUMPRODUCT((Production_Log!$F$3:$F$1063=F13)*((LEFT(Production_Log!$B$3:$B$1063,5)="Print")+(LEFT(Production_Log!$B$3:$B$1063,5)="PLINE"))*(ISERROR(SEARCH("(Varnish)",Production_Log!$D$3:$D$1063)))*Production_Log!$H$3:$H$1063)</f>
        <v>0</v>
      </c>
      <c r="I13" s="298">
        <f>G13-H13</f>
        <v>25000</v>
      </c>
      <c r="J13" s="300">
        <f>IF(G13=0,"-",H13/G13)</f>
        <v>0</v>
      </c>
      <c r="K13" s="299"/>
      <c r="L13" s="301"/>
      <c r="M13" s="335" t="s">
        <v>177</v>
      </c>
      <c r="N13" s="334"/>
      <c r="O13" s="334"/>
      <c r="P13" s="286"/>
      <c r="Q13" s="286"/>
      <c r="R13" s="287"/>
      <c r="S13" s="287"/>
      <c r="T13" s="293"/>
      <c r="U13" s="287"/>
      <c r="V13" s="287"/>
      <c r="W13" s="98"/>
      <c r="X13" s="98"/>
      <c r="Y13" s="98"/>
      <c r="Z13" s="98"/>
      <c r="AA13" s="98"/>
      <c r="AB13" s="98"/>
      <c r="AC13" s="98"/>
    </row>
    <row r="14" spans="1:29" ht="16.5" customHeight="1" x14ac:dyDescent="0.3">
      <c r="A14" s="96"/>
      <c r="B14" s="294" t="s">
        <v>142</v>
      </c>
      <c r="C14" s="295" t="s">
        <v>178</v>
      </c>
      <c r="D14" s="296" t="s">
        <v>179</v>
      </c>
      <c r="E14" s="297">
        <v>32</v>
      </c>
      <c r="F14" s="298">
        <v>6515</v>
      </c>
      <c r="G14" s="298">
        <f>IFERROR(INDEX(MRP!$F$3:$F$150,MATCH(F14,MRP!$D$3:$D$150,0)),0)</f>
        <v>0</v>
      </c>
      <c r="H14" s="299">
        <f>SUMPRODUCT((Production_Log!$F$3:$F$1063=F14)*((LEFT(Production_Log!$B$3:$B$1063,5)="Print")+(LEFT(Production_Log!$B$3:$B$1063,5)="PLINE"))*(ISERROR(SEARCH("(Varnish)",Production_Log!$D$3:$D$1063)))*Production_Log!$H$3:$H$1063)</f>
        <v>0</v>
      </c>
      <c r="I14" s="298">
        <f>G14-H14</f>
        <v>0</v>
      </c>
      <c r="J14" s="300" t="str">
        <f>IF(G14=0,"-",H14/G14)</f>
        <v>-</v>
      </c>
      <c r="K14" s="299">
        <v>36400</v>
      </c>
      <c r="L14" s="301"/>
      <c r="M14" s="307" t="s">
        <v>3</v>
      </c>
      <c r="N14" s="308" t="s">
        <v>147</v>
      </c>
      <c r="O14" s="309" t="s">
        <v>148</v>
      </c>
      <c r="P14" s="286"/>
      <c r="Q14" s="286"/>
      <c r="R14" s="286"/>
      <c r="S14" s="287"/>
      <c r="T14" s="293"/>
      <c r="U14" s="287"/>
      <c r="V14" s="286"/>
      <c r="W14" s="96"/>
      <c r="X14" s="98"/>
      <c r="Y14" s="98"/>
      <c r="Z14" s="98"/>
      <c r="AA14" s="98"/>
      <c r="AB14" s="98"/>
      <c r="AC14" s="98"/>
    </row>
    <row r="15" spans="1:29" ht="15" customHeight="1" x14ac:dyDescent="0.3">
      <c r="B15" s="310"/>
      <c r="C15" s="311"/>
      <c r="D15" s="312" t="s">
        <v>171</v>
      </c>
      <c r="E15" s="310"/>
      <c r="F15" s="311"/>
      <c r="G15" s="313">
        <f>SUM(G11:G14)</f>
        <v>284778</v>
      </c>
      <c r="H15" s="313">
        <f>SUM(H11:H14)</f>
        <v>266310</v>
      </c>
      <c r="I15" s="313">
        <f>SUMIF(I11:I14,"&gt;"&amp;0)</f>
        <v>78612</v>
      </c>
      <c r="J15" s="313"/>
      <c r="K15" s="313">
        <f>SUM(K11:K14)</f>
        <v>224896</v>
      </c>
      <c r="L15" s="313"/>
      <c r="M15" s="290" t="s">
        <v>155</v>
      </c>
      <c r="N15" s="291">
        <f>SUMPRODUCT(((LEFT(Production_Log!$B$3:$B$1063,2)="PF")+(LEFT(Production_Log!$B$3:$B$1063,3)="PET"))*Production_Log!$K$3:$K$1063)/60</f>
        <v>154</v>
      </c>
      <c r="O15" s="292">
        <f>IFERROR(N15/$N$19,"")</f>
        <v>0.78839590443686003</v>
      </c>
      <c r="P15" s="305"/>
      <c r="Q15" s="305"/>
      <c r="R15" s="305"/>
      <c r="S15" s="305"/>
      <c r="T15" s="305"/>
      <c r="U15" s="305"/>
      <c r="V15" s="305"/>
    </row>
    <row r="16" spans="1:29" ht="16.5" customHeight="1" x14ac:dyDescent="0.3">
      <c r="A16" s="96"/>
      <c r="B16" s="294" t="s">
        <v>149</v>
      </c>
      <c r="C16" s="295" t="s">
        <v>168</v>
      </c>
      <c r="D16" s="296" t="s">
        <v>180</v>
      </c>
      <c r="E16" s="297" t="s">
        <v>181</v>
      </c>
      <c r="F16" s="298">
        <v>8005</v>
      </c>
      <c r="G16" s="298">
        <f>SUMIF(MRP!$D$94:$D$99,F16,MRP!$F$94:$F$99)</f>
        <v>72160</v>
      </c>
      <c r="H16" s="299">
        <f>SUMPRODUCT((Production_Log!$F$3:$F$1063=F16)*Production_Log!$H$3:$H$1063)</f>
        <v>0</v>
      </c>
      <c r="I16" s="298">
        <f t="shared" ref="I16:I21" si="0">G16-H16</f>
        <v>72160</v>
      </c>
      <c r="J16" s="300">
        <f t="shared" ref="J16:J21" si="1">IF(G16=0,"-",H16/G16)</f>
        <v>0</v>
      </c>
      <c r="K16" s="299"/>
      <c r="L16" s="301"/>
      <c r="M16" s="290" t="s">
        <v>182</v>
      </c>
      <c r="N16" s="291">
        <f>SUMPRODUCT(((LEFT(Production_Log!$B$3:$B$1063,2)="PF")+(LEFT(Production_Log!$B$3:$B$1063,3)="PET"))*Production_Log!$L$3:$L$1063)/60</f>
        <v>32.5</v>
      </c>
      <c r="O16" s="292">
        <f>IFERROR(N16/$N$19,"")</f>
        <v>0.16638225255972697</v>
      </c>
      <c r="P16" s="286"/>
      <c r="Q16" s="286"/>
      <c r="R16" s="286"/>
      <c r="S16" s="286"/>
      <c r="T16" s="286"/>
      <c r="U16" s="286"/>
      <c r="V16" s="287"/>
      <c r="W16" s="98"/>
      <c r="X16" s="98"/>
      <c r="Y16" s="98"/>
      <c r="Z16" s="98"/>
      <c r="AA16" s="98"/>
      <c r="AB16" s="98"/>
      <c r="AC16" s="98"/>
    </row>
    <row r="17" spans="1:29" ht="16.5" customHeight="1" x14ac:dyDescent="0.3">
      <c r="A17" s="96"/>
      <c r="B17" s="294" t="s">
        <v>149</v>
      </c>
      <c r="C17" s="295" t="s">
        <v>175</v>
      </c>
      <c r="D17" s="296" t="s">
        <v>183</v>
      </c>
      <c r="E17" s="297" t="s">
        <v>184</v>
      </c>
      <c r="F17" s="298">
        <v>8015</v>
      </c>
      <c r="G17" s="298">
        <v>15000</v>
      </c>
      <c r="H17" s="299">
        <f>SUMPRODUCT((Production_Log!$F$3:$F$1063=F17)*Production_Log!$H$3:$H$1063)</f>
        <v>0</v>
      </c>
      <c r="I17" s="298">
        <f t="shared" si="0"/>
        <v>15000</v>
      </c>
      <c r="J17" s="300">
        <f t="shared" si="1"/>
        <v>0</v>
      </c>
      <c r="K17" s="299"/>
      <c r="L17" s="301"/>
      <c r="M17" s="290" t="s">
        <v>153</v>
      </c>
      <c r="N17" s="291">
        <f>SUMPRODUCT(((LEFT(Production_Log!$B$3:$B$1063,2)="PF")+(LEFT(Production_Log!$B$3:$B$1063,3)="PET"))*Production_Log!$O$3:$O$1063)/60</f>
        <v>7.5</v>
      </c>
      <c r="O17" s="292">
        <f>IFERROR(N17/$N$19,"")</f>
        <v>3.8395904436860064E-2</v>
      </c>
      <c r="P17" s="286"/>
      <c r="Q17" s="286"/>
      <c r="R17" s="286"/>
      <c r="S17" s="287"/>
      <c r="T17" s="293"/>
      <c r="U17" s="287"/>
      <c r="V17" s="286"/>
      <c r="W17" s="96"/>
      <c r="X17" s="98"/>
      <c r="Y17" s="98"/>
      <c r="Z17" s="98"/>
      <c r="AA17" s="98"/>
      <c r="AB17" s="98"/>
      <c r="AC17" s="98"/>
    </row>
    <row r="18" spans="1:29" ht="16.5" customHeight="1" x14ac:dyDescent="0.3">
      <c r="A18" s="96"/>
      <c r="B18" s="294" t="s">
        <v>149</v>
      </c>
      <c r="C18" s="295" t="s">
        <v>175</v>
      </c>
      <c r="D18" s="296" t="s">
        <v>185</v>
      </c>
      <c r="E18" s="297" t="s">
        <v>184</v>
      </c>
      <c r="F18" s="298">
        <v>8010</v>
      </c>
      <c r="G18" s="298">
        <f>IFERROR(INDEX(MRP!$F$3:$F$150,MATCH(F18,MRP!$D$3:$D$150,0)),0)</f>
        <v>25000</v>
      </c>
      <c r="H18" s="299">
        <f>SUMPRODUCT((Production_Log!$F$3:$F$1063=F18)*Production_Log!$H$3:$H$1063)</f>
        <v>0</v>
      </c>
      <c r="I18" s="298">
        <f t="shared" si="0"/>
        <v>25000</v>
      </c>
      <c r="J18" s="300">
        <f t="shared" si="1"/>
        <v>0</v>
      </c>
      <c r="K18" s="299"/>
      <c r="L18" s="301"/>
      <c r="M18" s="290" t="s">
        <v>186</v>
      </c>
      <c r="N18" s="291">
        <f>SUMPRODUCT(((LEFT(Production_Log!$B$3:$B$1063,2)="PF")+(LEFT(Production_Log!$B$3:$B$1063,3)="PET"))*Production_Log!$P$3:$P$1063)/60</f>
        <v>1.3333333333333333</v>
      </c>
      <c r="O18" s="292">
        <f>IFERROR(N18/$N$19,"")</f>
        <v>6.8259385665529002E-3</v>
      </c>
      <c r="P18" s="286"/>
      <c r="Q18" s="286"/>
      <c r="R18" s="286"/>
      <c r="S18" s="286"/>
      <c r="T18" s="286"/>
      <c r="U18" s="286"/>
      <c r="V18" s="287"/>
      <c r="W18" s="98"/>
      <c r="X18" s="98"/>
      <c r="Y18" s="98"/>
      <c r="Z18" s="98"/>
      <c r="AA18" s="98"/>
      <c r="AB18" s="98"/>
      <c r="AC18" s="98"/>
    </row>
    <row r="19" spans="1:29" ht="16.5" customHeight="1" x14ac:dyDescent="0.3">
      <c r="A19" s="96"/>
      <c r="B19" s="294" t="s">
        <v>149</v>
      </c>
      <c r="C19" s="295" t="s">
        <v>187</v>
      </c>
      <c r="D19" s="296" t="s">
        <v>188</v>
      </c>
      <c r="E19" s="297" t="s">
        <v>189</v>
      </c>
      <c r="F19" s="298">
        <v>8001</v>
      </c>
      <c r="G19" s="298">
        <v>701257</v>
      </c>
      <c r="H19" s="299">
        <f>SUMPRODUCT((Production_Log!$F$3:$F$1063=F19)*Production_Log!$H$3:$H$1063)</f>
        <v>90735</v>
      </c>
      <c r="I19" s="298">
        <f t="shared" si="0"/>
        <v>610522</v>
      </c>
      <c r="J19" s="300">
        <f t="shared" si="1"/>
        <v>0.1293890827471241</v>
      </c>
      <c r="K19" s="299">
        <v>78200</v>
      </c>
      <c r="L19" s="301" t="s">
        <v>190</v>
      </c>
      <c r="M19" s="302" t="s">
        <v>171</v>
      </c>
      <c r="N19" s="303">
        <f>SUM(N15:N18)</f>
        <v>195.33333333333334</v>
      </c>
      <c r="O19" s="304" t="s">
        <v>172</v>
      </c>
      <c r="P19" s="286"/>
      <c r="Q19" s="286"/>
      <c r="R19" s="287"/>
      <c r="S19" s="287"/>
      <c r="T19" s="293"/>
      <c r="U19" s="287"/>
      <c r="V19" s="287"/>
      <c r="W19" s="98"/>
      <c r="X19" s="98"/>
      <c r="Y19" s="98"/>
      <c r="Z19" s="98"/>
      <c r="AA19" s="98"/>
      <c r="AB19" s="98"/>
      <c r="AC19" s="98"/>
    </row>
    <row r="20" spans="1:29" ht="16.5" customHeight="1" x14ac:dyDescent="0.3">
      <c r="A20" s="96"/>
      <c r="B20" s="294" t="s">
        <v>149</v>
      </c>
      <c r="C20" s="295" t="s">
        <v>191</v>
      </c>
      <c r="D20" s="296" t="s">
        <v>192</v>
      </c>
      <c r="E20" s="297" t="s">
        <v>189</v>
      </c>
      <c r="F20" s="298">
        <v>8017</v>
      </c>
      <c r="G20" s="298">
        <v>13960</v>
      </c>
      <c r="H20" s="299">
        <f>SUMPRODUCT((Production_Log!$F$3:$F$1063=F20)*Production_Log!$H$3:$H$1063)</f>
        <v>0</v>
      </c>
      <c r="I20" s="298">
        <f t="shared" si="0"/>
        <v>13960</v>
      </c>
      <c r="J20" s="300">
        <f t="shared" si="1"/>
        <v>0</v>
      </c>
      <c r="K20" s="299">
        <v>13800</v>
      </c>
      <c r="L20" s="301"/>
      <c r="M20" s="314"/>
      <c r="N20" s="315"/>
      <c r="O20" s="316"/>
      <c r="P20" s="286"/>
      <c r="Q20" s="286"/>
      <c r="R20" s="287"/>
      <c r="S20" s="305"/>
      <c r="T20" s="293"/>
      <c r="U20" s="305"/>
      <c r="V20" s="287"/>
      <c r="W20" s="98"/>
      <c r="X20" s="98"/>
      <c r="Y20" s="98"/>
      <c r="Z20" s="98"/>
      <c r="AA20" s="98"/>
      <c r="AB20" s="98"/>
      <c r="AC20" s="98"/>
    </row>
    <row r="21" spans="1:29" ht="16.5" customHeight="1" x14ac:dyDescent="0.3">
      <c r="A21" s="96"/>
      <c r="B21" s="294" t="s">
        <v>149</v>
      </c>
      <c r="C21" s="295" t="s">
        <v>168</v>
      </c>
      <c r="D21" s="296" t="s">
        <v>193</v>
      </c>
      <c r="E21" s="297" t="s">
        <v>194</v>
      </c>
      <c r="F21" s="298">
        <v>8006</v>
      </c>
      <c r="G21" s="298">
        <f>IFERROR(INDEX(MRP!$F$3:$F$150,MATCH(F21,MRP!$D$3:$D$150,0)),0)</f>
        <v>47000</v>
      </c>
      <c r="H21" s="299">
        <f>SUMPRODUCT((Production_Log!$F$3:$F$1063=F21)*Production_Log!$H$3:$H$1063)</f>
        <v>0</v>
      </c>
      <c r="I21" s="298">
        <f t="shared" si="0"/>
        <v>47000</v>
      </c>
      <c r="J21" s="300">
        <f t="shared" si="1"/>
        <v>0</v>
      </c>
      <c r="K21" s="299"/>
      <c r="L21" s="301"/>
      <c r="M21" s="314"/>
      <c r="N21" s="315"/>
      <c r="O21" s="316"/>
      <c r="P21" s="286"/>
      <c r="Q21" s="286"/>
      <c r="R21" s="286"/>
      <c r="S21" s="305"/>
      <c r="T21" s="293"/>
      <c r="U21" s="305"/>
      <c r="V21" s="287"/>
      <c r="W21" s="98"/>
      <c r="X21" s="98"/>
      <c r="Y21" s="98"/>
      <c r="Z21" s="98"/>
      <c r="AA21" s="98"/>
      <c r="AB21" s="98"/>
      <c r="AC21" s="98"/>
    </row>
    <row r="22" spans="1:29" ht="16.5" customHeight="1" x14ac:dyDescent="0.3">
      <c r="A22" s="164"/>
      <c r="B22" s="310"/>
      <c r="C22" s="311"/>
      <c r="D22" s="312" t="s">
        <v>171</v>
      </c>
      <c r="E22" s="310"/>
      <c r="F22" s="311"/>
      <c r="G22" s="313">
        <f>SUM(G16:G21)</f>
        <v>874377</v>
      </c>
      <c r="H22" s="313">
        <f>SUM(H16:H21)</f>
        <v>90735</v>
      </c>
      <c r="I22" s="313">
        <f>SUMIF(I16:I21,"&gt;"&amp;0)</f>
        <v>783642</v>
      </c>
      <c r="J22" s="313"/>
      <c r="K22" s="313">
        <f>SUM(K16:K21)</f>
        <v>92000</v>
      </c>
      <c r="L22" s="313"/>
      <c r="M22" s="314"/>
      <c r="N22" s="315"/>
      <c r="O22" s="316"/>
      <c r="P22" s="286"/>
      <c r="Q22" s="286"/>
      <c r="R22" s="286"/>
      <c r="S22" s="317"/>
      <c r="T22" s="305"/>
      <c r="U22" s="305"/>
      <c r="V22" s="305"/>
    </row>
    <row r="23" spans="1:29" x14ac:dyDescent="0.3">
      <c r="A23" s="96"/>
      <c r="B23" s="294" t="s">
        <v>142</v>
      </c>
      <c r="C23" s="295" t="s">
        <v>195</v>
      </c>
      <c r="D23" s="296" t="s">
        <v>196</v>
      </c>
      <c r="E23" s="297">
        <v>12.5</v>
      </c>
      <c r="F23" s="298">
        <v>9004</v>
      </c>
      <c r="G23" s="298">
        <f>IFERROR(INDEX(MRP!$F$3:$F$150,MATCH(F23,MRP!$D$3:$D$150,0)),0)</f>
        <v>0</v>
      </c>
      <c r="H23" s="299">
        <f>SUMPRODUCT((Production_Log!$F$3:$F$1063=F23)*((LEFT(Production_Log!$B$3:$B$1063,5)="Print")+(LEFT(Production_Log!$B$3:$B$1063,5)="PLINE"))*(ISERROR(SEARCH("(Varnish)",Production_Log!$D$3:$D$1063)))*Production_Log!$H$3:$H$1063)</f>
        <v>0</v>
      </c>
      <c r="I23" s="298">
        <f t="shared" ref="I23:I66" si="2">G23-H23</f>
        <v>0</v>
      </c>
      <c r="J23" s="300" t="str">
        <f t="shared" ref="J23:J66" si="3">IF(G23=0,"-",H23/G23)</f>
        <v>-</v>
      </c>
      <c r="K23" s="299"/>
      <c r="L23" s="301"/>
      <c r="M23" s="314"/>
      <c r="N23" s="315"/>
      <c r="O23" s="316"/>
      <c r="P23" s="286"/>
      <c r="Q23" s="286"/>
      <c r="R23" s="286"/>
      <c r="S23" s="286"/>
      <c r="T23" s="286"/>
      <c r="U23" s="286"/>
      <c r="V23" s="286"/>
      <c r="W23" s="96"/>
      <c r="X23" s="98"/>
      <c r="Y23" s="98"/>
      <c r="Z23" s="98"/>
      <c r="AA23" s="98"/>
      <c r="AB23" s="98"/>
      <c r="AC23" s="98"/>
    </row>
    <row r="24" spans="1:29" ht="16.5" customHeight="1" x14ac:dyDescent="0.3">
      <c r="A24" s="96"/>
      <c r="B24" s="294" t="s">
        <v>142</v>
      </c>
      <c r="C24" s="295" t="s">
        <v>197</v>
      </c>
      <c r="D24" s="296" t="s">
        <v>198</v>
      </c>
      <c r="E24" s="297">
        <v>16</v>
      </c>
      <c r="F24" s="298">
        <v>6561</v>
      </c>
      <c r="G24" s="298">
        <f>IFERROR(INDEX(MRP!$F$3:$F$150,MATCH(F24,MRP!$D$3:$D$150,0)),0)</f>
        <v>0</v>
      </c>
      <c r="H24" s="299">
        <f>SUMPRODUCT((Production_Log!$F$3:$F$1063=F24)*((LEFT(Production_Log!$B$3:$B$1063,5)="Print")+(LEFT(Production_Log!$B$3:$B$1063,5)="PLINE"))*(ISERROR(SEARCH("(Varnish)",Production_Log!$D$3:$D$1063)))*Production_Log!$H$3:$H$1063)</f>
        <v>0</v>
      </c>
      <c r="I24" s="298">
        <f t="shared" si="2"/>
        <v>0</v>
      </c>
      <c r="J24" s="300" t="str">
        <f t="shared" si="3"/>
        <v>-</v>
      </c>
      <c r="K24" s="299"/>
      <c r="L24" s="301"/>
      <c r="M24" s="314"/>
      <c r="N24" s="315"/>
      <c r="O24" s="316"/>
      <c r="P24" s="286"/>
      <c r="Q24" s="286"/>
      <c r="R24" s="286"/>
      <c r="S24" s="286"/>
      <c r="T24" s="286"/>
      <c r="U24" s="286"/>
      <c r="V24" s="286"/>
      <c r="W24" s="96"/>
      <c r="X24" s="98"/>
      <c r="Y24" s="98"/>
      <c r="Z24" s="98"/>
      <c r="AA24" s="98"/>
      <c r="AB24" s="98"/>
      <c r="AC24" s="98"/>
    </row>
    <row r="25" spans="1:29" ht="16.5" customHeight="1" x14ac:dyDescent="0.3">
      <c r="A25" s="96"/>
      <c r="B25" s="294" t="s">
        <v>142</v>
      </c>
      <c r="C25" s="295" t="s">
        <v>168</v>
      </c>
      <c r="D25" s="296" t="s">
        <v>199</v>
      </c>
      <c r="E25" s="297">
        <v>19</v>
      </c>
      <c r="F25" s="298">
        <v>6624</v>
      </c>
      <c r="G25" s="298">
        <f>IFERROR(INDEX(MRP!$F$3:$F$150,MATCH(F25,MRP!$D$3:$D$150,0)),0)</f>
        <v>0</v>
      </c>
      <c r="H25" s="299">
        <f>SUMPRODUCT((Production_Log!$F$3:$F$1063=F25)*((LEFT(Production_Log!$B$3:$B$1063,5)="Print")+(LEFT(Production_Log!$B$3:$B$1063,5)="PLINE"))*(ISERROR(SEARCH("(Varnish)",Production_Log!$D$3:$D$1063)))*Production_Log!$H$3:$H$1063)</f>
        <v>0</v>
      </c>
      <c r="I25" s="298">
        <f t="shared" si="2"/>
        <v>0</v>
      </c>
      <c r="J25" s="300" t="str">
        <f t="shared" si="3"/>
        <v>-</v>
      </c>
      <c r="K25" s="299"/>
      <c r="L25" s="301"/>
      <c r="M25" s="314"/>
      <c r="N25" s="315"/>
      <c r="O25" s="316"/>
      <c r="P25" s="286"/>
      <c r="Q25" s="286"/>
      <c r="R25" s="287"/>
      <c r="S25" s="305"/>
      <c r="T25" s="293"/>
      <c r="U25" s="305"/>
      <c r="V25" s="287"/>
      <c r="W25" s="98"/>
      <c r="X25" s="98"/>
      <c r="Y25" s="98"/>
      <c r="Z25" s="98"/>
      <c r="AA25" s="98"/>
      <c r="AB25" s="98"/>
      <c r="AC25" s="98"/>
    </row>
    <row r="26" spans="1:29" ht="16.5" customHeight="1" x14ac:dyDescent="0.3">
      <c r="A26" s="164"/>
      <c r="B26" s="294" t="s">
        <v>142</v>
      </c>
      <c r="C26" s="295" t="s">
        <v>168</v>
      </c>
      <c r="D26" s="296" t="s">
        <v>200</v>
      </c>
      <c r="E26" s="297">
        <v>19</v>
      </c>
      <c r="F26" s="298">
        <v>6623</v>
      </c>
      <c r="G26" s="298">
        <f>IFERROR(INDEX(MRP!$F$3:$F$150,MATCH(F26,MRP!$D$3:$D$150,0)),0)</f>
        <v>0</v>
      </c>
      <c r="H26" s="299">
        <f>SUMPRODUCT((Production_Log!$F$3:$F$1063=F26)*((LEFT(Production_Log!$B$3:$B$1063,5)="Print")+(LEFT(Production_Log!$B$3:$B$1063,5)="PLINE"))*(ISERROR(SEARCH("(Varnish)",Production_Log!$D$3:$D$1063)))*Production_Log!$H$3:$H$1063)</f>
        <v>0</v>
      </c>
      <c r="I26" s="298">
        <f t="shared" si="2"/>
        <v>0</v>
      </c>
      <c r="J26" s="300" t="str">
        <f t="shared" si="3"/>
        <v>-</v>
      </c>
      <c r="K26" s="299"/>
      <c r="L26" s="301"/>
      <c r="M26" s="314"/>
      <c r="N26" s="315"/>
      <c r="O26" s="316"/>
      <c r="P26" s="286"/>
      <c r="Q26" s="286"/>
      <c r="R26" s="287"/>
      <c r="S26" s="305"/>
      <c r="T26" s="293"/>
      <c r="U26" s="305"/>
      <c r="V26" s="287"/>
      <c r="W26" s="165"/>
      <c r="X26" s="165"/>
      <c r="Y26" s="165"/>
      <c r="Z26" s="165"/>
      <c r="AA26" s="165"/>
      <c r="AB26" s="165"/>
      <c r="AC26" s="165"/>
    </row>
    <row r="27" spans="1:29" ht="16.5" customHeight="1" x14ac:dyDescent="0.3">
      <c r="A27" s="96"/>
      <c r="B27" s="294" t="s">
        <v>142</v>
      </c>
      <c r="C27" s="295" t="s">
        <v>197</v>
      </c>
      <c r="D27" s="296" t="s">
        <v>200</v>
      </c>
      <c r="E27" s="297">
        <v>19</v>
      </c>
      <c r="F27" s="298">
        <v>6559</v>
      </c>
      <c r="G27" s="298">
        <f>IFERROR(INDEX(MRP!$F$3:$F$150,MATCH(F27,MRP!$D$3:$D$150,0)),0)</f>
        <v>0</v>
      </c>
      <c r="H27" s="299">
        <f>SUMPRODUCT((Production_Log!$F$3:$F$1063=F27)*((LEFT(Production_Log!$B$3:$B$1063,5)="Print")+(LEFT(Production_Log!$B$3:$B$1063,5)="PLINE"))*(ISERROR(SEARCH("(Varnish)",Production_Log!$D$3:$D$1063)))*Production_Log!$H$3:$H$1063)</f>
        <v>0</v>
      </c>
      <c r="I27" s="298">
        <f t="shared" si="2"/>
        <v>0</v>
      </c>
      <c r="J27" s="300" t="str">
        <f t="shared" si="3"/>
        <v>-</v>
      </c>
      <c r="K27" s="299"/>
      <c r="L27" s="301"/>
      <c r="M27" s="318"/>
      <c r="N27" s="319"/>
      <c r="O27" s="320"/>
      <c r="P27" s="286"/>
      <c r="Q27" s="286"/>
      <c r="R27" s="287"/>
      <c r="S27" s="305"/>
      <c r="T27" s="293"/>
      <c r="U27" s="305"/>
      <c r="V27" s="287"/>
      <c r="W27" s="98"/>
      <c r="X27" s="98"/>
      <c r="Y27" s="98"/>
      <c r="Z27" s="98"/>
      <c r="AA27" s="98"/>
      <c r="AB27" s="98"/>
      <c r="AC27" s="98"/>
    </row>
    <row r="28" spans="1:29" ht="16.5" customHeight="1" x14ac:dyDescent="0.3">
      <c r="A28" s="96"/>
      <c r="B28" s="294" t="s">
        <v>142</v>
      </c>
      <c r="C28" s="295" t="s">
        <v>197</v>
      </c>
      <c r="D28" s="296" t="s">
        <v>201</v>
      </c>
      <c r="E28" s="297">
        <v>19</v>
      </c>
      <c r="F28" s="298">
        <v>1085</v>
      </c>
      <c r="G28" s="298">
        <f>IFERROR(INDEX(MRP!$F$3:$F$150,MATCH(F28,MRP!$D$3:$D$150,0)),0)</f>
        <v>0</v>
      </c>
      <c r="H28" s="299">
        <f>SUMPRODUCT((Production_Log!$F$3:$F$1063=F28)*((LEFT(Production_Log!$B$3:$B$1063,5)="Print")+(LEFT(Production_Log!$B$3:$B$1063,5)="PLINE"))*(ISERROR(SEARCH("(Varnish)",Production_Log!$D$3:$D$1063)))*Production_Log!$H$3:$H$1063)</f>
        <v>0</v>
      </c>
      <c r="I28" s="298">
        <f t="shared" si="2"/>
        <v>0</v>
      </c>
      <c r="J28" s="300" t="str">
        <f t="shared" si="3"/>
        <v>-</v>
      </c>
      <c r="K28" s="299"/>
      <c r="L28" s="301"/>
      <c r="M28" s="286"/>
      <c r="N28" s="286"/>
      <c r="O28" s="286"/>
      <c r="P28" s="286"/>
      <c r="Q28" s="286"/>
      <c r="R28" s="286"/>
      <c r="S28" s="286"/>
      <c r="T28" s="286"/>
      <c r="U28" s="286"/>
      <c r="V28" s="286"/>
      <c r="W28" s="96"/>
      <c r="X28" s="98"/>
      <c r="Y28" s="98"/>
      <c r="Z28" s="98"/>
      <c r="AA28" s="98"/>
      <c r="AB28" s="98"/>
      <c r="AC28" s="98"/>
    </row>
    <row r="29" spans="1:29" ht="16.5" customHeight="1" x14ac:dyDescent="0.3">
      <c r="A29" s="96"/>
      <c r="B29" s="294" t="s">
        <v>142</v>
      </c>
      <c r="C29" s="295" t="s">
        <v>197</v>
      </c>
      <c r="D29" s="296" t="s">
        <v>202</v>
      </c>
      <c r="E29" s="297">
        <v>19</v>
      </c>
      <c r="F29" s="298">
        <v>6560</v>
      </c>
      <c r="G29" s="298">
        <f>IFERROR(INDEX(MRP!$F$3:$F$150,MATCH(F29,MRP!$D$3:$D$150,0)),0)</f>
        <v>0</v>
      </c>
      <c r="H29" s="299">
        <f>SUMPRODUCT((Production_Log!$F$3:$F$1063=F29)*((LEFT(Production_Log!$B$3:$B$1063,5)="Print")+(LEFT(Production_Log!$B$3:$B$1063,5)="PLINE"))*(ISERROR(SEARCH("(Varnish)",Production_Log!$D$3:$D$1063)))*Production_Log!$H$3:$H$1063)</f>
        <v>0</v>
      </c>
      <c r="I29" s="298">
        <f t="shared" si="2"/>
        <v>0</v>
      </c>
      <c r="J29" s="300" t="str">
        <f t="shared" si="3"/>
        <v>-</v>
      </c>
      <c r="K29" s="299"/>
      <c r="L29" s="301"/>
      <c r="M29" s="286"/>
      <c r="N29" s="286"/>
      <c r="O29" s="286"/>
      <c r="P29" s="286"/>
      <c r="Q29" s="286"/>
      <c r="R29" s="286"/>
      <c r="S29" s="286"/>
      <c r="T29" s="286"/>
      <c r="U29" s="286"/>
      <c r="V29" s="286"/>
      <c r="W29" s="96"/>
      <c r="X29" s="98"/>
      <c r="Y29" s="98"/>
      <c r="Z29" s="98"/>
      <c r="AA29" s="98"/>
      <c r="AB29" s="98"/>
      <c r="AC29" s="98"/>
    </row>
    <row r="30" spans="1:29" ht="16.5" customHeight="1" x14ac:dyDescent="0.3">
      <c r="A30" s="96"/>
      <c r="B30" s="294" t="s">
        <v>142</v>
      </c>
      <c r="C30" s="295" t="s">
        <v>168</v>
      </c>
      <c r="D30" s="296" t="s">
        <v>203</v>
      </c>
      <c r="E30" s="297">
        <v>20.5</v>
      </c>
      <c r="F30" s="298">
        <v>5699</v>
      </c>
      <c r="G30" s="298">
        <f>IFERROR(INDEX(MRP!$F$3:$F$150,MATCH(F30,MRP!$D$3:$D$150,0)),0)</f>
        <v>0</v>
      </c>
      <c r="H30" s="299">
        <f>SUMPRODUCT((Production_Log!$F$3:$F$1063=F30)*((LEFT(Production_Log!$B$3:$B$1063,5)="Print")+(LEFT(Production_Log!$B$3:$B$1063,5)="PLINE"))*(ISERROR(SEARCH("(Varnish)",Production_Log!$D$3:$D$1063)))*Production_Log!$H$3:$H$1063)</f>
        <v>0</v>
      </c>
      <c r="I30" s="298">
        <f t="shared" si="2"/>
        <v>0</v>
      </c>
      <c r="J30" s="300" t="str">
        <f t="shared" si="3"/>
        <v>-</v>
      </c>
      <c r="K30" s="299"/>
      <c r="L30" s="301"/>
      <c r="M30" s="286"/>
      <c r="N30" s="286"/>
      <c r="O30" s="286"/>
      <c r="P30" s="286"/>
      <c r="Q30" s="286"/>
      <c r="R30" s="286"/>
      <c r="S30" s="286"/>
      <c r="T30" s="286"/>
      <c r="U30" s="286"/>
      <c r="V30" s="286"/>
      <c r="W30" s="96"/>
      <c r="X30" s="98"/>
      <c r="Y30" s="98"/>
      <c r="Z30" s="98"/>
      <c r="AA30" s="98"/>
      <c r="AB30" s="98"/>
      <c r="AC30" s="98"/>
    </row>
    <row r="31" spans="1:29" ht="16.5" customHeight="1" x14ac:dyDescent="0.3">
      <c r="A31" s="96"/>
      <c r="B31" s="294" t="s">
        <v>142</v>
      </c>
      <c r="C31" s="295" t="s">
        <v>175</v>
      </c>
      <c r="D31" s="296" t="s">
        <v>204</v>
      </c>
      <c r="E31" s="297">
        <v>20.5</v>
      </c>
      <c r="F31" s="298">
        <v>6077</v>
      </c>
      <c r="G31" s="298">
        <f>IFERROR(INDEX(MRP!$F$3:$F$150,MATCH(F31,MRP!$D$3:$D$150,0)),0)</f>
        <v>0</v>
      </c>
      <c r="H31" s="299">
        <f>SUMPRODUCT((Production_Log!$F$3:$F$1063=F31)*((LEFT(Production_Log!$B$3:$B$1063,5)="Print")+(LEFT(Production_Log!$B$3:$B$1063,5)="PLINE"))*(ISERROR(SEARCH("(Varnish)",Production_Log!$D$3:$D$1063)))*Production_Log!$H$3:$H$1063)</f>
        <v>0</v>
      </c>
      <c r="I31" s="298">
        <f t="shared" si="2"/>
        <v>0</v>
      </c>
      <c r="J31" s="300" t="str">
        <f t="shared" si="3"/>
        <v>-</v>
      </c>
      <c r="K31" s="299"/>
      <c r="L31" s="301"/>
      <c r="M31" s="286"/>
      <c r="N31" s="286"/>
      <c r="O31" s="286"/>
      <c r="P31" s="286"/>
      <c r="Q31" s="286"/>
      <c r="R31" s="286"/>
      <c r="S31" s="305"/>
      <c r="T31" s="293"/>
      <c r="U31" s="305"/>
      <c r="V31" s="287"/>
      <c r="W31" s="98"/>
      <c r="X31" s="98"/>
      <c r="Y31" s="98"/>
      <c r="Z31" s="98"/>
      <c r="AA31" s="98"/>
      <c r="AB31" s="98"/>
      <c r="AC31" s="98"/>
    </row>
    <row r="32" spans="1:29" ht="16.5" customHeight="1" x14ac:dyDescent="0.3">
      <c r="A32" s="96"/>
      <c r="B32" s="294" t="s">
        <v>142</v>
      </c>
      <c r="C32" s="295" t="s">
        <v>168</v>
      </c>
      <c r="D32" s="296" t="s">
        <v>205</v>
      </c>
      <c r="E32" s="297">
        <v>20.5</v>
      </c>
      <c r="F32" s="298">
        <v>5731</v>
      </c>
      <c r="G32" s="298">
        <f>IFERROR(INDEX(MRP!$F$3:$F$150,MATCH(F32,MRP!$D$3:$D$150,0)),0)</f>
        <v>0</v>
      </c>
      <c r="H32" s="299">
        <f>SUMPRODUCT((Production_Log!$F$3:$F$1063=F32)*((LEFT(Production_Log!$B$3:$B$1063,5)="Print")+(LEFT(Production_Log!$B$3:$B$1063,5)="PLINE"))*(ISERROR(SEARCH("(Varnish)",Production_Log!$D$3:$D$1063)))*Production_Log!$H$3:$H$1063)</f>
        <v>0</v>
      </c>
      <c r="I32" s="298">
        <f t="shared" si="2"/>
        <v>0</v>
      </c>
      <c r="J32" s="300" t="str">
        <f t="shared" si="3"/>
        <v>-</v>
      </c>
      <c r="K32" s="299"/>
      <c r="L32" s="301"/>
      <c r="M32" s="286"/>
      <c r="N32" s="286"/>
      <c r="O32" s="286"/>
      <c r="P32" s="286"/>
      <c r="Q32" s="286"/>
      <c r="R32" s="286"/>
      <c r="S32" s="305"/>
      <c r="T32" s="293"/>
      <c r="U32" s="305"/>
      <c r="V32" s="287"/>
      <c r="W32" s="98"/>
      <c r="X32" s="98"/>
      <c r="Y32" s="98"/>
      <c r="Z32" s="98"/>
      <c r="AA32" s="98"/>
      <c r="AB32" s="98"/>
      <c r="AC32" s="98"/>
    </row>
    <row r="33" spans="1:29" ht="16.5" customHeight="1" x14ac:dyDescent="0.3">
      <c r="A33" s="96"/>
      <c r="B33" s="294" t="s">
        <v>142</v>
      </c>
      <c r="C33" s="295" t="s">
        <v>168</v>
      </c>
      <c r="D33" s="296" t="s">
        <v>206</v>
      </c>
      <c r="E33" s="297">
        <v>20.5</v>
      </c>
      <c r="F33" s="298">
        <v>5698</v>
      </c>
      <c r="G33" s="298">
        <f>IFERROR(INDEX(MRP!$F$3:$F$150,MATCH(F33,MRP!$D$3:$D$150,0)),0)</f>
        <v>0</v>
      </c>
      <c r="H33" s="299">
        <f>SUMPRODUCT((Production_Log!$F$3:$F$1063=F33)*((LEFT(Production_Log!$B$3:$B$1063,5)="Print")+(LEFT(Production_Log!$B$3:$B$1063,5)="PLINE"))*(ISERROR(SEARCH("(Varnish)",Production_Log!$D$3:$D$1063)))*Production_Log!$H$3:$H$1063)</f>
        <v>0</v>
      </c>
      <c r="I33" s="298">
        <f t="shared" si="2"/>
        <v>0</v>
      </c>
      <c r="J33" s="300" t="str">
        <f t="shared" si="3"/>
        <v>-</v>
      </c>
      <c r="K33" s="299"/>
      <c r="L33" s="301"/>
      <c r="M33" s="286"/>
      <c r="N33" s="286"/>
      <c r="O33" s="286"/>
      <c r="P33" s="286"/>
      <c r="Q33" s="286"/>
      <c r="R33" s="287"/>
      <c r="S33" s="305"/>
      <c r="T33" s="293"/>
      <c r="U33" s="305"/>
      <c r="V33" s="287"/>
      <c r="W33" s="98"/>
      <c r="X33" s="98"/>
      <c r="Y33" s="98"/>
      <c r="Z33" s="98"/>
      <c r="AA33" s="98"/>
      <c r="AB33" s="98"/>
      <c r="AC33" s="98"/>
    </row>
    <row r="34" spans="1:29" ht="16.5" customHeight="1" x14ac:dyDescent="0.3">
      <c r="A34" s="96"/>
      <c r="B34" s="294" t="s">
        <v>142</v>
      </c>
      <c r="C34" s="295" t="s">
        <v>168</v>
      </c>
      <c r="D34" s="296" t="s">
        <v>207</v>
      </c>
      <c r="E34" s="297">
        <v>20.5</v>
      </c>
      <c r="F34" s="298">
        <v>5732</v>
      </c>
      <c r="G34" s="298">
        <f>IFERROR(INDEX(MRP!$F$3:$F$150,MATCH(F34,MRP!$D$3:$D$150,0)),0)</f>
        <v>0</v>
      </c>
      <c r="H34" s="299">
        <f>SUMPRODUCT((Production_Log!$F$3:$F$1063=F34)*((LEFT(Production_Log!$B$3:$B$1063,5)="Print")+(LEFT(Production_Log!$B$3:$B$1063,5)="PLINE"))*(ISERROR(SEARCH("(Varnish)",Production_Log!$D$3:$D$1063)))*Production_Log!$H$3:$H$1063)</f>
        <v>0</v>
      </c>
      <c r="I34" s="298">
        <f t="shared" si="2"/>
        <v>0</v>
      </c>
      <c r="J34" s="300" t="str">
        <f t="shared" si="3"/>
        <v>-</v>
      </c>
      <c r="K34" s="299"/>
      <c r="L34" s="301"/>
      <c r="M34" s="305"/>
      <c r="N34" s="305"/>
      <c r="O34" s="305"/>
      <c r="P34" s="286"/>
      <c r="Q34" s="286"/>
      <c r="R34" s="286"/>
      <c r="S34" s="305"/>
      <c r="T34" s="293"/>
      <c r="U34" s="305"/>
      <c r="V34" s="287"/>
      <c r="W34" s="98"/>
      <c r="X34" s="98"/>
      <c r="Y34" s="98"/>
      <c r="Z34" s="98"/>
      <c r="AA34" s="98"/>
      <c r="AB34" s="98"/>
      <c r="AC34" s="98"/>
    </row>
    <row r="35" spans="1:29" ht="16.5" customHeight="1" x14ac:dyDescent="0.3">
      <c r="A35" s="96"/>
      <c r="B35" s="294" t="s">
        <v>142</v>
      </c>
      <c r="C35" s="295" t="s">
        <v>168</v>
      </c>
      <c r="D35" s="296" t="s">
        <v>208</v>
      </c>
      <c r="E35" s="297">
        <v>20.5</v>
      </c>
      <c r="F35" s="298">
        <v>6556</v>
      </c>
      <c r="G35" s="298">
        <f>IFERROR(INDEX(MRP!$F$3:$F$150,MATCH(F35,MRP!$D$3:$D$150,0)),0)</f>
        <v>0</v>
      </c>
      <c r="H35" s="299">
        <f>SUMPRODUCT((Production_Log!$F$3:$F$1063=F35)*((LEFT(Production_Log!$B$3:$B$1063,5)="Print")+(LEFT(Production_Log!$B$3:$B$1063,5)="PLINE"))*(ISERROR(SEARCH("(Varnish)",Production_Log!$D$3:$D$1063)))*Production_Log!$H$3:$H$1063)</f>
        <v>0</v>
      </c>
      <c r="I35" s="298">
        <f t="shared" si="2"/>
        <v>0</v>
      </c>
      <c r="J35" s="300" t="str">
        <f t="shared" si="3"/>
        <v>-</v>
      </c>
      <c r="K35" s="299"/>
      <c r="L35" s="301"/>
      <c r="M35" s="286"/>
      <c r="N35" s="286"/>
      <c r="O35" s="286"/>
      <c r="P35" s="286"/>
      <c r="Q35" s="286"/>
      <c r="R35" s="286"/>
      <c r="S35" s="286"/>
      <c r="T35" s="286"/>
      <c r="U35" s="286"/>
      <c r="V35" s="286"/>
      <c r="W35" s="96"/>
      <c r="X35" s="98"/>
      <c r="Y35" s="98"/>
      <c r="Z35" s="98"/>
      <c r="AA35" s="98"/>
      <c r="AB35" s="98"/>
      <c r="AC35" s="98"/>
    </row>
    <row r="36" spans="1:29" ht="16.5" customHeight="1" x14ac:dyDescent="0.3">
      <c r="A36" s="96"/>
      <c r="B36" s="294" t="s">
        <v>142</v>
      </c>
      <c r="C36" s="295" t="s">
        <v>168</v>
      </c>
      <c r="D36" s="296" t="s">
        <v>209</v>
      </c>
      <c r="E36" s="297">
        <v>20.5</v>
      </c>
      <c r="F36" s="298">
        <v>6557</v>
      </c>
      <c r="G36" s="298">
        <f>IFERROR(INDEX(MRP!$F$3:$F$150,MATCH(F36,MRP!$D$3:$D$150,0)),0)</f>
        <v>0</v>
      </c>
      <c r="H36" s="299">
        <f>SUMPRODUCT((Production_Log!$F$3:$F$1063=F36)*((LEFT(Production_Log!$B$3:$B$1063,5)="Print")+(LEFT(Production_Log!$B$3:$B$1063,5)="PLINE"))*(ISERROR(SEARCH("(Varnish)",Production_Log!$D$3:$D$1063)))*Production_Log!$H$3:$H$1063)</f>
        <v>0</v>
      </c>
      <c r="I36" s="298">
        <f t="shared" si="2"/>
        <v>0</v>
      </c>
      <c r="J36" s="300" t="str">
        <f t="shared" si="3"/>
        <v>-</v>
      </c>
      <c r="K36" s="299"/>
      <c r="L36" s="301"/>
      <c r="M36" s="286"/>
      <c r="N36" s="286"/>
      <c r="O36" s="286"/>
      <c r="P36" s="286"/>
      <c r="Q36" s="286"/>
      <c r="R36" s="286"/>
      <c r="S36" s="286"/>
      <c r="T36" s="286"/>
      <c r="U36" s="286"/>
      <c r="V36" s="286"/>
      <c r="W36" s="96"/>
      <c r="X36" s="98"/>
      <c r="Y36" s="98"/>
      <c r="Z36" s="98"/>
      <c r="AA36" s="98"/>
      <c r="AB36" s="98"/>
      <c r="AC36" s="98"/>
    </row>
    <row r="37" spans="1:29" ht="16.5" customHeight="1" x14ac:dyDescent="0.3">
      <c r="A37" s="96"/>
      <c r="B37" s="294" t="s">
        <v>142</v>
      </c>
      <c r="C37" s="295" t="s">
        <v>168</v>
      </c>
      <c r="D37" s="296" t="s">
        <v>210</v>
      </c>
      <c r="E37" s="297">
        <v>25</v>
      </c>
      <c r="F37" s="298">
        <v>3447</v>
      </c>
      <c r="G37" s="298">
        <f>IFERROR(INDEX(MRP!$F$3:$F$150,MATCH(F37,MRP!$D$3:$D$150,0)),0)</f>
        <v>0</v>
      </c>
      <c r="H37" s="299">
        <f>SUMPRODUCT((Production_Log!$F$3:$F$1063=F37)*((LEFT(Production_Log!$B$3:$B$1063,5)="Print")+(LEFT(Production_Log!$B$3:$B$1063,5)="PLINE"))*(ISERROR(SEARCH("(Varnish)",Production_Log!$D$3:$D$1063)))*Production_Log!$H$3:$H$1063)</f>
        <v>0</v>
      </c>
      <c r="I37" s="298">
        <f t="shared" si="2"/>
        <v>0</v>
      </c>
      <c r="J37" s="300" t="str">
        <f t="shared" si="3"/>
        <v>-</v>
      </c>
      <c r="K37" s="299"/>
      <c r="L37" s="301"/>
      <c r="M37" s="286"/>
      <c r="N37" s="286"/>
      <c r="O37" s="286"/>
      <c r="P37" s="286"/>
      <c r="Q37" s="286"/>
      <c r="R37" s="286"/>
      <c r="S37" s="286"/>
      <c r="T37" s="286"/>
      <c r="U37" s="286"/>
      <c r="V37" s="286"/>
      <c r="W37" s="96"/>
      <c r="X37" s="98"/>
      <c r="Y37" s="98"/>
      <c r="Z37" s="98"/>
      <c r="AA37" s="98"/>
      <c r="AB37" s="98"/>
      <c r="AC37" s="98"/>
    </row>
    <row r="38" spans="1:29" ht="16.5" customHeight="1" x14ac:dyDescent="0.3">
      <c r="A38" s="96"/>
      <c r="B38" s="294" t="s">
        <v>142</v>
      </c>
      <c r="C38" s="295" t="s">
        <v>168</v>
      </c>
      <c r="D38" s="296" t="s">
        <v>211</v>
      </c>
      <c r="E38" s="297">
        <v>25</v>
      </c>
      <c r="F38" s="298">
        <v>3726</v>
      </c>
      <c r="G38" s="298">
        <f>IFERROR(INDEX(MRP!$F$3:$F$150,MATCH(F38,MRP!$D$3:$D$150,0)),0)</f>
        <v>0</v>
      </c>
      <c r="H38" s="299">
        <f>SUMPRODUCT((Production_Log!$F$3:$F$1063=F38)*((LEFT(Production_Log!$B$3:$B$1063,5)="Print")+(LEFT(Production_Log!$B$3:$B$1063,5)="PLINE"))*(ISERROR(SEARCH("(Varnish)",Production_Log!$D$3:$D$1063)))*Production_Log!$H$3:$H$1063)</f>
        <v>0</v>
      </c>
      <c r="I38" s="298">
        <f t="shared" si="2"/>
        <v>0</v>
      </c>
      <c r="J38" s="300" t="str">
        <f t="shared" si="3"/>
        <v>-</v>
      </c>
      <c r="K38" s="299"/>
      <c r="L38" s="301"/>
      <c r="M38" s="286"/>
      <c r="N38" s="286"/>
      <c r="O38" s="286"/>
      <c r="P38" s="286"/>
      <c r="Q38" s="286"/>
      <c r="R38" s="286"/>
      <c r="S38" s="286"/>
      <c r="T38" s="286"/>
      <c r="U38" s="286"/>
      <c r="V38" s="286"/>
      <c r="W38" s="96"/>
      <c r="X38" s="98"/>
      <c r="Y38" s="98"/>
      <c r="Z38" s="98"/>
      <c r="AA38" s="98"/>
      <c r="AB38" s="98"/>
      <c r="AC38" s="98"/>
    </row>
    <row r="39" spans="1:29" ht="16.5" customHeight="1" x14ac:dyDescent="0.3">
      <c r="A39" s="96"/>
      <c r="B39" s="294" t="s">
        <v>142</v>
      </c>
      <c r="C39" s="295" t="s">
        <v>168</v>
      </c>
      <c r="D39" s="296" t="s">
        <v>212</v>
      </c>
      <c r="E39" s="297">
        <v>25</v>
      </c>
      <c r="F39" s="298">
        <v>6470</v>
      </c>
      <c r="G39" s="298">
        <f>IFERROR(INDEX(MRP!$F$3:$F$150,MATCH(F39,MRP!$D$3:$D$150,0)),0)</f>
        <v>0</v>
      </c>
      <c r="H39" s="299">
        <f>SUMPRODUCT((Production_Log!$F$3:$F$1063=F39)*((LEFT(Production_Log!$B$3:$B$1063,5)="Print")+(LEFT(Production_Log!$B$3:$B$1063,5)="PLINE"))*(ISERROR(SEARCH("(Varnish)",Production_Log!$D$3:$D$1063)))*Production_Log!$H$3:$H$1063)</f>
        <v>0</v>
      </c>
      <c r="I39" s="298">
        <f t="shared" si="2"/>
        <v>0</v>
      </c>
      <c r="J39" s="300" t="str">
        <f t="shared" si="3"/>
        <v>-</v>
      </c>
      <c r="K39" s="299"/>
      <c r="L39" s="301"/>
      <c r="M39" s="286"/>
      <c r="N39" s="286"/>
      <c r="O39" s="286"/>
      <c r="P39" s="286"/>
      <c r="Q39" s="286"/>
      <c r="R39" s="286"/>
      <c r="S39" s="286"/>
      <c r="T39" s="286"/>
      <c r="U39" s="286"/>
      <c r="V39" s="286"/>
      <c r="W39" s="96"/>
      <c r="X39" s="98"/>
      <c r="Y39" s="98"/>
      <c r="Z39" s="98"/>
      <c r="AA39" s="98"/>
      <c r="AB39" s="98"/>
      <c r="AC39" s="98"/>
    </row>
    <row r="40" spans="1:29" ht="16.5" customHeight="1" x14ac:dyDescent="0.3">
      <c r="A40" s="96"/>
      <c r="B40" s="294" t="s">
        <v>142</v>
      </c>
      <c r="C40" s="295" t="s">
        <v>168</v>
      </c>
      <c r="D40" s="296" t="s">
        <v>213</v>
      </c>
      <c r="E40" s="297">
        <v>25</v>
      </c>
      <c r="F40" s="298">
        <v>6532</v>
      </c>
      <c r="G40" s="298">
        <f>IFERROR(INDEX(MRP!$F$3:$F$150,MATCH(F40,MRP!$D$3:$D$150,0)),0)</f>
        <v>0</v>
      </c>
      <c r="H40" s="299">
        <f>SUMPRODUCT((Production_Log!$F$3:$F$1063=F40)*((LEFT(Production_Log!$B$3:$B$1063,5)="Print")+(LEFT(Production_Log!$B$3:$B$1063,5)="PLINE"))*(ISERROR(SEARCH("(Varnish)",Production_Log!$D$3:$D$1063)))*Production_Log!$H$3:$H$1063)</f>
        <v>0</v>
      </c>
      <c r="I40" s="298">
        <f t="shared" si="2"/>
        <v>0</v>
      </c>
      <c r="J40" s="300" t="str">
        <f t="shared" si="3"/>
        <v>-</v>
      </c>
      <c r="K40" s="299"/>
      <c r="L40" s="301"/>
      <c r="M40" s="286"/>
      <c r="N40" s="286"/>
      <c r="O40" s="286"/>
      <c r="P40" s="286"/>
      <c r="Q40" s="286"/>
      <c r="R40" s="286"/>
      <c r="S40" s="286"/>
      <c r="T40" s="286"/>
      <c r="U40" s="286"/>
      <c r="V40" s="286"/>
      <c r="W40" s="96"/>
      <c r="X40" s="98"/>
      <c r="Y40" s="98"/>
      <c r="Z40" s="98"/>
      <c r="AA40" s="98"/>
      <c r="AB40" s="98"/>
      <c r="AC40" s="98"/>
    </row>
    <row r="41" spans="1:29" ht="16.5" customHeight="1" x14ac:dyDescent="0.3">
      <c r="A41" s="96"/>
      <c r="B41" s="294" t="s">
        <v>142</v>
      </c>
      <c r="C41" s="295" t="s">
        <v>175</v>
      </c>
      <c r="D41" s="296" t="s">
        <v>214</v>
      </c>
      <c r="E41" s="297">
        <v>25</v>
      </c>
      <c r="F41" s="298">
        <v>6228</v>
      </c>
      <c r="G41" s="298">
        <f>IFERROR(INDEX(MRP!$F$3:$F$150,MATCH(F41,MRP!$D$3:$D$150,0)),0)</f>
        <v>0</v>
      </c>
      <c r="H41" s="299">
        <f>SUMPRODUCT((Production_Log!$F$3:$F$1063=F41)*((LEFT(Production_Log!$B$3:$B$1063,5)="Print")+(LEFT(Production_Log!$B$3:$B$1063,5)="PLINE"))*(ISERROR(SEARCH("(Varnish)",Production_Log!$D$3:$D$1063)))*Production_Log!$H$3:$H$1063)</f>
        <v>0</v>
      </c>
      <c r="I41" s="298">
        <f t="shared" si="2"/>
        <v>0</v>
      </c>
      <c r="J41" s="300" t="str">
        <f t="shared" si="3"/>
        <v>-</v>
      </c>
      <c r="K41" s="299"/>
      <c r="L41" s="301"/>
      <c r="M41" s="286"/>
      <c r="N41" s="286"/>
      <c r="O41" s="286"/>
      <c r="P41" s="286"/>
      <c r="Q41" s="286"/>
      <c r="R41" s="286"/>
      <c r="S41" s="286"/>
      <c r="T41" s="286"/>
      <c r="U41" s="286"/>
      <c r="V41" s="286"/>
      <c r="W41" s="96"/>
      <c r="X41" s="98"/>
      <c r="Y41" s="98"/>
      <c r="Z41" s="98"/>
      <c r="AA41" s="98"/>
      <c r="AB41" s="98"/>
      <c r="AC41" s="98"/>
    </row>
    <row r="42" spans="1:29" ht="16.5" customHeight="1" x14ac:dyDescent="0.3">
      <c r="A42" s="96"/>
      <c r="B42" s="294" t="s">
        <v>142</v>
      </c>
      <c r="C42" s="295" t="s">
        <v>168</v>
      </c>
      <c r="D42" s="296" t="s">
        <v>215</v>
      </c>
      <c r="E42" s="297">
        <v>25</v>
      </c>
      <c r="F42" s="298">
        <v>6506</v>
      </c>
      <c r="G42" s="298">
        <f>IFERROR(INDEX(MRP!$F$3:$F$150,MATCH(F42,MRP!$D$3:$D$150,0)),0)</f>
        <v>0</v>
      </c>
      <c r="H42" s="299">
        <f>SUMPRODUCT((Production_Log!$F$3:$F$1063=F42)*((LEFT(Production_Log!$B$3:$B$1063,5)="Print")+(LEFT(Production_Log!$B$3:$B$1063,5)="PLINE"))*(ISERROR(SEARCH("(Varnish)",Production_Log!$D$3:$D$1063)))*Production_Log!$H$3:$H$1063)</f>
        <v>0</v>
      </c>
      <c r="I42" s="298">
        <f t="shared" si="2"/>
        <v>0</v>
      </c>
      <c r="J42" s="300" t="str">
        <f t="shared" si="3"/>
        <v>-</v>
      </c>
      <c r="K42" s="299"/>
      <c r="L42" s="301"/>
      <c r="M42" s="286"/>
      <c r="N42" s="286"/>
      <c r="O42" s="286"/>
      <c r="P42" s="286"/>
      <c r="Q42" s="286"/>
      <c r="R42" s="286"/>
      <c r="S42" s="286"/>
      <c r="T42" s="286"/>
      <c r="U42" s="286"/>
      <c r="V42" s="286"/>
      <c r="W42" s="96"/>
      <c r="X42" s="98"/>
      <c r="Y42" s="98"/>
      <c r="Z42" s="98"/>
      <c r="AA42" s="98"/>
      <c r="AB42" s="98"/>
      <c r="AC42" s="98"/>
    </row>
    <row r="43" spans="1:29" ht="16.5" customHeight="1" x14ac:dyDescent="0.3">
      <c r="A43" s="96"/>
      <c r="B43" s="294" t="s">
        <v>142</v>
      </c>
      <c r="C43" s="295" t="s">
        <v>168</v>
      </c>
      <c r="D43" s="296" t="s">
        <v>216</v>
      </c>
      <c r="E43" s="297">
        <v>25</v>
      </c>
      <c r="F43" s="298">
        <v>9006</v>
      </c>
      <c r="G43" s="298">
        <f>IFERROR(INDEX(MRP!$F$3:$F$150,MATCH(F43,MRP!$D$3:$D$150,0)),0)</f>
        <v>0</v>
      </c>
      <c r="H43" s="299">
        <f>SUMPRODUCT((Production_Log!$F$3:$F$1063=F43)*((LEFT(Production_Log!$B$3:$B$1063,5)="Print")+(LEFT(Production_Log!$B$3:$B$1063,5)="PLINE"))*(ISERROR(SEARCH("(Varnish)",Production_Log!$D$3:$D$1063)))*Production_Log!$H$3:$H$1063)</f>
        <v>0</v>
      </c>
      <c r="I43" s="298">
        <f t="shared" si="2"/>
        <v>0</v>
      </c>
      <c r="J43" s="300" t="str">
        <f t="shared" si="3"/>
        <v>-</v>
      </c>
      <c r="K43" s="299"/>
      <c r="L43" s="301"/>
      <c r="M43" s="286"/>
      <c r="N43" s="286"/>
      <c r="O43" s="286"/>
      <c r="P43" s="286"/>
      <c r="Q43" s="286"/>
      <c r="R43" s="286"/>
      <c r="S43" s="286"/>
      <c r="T43" s="286"/>
      <c r="U43" s="286"/>
      <c r="V43" s="286"/>
      <c r="W43" s="96"/>
      <c r="X43" s="98"/>
      <c r="Y43" s="98"/>
      <c r="Z43" s="98"/>
      <c r="AA43" s="98"/>
      <c r="AB43" s="98"/>
      <c r="AC43" s="98"/>
    </row>
    <row r="44" spans="1:29" ht="16.5" customHeight="1" x14ac:dyDescent="0.3">
      <c r="A44" s="96"/>
      <c r="B44" s="294" t="s">
        <v>142</v>
      </c>
      <c r="C44" s="295" t="s">
        <v>217</v>
      </c>
      <c r="D44" s="296" t="s">
        <v>218</v>
      </c>
      <c r="E44" s="297">
        <v>25</v>
      </c>
      <c r="F44" s="298">
        <v>6338</v>
      </c>
      <c r="G44" s="298">
        <f>IFERROR(INDEX(MRP!$F$3:$F$150,MATCH(F44,MRP!$D$3:$D$150,0)),0)</f>
        <v>0</v>
      </c>
      <c r="H44" s="299">
        <f>SUMPRODUCT((Production_Log!$F$3:$F$1063=F44)*((LEFT(Production_Log!$B$3:$B$1063,5)="Print")+(LEFT(Production_Log!$B$3:$B$1063,5)="PLINE"))*(ISERROR(SEARCH("(Varnish)",Production_Log!$D$3:$D$1063)))*Production_Log!$H$3:$H$1063)</f>
        <v>0</v>
      </c>
      <c r="I44" s="298">
        <f t="shared" si="2"/>
        <v>0</v>
      </c>
      <c r="J44" s="300" t="str">
        <f t="shared" si="3"/>
        <v>-</v>
      </c>
      <c r="K44" s="299"/>
      <c r="L44" s="301"/>
      <c r="M44" s="286"/>
      <c r="N44" s="286"/>
      <c r="O44" s="286"/>
      <c r="P44" s="286"/>
      <c r="Q44" s="286"/>
      <c r="R44" s="286"/>
      <c r="S44" s="286"/>
      <c r="T44" s="286"/>
      <c r="U44" s="286"/>
      <c r="V44" s="286"/>
      <c r="W44" s="96"/>
      <c r="X44" s="98"/>
      <c r="Y44" s="98"/>
      <c r="Z44" s="98"/>
      <c r="AA44" s="98"/>
      <c r="AB44" s="98"/>
      <c r="AC44" s="98"/>
    </row>
    <row r="45" spans="1:29" ht="16.5" customHeight="1" x14ac:dyDescent="0.3">
      <c r="A45" s="96"/>
      <c r="B45" s="294" t="s">
        <v>142</v>
      </c>
      <c r="C45" s="295" t="s">
        <v>219</v>
      </c>
      <c r="D45" s="296" t="s">
        <v>220</v>
      </c>
      <c r="E45" s="297">
        <v>25</v>
      </c>
      <c r="F45" s="298">
        <v>4227</v>
      </c>
      <c r="G45" s="298">
        <f>IFERROR(INDEX(MRP!$F$3:$F$150,MATCH(F45,MRP!$D$3:$D$150,0)),0)</f>
        <v>0</v>
      </c>
      <c r="H45" s="299">
        <f>SUMPRODUCT((Production_Log!$F$3:$F$1063=F45)*((LEFT(Production_Log!$B$3:$B$1063,5)="Print")+(LEFT(Production_Log!$B$3:$B$1063,5)="PLINE"))*(ISERROR(SEARCH("(Varnish)",Production_Log!$D$3:$D$1063)))*Production_Log!$H$3:$H$1063)</f>
        <v>0</v>
      </c>
      <c r="I45" s="298">
        <f t="shared" si="2"/>
        <v>0</v>
      </c>
      <c r="J45" s="300" t="str">
        <f t="shared" si="3"/>
        <v>-</v>
      </c>
      <c r="K45" s="299"/>
      <c r="L45" s="301"/>
      <c r="M45" s="286"/>
      <c r="N45" s="286"/>
      <c r="O45" s="286"/>
      <c r="P45" s="286"/>
      <c r="Q45" s="286"/>
      <c r="R45" s="286"/>
      <c r="S45" s="286"/>
      <c r="T45" s="286"/>
      <c r="U45" s="286"/>
      <c r="V45" s="286"/>
      <c r="W45" s="96"/>
      <c r="X45" s="98"/>
      <c r="Y45" s="98"/>
      <c r="Z45" s="98"/>
      <c r="AA45" s="98"/>
      <c r="AB45" s="98"/>
      <c r="AC45" s="98"/>
    </row>
    <row r="46" spans="1:29" ht="16.5" customHeight="1" x14ac:dyDescent="0.3">
      <c r="A46" s="96"/>
      <c r="B46" s="294" t="s">
        <v>142</v>
      </c>
      <c r="C46" s="295" t="s">
        <v>221</v>
      </c>
      <c r="D46" s="296" t="s">
        <v>222</v>
      </c>
      <c r="E46" s="297">
        <v>30</v>
      </c>
      <c r="F46" s="298">
        <v>6595</v>
      </c>
      <c r="G46" s="298">
        <f>IFERROR(INDEX(MRP!$F$3:$F$150,MATCH(F46,MRP!$D$3:$D$150,0)),0)</f>
        <v>0</v>
      </c>
      <c r="H46" s="299">
        <f>SUMPRODUCT((Production_Log!$F$3:$F$1063=F46)*((LEFT(Production_Log!$B$3:$B$1063,5)="Print")+(LEFT(Production_Log!$B$3:$B$1063,5)="PLINE"))*(ISERROR(SEARCH("(Varnish)",Production_Log!$D$3:$D$1063)))*Production_Log!$H$3:$H$1063)</f>
        <v>0</v>
      </c>
      <c r="I46" s="298">
        <f t="shared" si="2"/>
        <v>0</v>
      </c>
      <c r="J46" s="300" t="str">
        <f t="shared" si="3"/>
        <v>-</v>
      </c>
      <c r="K46" s="299"/>
      <c r="L46" s="301"/>
      <c r="M46" s="286"/>
      <c r="N46" s="286"/>
      <c r="O46" s="286"/>
      <c r="P46" s="286"/>
      <c r="Q46" s="286"/>
      <c r="R46" s="286"/>
      <c r="S46" s="286"/>
      <c r="T46" s="286"/>
      <c r="U46" s="286"/>
      <c r="V46" s="286"/>
      <c r="W46" s="96"/>
      <c r="X46" s="98"/>
      <c r="Y46" s="98"/>
      <c r="Z46" s="98"/>
      <c r="AA46" s="98"/>
      <c r="AB46" s="98"/>
      <c r="AC46" s="98"/>
    </row>
    <row r="47" spans="1:29" ht="16.5" customHeight="1" x14ac:dyDescent="0.3">
      <c r="A47" s="96"/>
      <c r="B47" s="294" t="s">
        <v>142</v>
      </c>
      <c r="C47" s="295" t="s">
        <v>223</v>
      </c>
      <c r="D47" s="296" t="s">
        <v>224</v>
      </c>
      <c r="E47" s="297">
        <v>30</v>
      </c>
      <c r="F47" s="298">
        <v>4050</v>
      </c>
      <c r="G47" s="298">
        <f>IFERROR(INDEX(MRP!$F$3:$F$150,MATCH(F47,MRP!$D$3:$D$150,0)),0)</f>
        <v>0</v>
      </c>
      <c r="H47" s="299">
        <f>SUMPRODUCT((Production_Log!$F$3:$F$1063=F47)*((LEFT(Production_Log!$B$3:$B$1063,5)="Print")+(LEFT(Production_Log!$B$3:$B$1063,5)="PLINE"))*(ISERROR(SEARCH("(Varnish)",Production_Log!$D$3:$D$1063)))*Production_Log!$H$3:$H$1063)</f>
        <v>0</v>
      </c>
      <c r="I47" s="298">
        <f t="shared" si="2"/>
        <v>0</v>
      </c>
      <c r="J47" s="300" t="str">
        <f t="shared" si="3"/>
        <v>-</v>
      </c>
      <c r="K47" s="299"/>
      <c r="L47" s="301"/>
      <c r="M47" s="286"/>
      <c r="N47" s="286"/>
      <c r="O47" s="286"/>
      <c r="P47" s="286"/>
      <c r="Q47" s="286"/>
      <c r="R47" s="286"/>
      <c r="S47" s="286"/>
      <c r="T47" s="286"/>
      <c r="U47" s="286"/>
      <c r="V47" s="286"/>
      <c r="W47" s="96"/>
      <c r="X47" s="98"/>
      <c r="Y47" s="98"/>
      <c r="Z47" s="98"/>
      <c r="AA47" s="98"/>
      <c r="AB47" s="98"/>
      <c r="AC47" s="98"/>
    </row>
    <row r="48" spans="1:29" ht="16.5" customHeight="1" x14ac:dyDescent="0.3">
      <c r="A48" s="96"/>
      <c r="B48" s="294" t="s">
        <v>142</v>
      </c>
      <c r="C48" s="295" t="s">
        <v>223</v>
      </c>
      <c r="D48" s="296" t="s">
        <v>225</v>
      </c>
      <c r="E48" s="297">
        <v>30</v>
      </c>
      <c r="F48" s="298">
        <v>6312</v>
      </c>
      <c r="G48" s="298">
        <f>IFERROR(INDEX(MRP!$F$3:$F$150,MATCH(F48,MRP!$D$3:$D$150,0)),0)</f>
        <v>0</v>
      </c>
      <c r="H48" s="299">
        <f>SUMPRODUCT((Production_Log!$F$3:$F$1063=F48)*((LEFT(Production_Log!$B$3:$B$1063,5)="Print")+(LEFT(Production_Log!$B$3:$B$1063,5)="PLINE"))*(ISERROR(SEARCH("(Varnish)",Production_Log!$D$3:$D$1063)))*Production_Log!$H$3:$H$1063)</f>
        <v>0</v>
      </c>
      <c r="I48" s="298">
        <f t="shared" si="2"/>
        <v>0</v>
      </c>
      <c r="J48" s="300" t="str">
        <f t="shared" si="3"/>
        <v>-</v>
      </c>
      <c r="K48" s="299"/>
      <c r="L48" s="301"/>
      <c r="M48" s="286"/>
      <c r="N48" s="286"/>
      <c r="O48" s="286"/>
      <c r="P48" s="286"/>
      <c r="Q48" s="286"/>
      <c r="R48" s="286"/>
      <c r="S48" s="286"/>
      <c r="T48" s="286"/>
      <c r="U48" s="286"/>
      <c r="V48" s="286"/>
      <c r="W48" s="96"/>
      <c r="X48" s="98"/>
      <c r="Y48" s="98"/>
      <c r="Z48" s="98"/>
      <c r="AA48" s="98"/>
      <c r="AB48" s="98"/>
      <c r="AC48" s="98"/>
    </row>
    <row r="49" spans="1:29" ht="16.5" customHeight="1" x14ac:dyDescent="0.3">
      <c r="A49" s="96"/>
      <c r="B49" s="294" t="s">
        <v>142</v>
      </c>
      <c r="C49" s="295" t="s">
        <v>226</v>
      </c>
      <c r="D49" s="296" t="s">
        <v>227</v>
      </c>
      <c r="E49" s="297">
        <v>30</v>
      </c>
      <c r="F49" s="298">
        <v>6416</v>
      </c>
      <c r="G49" s="298">
        <f>IFERROR(INDEX(MRP!$F$3:$F$150,MATCH(F49,MRP!$D$3:$D$150,0)),0)</f>
        <v>0</v>
      </c>
      <c r="H49" s="299">
        <f>SUMPRODUCT((Production_Log!$F$3:$F$1063=F49)*((LEFT(Production_Log!$B$3:$B$1063,5)="Print")+(LEFT(Production_Log!$B$3:$B$1063,5)="PLINE"))*(ISERROR(SEARCH("(Varnish)",Production_Log!$D$3:$D$1063)))*Production_Log!$H$3:$H$1063)</f>
        <v>0</v>
      </c>
      <c r="I49" s="298">
        <f t="shared" si="2"/>
        <v>0</v>
      </c>
      <c r="J49" s="300" t="str">
        <f t="shared" si="3"/>
        <v>-</v>
      </c>
      <c r="K49" s="299"/>
      <c r="L49" s="301"/>
      <c r="M49" s="286"/>
      <c r="N49" s="286"/>
      <c r="O49" s="286"/>
      <c r="P49" s="286"/>
      <c r="Q49" s="286"/>
      <c r="R49" s="286"/>
      <c r="S49" s="286"/>
      <c r="T49" s="286"/>
      <c r="U49" s="286"/>
      <c r="V49" s="286"/>
      <c r="W49" s="96"/>
      <c r="X49" s="98"/>
      <c r="Y49" s="98"/>
      <c r="Z49" s="98"/>
      <c r="AA49" s="98"/>
      <c r="AB49" s="98"/>
      <c r="AC49" s="98"/>
    </row>
    <row r="50" spans="1:29" ht="16.5" customHeight="1" x14ac:dyDescent="0.3">
      <c r="A50" s="96"/>
      <c r="B50" s="294" t="s">
        <v>142</v>
      </c>
      <c r="C50" s="295" t="s">
        <v>226</v>
      </c>
      <c r="D50" s="296" t="s">
        <v>228</v>
      </c>
      <c r="E50" s="297">
        <v>30</v>
      </c>
      <c r="F50" s="298">
        <v>6337</v>
      </c>
      <c r="G50" s="298">
        <f>IFERROR(INDEX(MRP!$F$3:$F$150,MATCH(F50,MRP!$D$3:$D$150,0)),0)</f>
        <v>0</v>
      </c>
      <c r="H50" s="299">
        <f>SUMPRODUCT((Production_Log!$F$3:$F$1063=F50)*((LEFT(Production_Log!$B$3:$B$1063,5)="Print")+(LEFT(Production_Log!$B$3:$B$1063,5)="PLINE"))*(ISERROR(SEARCH("(Varnish)",Production_Log!$D$3:$D$1063)))*Production_Log!$H$3:$H$1063)</f>
        <v>0</v>
      </c>
      <c r="I50" s="298">
        <f t="shared" si="2"/>
        <v>0</v>
      </c>
      <c r="J50" s="300" t="str">
        <f t="shared" si="3"/>
        <v>-</v>
      </c>
      <c r="K50" s="299"/>
      <c r="L50" s="301"/>
      <c r="M50" s="286"/>
      <c r="N50" s="286"/>
      <c r="O50" s="286"/>
      <c r="P50" s="286"/>
      <c r="Q50" s="286"/>
      <c r="R50" s="286"/>
      <c r="S50" s="286"/>
      <c r="T50" s="286"/>
      <c r="U50" s="286"/>
      <c r="V50" s="286"/>
      <c r="W50" s="96"/>
      <c r="X50" s="98"/>
      <c r="Y50" s="98"/>
      <c r="Z50" s="98"/>
      <c r="AA50" s="98"/>
      <c r="AB50" s="98"/>
      <c r="AC50" s="98"/>
    </row>
    <row r="51" spans="1:29" ht="16.5" customHeight="1" x14ac:dyDescent="0.3">
      <c r="A51" s="96"/>
      <c r="B51" s="294" t="s">
        <v>142</v>
      </c>
      <c r="C51" s="295" t="s">
        <v>175</v>
      </c>
      <c r="D51" s="296" t="s">
        <v>229</v>
      </c>
      <c r="E51" s="297">
        <v>30</v>
      </c>
      <c r="F51" s="298">
        <v>9002</v>
      </c>
      <c r="G51" s="298">
        <f>IFERROR(INDEX(MRP!$F$3:$F$150,MATCH(F51,MRP!$D$3:$D$150,0)),0)</f>
        <v>0</v>
      </c>
      <c r="H51" s="299">
        <f>SUMPRODUCT((Production_Log!$F$3:$F$1063=F51)*((LEFT(Production_Log!$B$3:$B$1063,5)="Print")+(LEFT(Production_Log!$B$3:$B$1063,5)="PLINE"))*(ISERROR(SEARCH("(Varnish)",Production_Log!$D$3:$D$1063)))*Production_Log!$H$3:$H$1063)</f>
        <v>0</v>
      </c>
      <c r="I51" s="298">
        <f t="shared" si="2"/>
        <v>0</v>
      </c>
      <c r="J51" s="300" t="str">
        <f t="shared" si="3"/>
        <v>-</v>
      </c>
      <c r="K51" s="299"/>
      <c r="L51" s="301"/>
      <c r="M51" s="286"/>
      <c r="N51" s="286"/>
      <c r="O51" s="286"/>
      <c r="P51" s="286"/>
      <c r="Q51" s="286"/>
      <c r="R51" s="286"/>
      <c r="S51" s="286"/>
      <c r="T51" s="286"/>
      <c r="U51" s="286"/>
      <c r="V51" s="286"/>
      <c r="W51" s="96"/>
      <c r="X51" s="98"/>
      <c r="Y51" s="98"/>
      <c r="Z51" s="98"/>
      <c r="AA51" s="98"/>
      <c r="AB51" s="98"/>
      <c r="AC51" s="98"/>
    </row>
    <row r="52" spans="1:29" ht="16.5" customHeight="1" x14ac:dyDescent="0.3">
      <c r="A52" s="96"/>
      <c r="B52" s="294" t="s">
        <v>142</v>
      </c>
      <c r="C52" s="295" t="s">
        <v>223</v>
      </c>
      <c r="D52" s="296" t="s">
        <v>230</v>
      </c>
      <c r="E52" s="297">
        <v>30</v>
      </c>
      <c r="F52" s="298">
        <v>2909</v>
      </c>
      <c r="G52" s="298">
        <f>IFERROR(INDEX(MRP!$F$3:$F$150,MATCH(F52,MRP!$D$3:$D$150,0)),0)</f>
        <v>0</v>
      </c>
      <c r="H52" s="299">
        <f>SUMPRODUCT((Production_Log!$F$3:$F$1063=F52)*((LEFT(Production_Log!$B$3:$B$1063,5)="Print")+(LEFT(Production_Log!$B$3:$B$1063,5)="PLINE"))*(ISERROR(SEARCH("(Varnish)",Production_Log!$D$3:$D$1063)))*Production_Log!$H$3:$H$1063)</f>
        <v>0</v>
      </c>
      <c r="I52" s="298">
        <f t="shared" si="2"/>
        <v>0</v>
      </c>
      <c r="J52" s="300" t="str">
        <f t="shared" si="3"/>
        <v>-</v>
      </c>
      <c r="K52" s="299"/>
      <c r="L52" s="301"/>
      <c r="M52" s="286"/>
      <c r="N52" s="286"/>
      <c r="O52" s="286"/>
      <c r="P52" s="286"/>
      <c r="Q52" s="286"/>
      <c r="R52" s="286"/>
      <c r="S52" s="286"/>
      <c r="T52" s="286"/>
      <c r="U52" s="286"/>
      <c r="V52" s="286"/>
      <c r="W52" s="96"/>
      <c r="X52" s="98"/>
      <c r="Y52" s="98"/>
      <c r="Z52" s="98"/>
      <c r="AA52" s="98"/>
      <c r="AB52" s="98"/>
      <c r="AC52" s="98"/>
    </row>
    <row r="53" spans="1:29" ht="16.5" customHeight="1" x14ac:dyDescent="0.3">
      <c r="A53" s="96"/>
      <c r="B53" s="294" t="s">
        <v>142</v>
      </c>
      <c r="C53" s="295" t="s">
        <v>231</v>
      </c>
      <c r="D53" s="296" t="s">
        <v>232</v>
      </c>
      <c r="E53" s="297">
        <v>30</v>
      </c>
      <c r="F53" s="298">
        <v>6151</v>
      </c>
      <c r="G53" s="298">
        <f>IFERROR(INDEX(MRP!$F$3:$F$150,MATCH(F53,MRP!$D$3:$D$150,0)),0)</f>
        <v>0</v>
      </c>
      <c r="H53" s="299">
        <f>SUMPRODUCT((Production_Log!$F$3:$F$1063=F53)*((LEFT(Production_Log!$B$3:$B$1063,5)="Print")+(LEFT(Production_Log!$B$3:$B$1063,5)="PLINE"))*(ISERROR(SEARCH("(Varnish)",Production_Log!$D$3:$D$1063)))*Production_Log!$H$3:$H$1063)</f>
        <v>0</v>
      </c>
      <c r="I53" s="298">
        <f t="shared" si="2"/>
        <v>0</v>
      </c>
      <c r="J53" s="300" t="str">
        <f t="shared" si="3"/>
        <v>-</v>
      </c>
      <c r="K53" s="299"/>
      <c r="L53" s="301"/>
      <c r="M53" s="305"/>
      <c r="N53" s="305"/>
      <c r="O53" s="305"/>
      <c r="P53" s="286"/>
      <c r="Q53" s="286"/>
      <c r="R53" s="286"/>
      <c r="S53" s="305"/>
      <c r="T53" s="293"/>
      <c r="U53" s="305"/>
      <c r="V53" s="287"/>
      <c r="W53" s="98"/>
      <c r="X53" s="98"/>
      <c r="Y53" s="98"/>
      <c r="Z53" s="98"/>
      <c r="AA53" s="98"/>
      <c r="AB53" s="98"/>
      <c r="AC53" s="98"/>
    </row>
    <row r="54" spans="1:29" ht="16.5" customHeight="1" x14ac:dyDescent="0.3">
      <c r="A54" s="96"/>
      <c r="B54" s="294" t="s">
        <v>142</v>
      </c>
      <c r="C54" s="295" t="s">
        <v>233</v>
      </c>
      <c r="D54" s="296" t="s">
        <v>234</v>
      </c>
      <c r="E54" s="297">
        <v>32</v>
      </c>
      <c r="F54" s="298">
        <v>5782</v>
      </c>
      <c r="G54" s="298">
        <f>IFERROR(INDEX(MRP!$F$3:$F$150,MATCH(F54,MRP!$D$3:$D$150,0)),0)</f>
        <v>0</v>
      </c>
      <c r="H54" s="299">
        <f>SUMPRODUCT((Production_Log!$F$3:$F$1063=F54)*((LEFT(Production_Log!$B$3:$B$1063,5)="Print")+(LEFT(Production_Log!$B$3:$B$1063,5)="PLINE"))*(ISERROR(SEARCH("(Varnish)",Production_Log!$D$3:$D$1063)))*Production_Log!$H$3:$H$1063)</f>
        <v>0</v>
      </c>
      <c r="I54" s="298">
        <f t="shared" si="2"/>
        <v>0</v>
      </c>
      <c r="J54" s="300" t="str">
        <f t="shared" si="3"/>
        <v>-</v>
      </c>
      <c r="K54" s="299"/>
      <c r="L54" s="301"/>
      <c r="M54" s="286"/>
      <c r="N54" s="286"/>
      <c r="O54" s="286"/>
      <c r="P54" s="286"/>
      <c r="Q54" s="286"/>
      <c r="R54" s="286"/>
      <c r="S54" s="286"/>
      <c r="T54" s="286"/>
      <c r="U54" s="286"/>
      <c r="V54" s="286"/>
      <c r="W54" s="96"/>
      <c r="X54" s="98"/>
      <c r="Y54" s="98"/>
      <c r="Z54" s="98"/>
      <c r="AA54" s="98"/>
      <c r="AB54" s="98"/>
      <c r="AC54" s="98"/>
    </row>
    <row r="55" spans="1:29" ht="16.5" customHeight="1" x14ac:dyDescent="0.3">
      <c r="A55" s="96"/>
      <c r="B55" s="294" t="s">
        <v>142</v>
      </c>
      <c r="C55" s="295" t="s">
        <v>235</v>
      </c>
      <c r="D55" s="296" t="s">
        <v>236</v>
      </c>
      <c r="E55" s="297">
        <v>35</v>
      </c>
      <c r="F55" s="298">
        <v>6530</v>
      </c>
      <c r="G55" s="298">
        <f>IFERROR(INDEX(MRP!$F$3:$F$150,MATCH(F55,MRP!$D$3:$D$150,0)),0)</f>
        <v>0</v>
      </c>
      <c r="H55" s="299">
        <f>SUMPRODUCT((Production_Log!$F$3:$F$1063=F55)*((LEFT(Production_Log!$B$3:$B$1063,5)="Print")+(LEFT(Production_Log!$B$3:$B$1063,5)="PLINE"))*(ISERROR(SEARCH("(Varnish)",Production_Log!$D$3:$D$1063)))*Production_Log!$H$3:$H$1063)</f>
        <v>0</v>
      </c>
      <c r="I55" s="298">
        <f t="shared" si="2"/>
        <v>0</v>
      </c>
      <c r="J55" s="300" t="str">
        <f t="shared" si="3"/>
        <v>-</v>
      </c>
      <c r="K55" s="299"/>
      <c r="L55" s="301"/>
      <c r="M55" s="286"/>
      <c r="N55" s="286"/>
      <c r="O55" s="286"/>
      <c r="P55" s="286"/>
      <c r="Q55" s="286"/>
      <c r="R55" s="286"/>
      <c r="S55" s="286"/>
      <c r="T55" s="286"/>
      <c r="U55" s="286"/>
      <c r="V55" s="286"/>
      <c r="W55" s="96"/>
      <c r="X55" s="98"/>
      <c r="Y55" s="98"/>
      <c r="Z55" s="98"/>
      <c r="AA55" s="98"/>
      <c r="AB55" s="98"/>
      <c r="AC55" s="98"/>
    </row>
    <row r="56" spans="1:29" ht="16.5" customHeight="1" x14ac:dyDescent="0.3">
      <c r="A56" s="96"/>
      <c r="B56" s="294" t="s">
        <v>142</v>
      </c>
      <c r="C56" s="295" t="s">
        <v>235</v>
      </c>
      <c r="D56" s="296" t="s">
        <v>237</v>
      </c>
      <c r="E56" s="297">
        <v>35</v>
      </c>
      <c r="F56" s="298">
        <v>6531</v>
      </c>
      <c r="G56" s="298">
        <f>IFERROR(INDEX(MRP!$F$3:$F$150,MATCH(F56,MRP!$D$3:$D$150,0)),0)</f>
        <v>0</v>
      </c>
      <c r="H56" s="299">
        <f>SUMPRODUCT((Production_Log!$F$3:$F$1063=F56)*((LEFT(Production_Log!$B$3:$B$1063,5)="Print")+(LEFT(Production_Log!$B$3:$B$1063,5)="PLINE"))*(ISERROR(SEARCH("(Varnish)",Production_Log!$D$3:$D$1063)))*Production_Log!$H$3:$H$1063)</f>
        <v>0</v>
      </c>
      <c r="I56" s="298">
        <f t="shared" si="2"/>
        <v>0</v>
      </c>
      <c r="J56" s="300" t="str">
        <f t="shared" si="3"/>
        <v>-</v>
      </c>
      <c r="K56" s="299"/>
      <c r="L56" s="301"/>
      <c r="M56" s="286"/>
      <c r="N56" s="286"/>
      <c r="O56" s="286"/>
      <c r="P56" s="286"/>
      <c r="Q56" s="286"/>
      <c r="R56" s="286"/>
      <c r="S56" s="286"/>
      <c r="T56" s="286"/>
      <c r="U56" s="286"/>
      <c r="V56" s="286"/>
      <c r="W56" s="96"/>
      <c r="X56" s="98"/>
      <c r="Y56" s="98"/>
      <c r="Z56" s="98"/>
      <c r="AA56" s="98"/>
      <c r="AB56" s="98"/>
      <c r="AC56" s="98"/>
    </row>
    <row r="57" spans="1:29" ht="16.5" customHeight="1" x14ac:dyDescent="0.3">
      <c r="A57" s="96"/>
      <c r="B57" s="294" t="s">
        <v>142</v>
      </c>
      <c r="C57" s="295" t="s">
        <v>235</v>
      </c>
      <c r="D57" s="296" t="s">
        <v>238</v>
      </c>
      <c r="E57" s="297">
        <v>35</v>
      </c>
      <c r="F57" s="298">
        <v>6020</v>
      </c>
      <c r="G57" s="298">
        <f>IFERROR(INDEX(MRP!$F$3:$F$150,MATCH(F57,MRP!$D$3:$D$150,0)),0)</f>
        <v>0</v>
      </c>
      <c r="H57" s="299">
        <f>SUMPRODUCT((Production_Log!$F$3:$F$1063=F57)*((LEFT(Production_Log!$B$3:$B$1063,5)="Print")+(LEFT(Production_Log!$B$3:$B$1063,5)="PLINE"))*(ISERROR(SEARCH("(Varnish)",Production_Log!$D$3:$D$1063)))*Production_Log!$H$3:$H$1063)</f>
        <v>0</v>
      </c>
      <c r="I57" s="298">
        <f t="shared" si="2"/>
        <v>0</v>
      </c>
      <c r="J57" s="300" t="str">
        <f t="shared" si="3"/>
        <v>-</v>
      </c>
      <c r="K57" s="299"/>
      <c r="L57" s="301"/>
      <c r="M57" s="286"/>
      <c r="N57" s="286"/>
      <c r="O57" s="286"/>
      <c r="P57" s="286"/>
      <c r="Q57" s="286"/>
      <c r="R57" s="286"/>
      <c r="S57" s="286"/>
      <c r="T57" s="286"/>
      <c r="U57" s="286"/>
      <c r="V57" s="286"/>
      <c r="W57" s="96"/>
      <c r="X57" s="98"/>
      <c r="Y57" s="98"/>
      <c r="Z57" s="98"/>
      <c r="AA57" s="98"/>
      <c r="AB57" s="98"/>
      <c r="AC57" s="98"/>
    </row>
    <row r="58" spans="1:29" ht="16.5" customHeight="1" x14ac:dyDescent="0.3">
      <c r="A58" s="96"/>
      <c r="B58" s="294" t="s">
        <v>142</v>
      </c>
      <c r="C58" s="295" t="s">
        <v>235</v>
      </c>
      <c r="D58" s="296" t="s">
        <v>239</v>
      </c>
      <c r="E58" s="297">
        <v>35</v>
      </c>
      <c r="F58" s="298">
        <v>6021</v>
      </c>
      <c r="G58" s="298">
        <f>IFERROR(INDEX(MRP!$F$3:$F$150,MATCH(F58,MRP!$D$3:$D$150,0)),0)</f>
        <v>0</v>
      </c>
      <c r="H58" s="299">
        <f>SUMPRODUCT((Production_Log!$F$3:$F$1063=F58)*((LEFT(Production_Log!$B$3:$B$1063,5)="Print")+(LEFT(Production_Log!$B$3:$B$1063,5)="PLINE"))*(ISERROR(SEARCH("(Varnish)",Production_Log!$D$3:$D$1063)))*Production_Log!$H$3:$H$1063)</f>
        <v>0</v>
      </c>
      <c r="I58" s="298">
        <f t="shared" si="2"/>
        <v>0</v>
      </c>
      <c r="J58" s="300" t="str">
        <f t="shared" si="3"/>
        <v>-</v>
      </c>
      <c r="K58" s="299"/>
      <c r="L58" s="301"/>
      <c r="M58" s="286"/>
      <c r="N58" s="286"/>
      <c r="O58" s="286"/>
      <c r="P58" s="286"/>
      <c r="Q58" s="286"/>
      <c r="R58" s="286"/>
      <c r="S58" s="286"/>
      <c r="T58" s="286"/>
      <c r="U58" s="286"/>
      <c r="V58" s="286"/>
      <c r="W58" s="96"/>
      <c r="X58" s="98"/>
      <c r="Y58" s="98"/>
      <c r="Z58" s="98"/>
      <c r="AA58" s="98"/>
      <c r="AB58" s="98"/>
      <c r="AC58" s="98"/>
    </row>
    <row r="59" spans="1:29" x14ac:dyDescent="0.3">
      <c r="B59" s="294" t="s">
        <v>149</v>
      </c>
      <c r="C59" s="295" t="s">
        <v>168</v>
      </c>
      <c r="D59" s="296" t="s">
        <v>240</v>
      </c>
      <c r="E59" s="297" t="s">
        <v>181</v>
      </c>
      <c r="F59" s="298">
        <v>8011</v>
      </c>
      <c r="G59" s="298">
        <f>IFERROR(INDEX(MRP!$F$3:$F$150,MATCH(F59,MRP!$D$3:$D$150,0)),0)</f>
        <v>0</v>
      </c>
      <c r="H59" s="299">
        <f>SUMPRODUCT((Production_Log!$F$3:$F$1063=F59)*Production_Log!$H$3:$H$1063)</f>
        <v>0</v>
      </c>
      <c r="I59" s="298">
        <f t="shared" si="2"/>
        <v>0</v>
      </c>
      <c r="J59" s="300" t="str">
        <f t="shared" si="3"/>
        <v>-</v>
      </c>
      <c r="K59" s="299"/>
      <c r="L59" s="301"/>
      <c r="M59" s="305"/>
      <c r="N59" s="305"/>
      <c r="O59" s="305"/>
      <c r="P59" s="305"/>
      <c r="Q59" s="305"/>
      <c r="R59" s="305"/>
      <c r="S59" s="305"/>
      <c r="T59" s="305"/>
      <c r="U59" s="305"/>
      <c r="V59" s="305"/>
    </row>
    <row r="60" spans="1:29" x14ac:dyDescent="0.3">
      <c r="B60" s="294" t="s">
        <v>149</v>
      </c>
      <c r="C60" s="295" t="s">
        <v>168</v>
      </c>
      <c r="D60" s="296" t="s">
        <v>241</v>
      </c>
      <c r="E60" s="297" t="s">
        <v>181</v>
      </c>
      <c r="F60" s="298">
        <v>8012</v>
      </c>
      <c r="G60" s="298">
        <f>IFERROR(INDEX(MRP!$F$3:$F$150,MATCH(F60,MRP!$D$3:$D$150,0)),0)</f>
        <v>0</v>
      </c>
      <c r="H60" s="299">
        <f>SUMPRODUCT((Production_Log!$F$3:$F$1063=F60)*Production_Log!$H$3:$H$1063)</f>
        <v>0</v>
      </c>
      <c r="I60" s="298">
        <f t="shared" si="2"/>
        <v>0</v>
      </c>
      <c r="J60" s="300" t="str">
        <f t="shared" si="3"/>
        <v>-</v>
      </c>
      <c r="K60" s="299"/>
      <c r="L60" s="301"/>
      <c r="M60" s="305"/>
      <c r="N60" s="305"/>
      <c r="O60" s="305"/>
      <c r="P60" s="305"/>
      <c r="Q60" s="305"/>
      <c r="R60" s="305"/>
      <c r="S60" s="305"/>
      <c r="T60" s="305"/>
      <c r="U60" s="305"/>
      <c r="V60" s="305"/>
    </row>
    <row r="61" spans="1:29" x14ac:dyDescent="0.3">
      <c r="B61" s="294" t="s">
        <v>149</v>
      </c>
      <c r="C61" s="295" t="s">
        <v>168</v>
      </c>
      <c r="D61" s="296" t="s">
        <v>242</v>
      </c>
      <c r="E61" s="297" t="s">
        <v>194</v>
      </c>
      <c r="F61" s="298">
        <v>8007</v>
      </c>
      <c r="G61" s="298">
        <f>IFERROR(INDEX(MRP!$F$3:$F$150,MATCH(F61,MRP!$D$3:$D$150,0)),0)</f>
        <v>0</v>
      </c>
      <c r="H61" s="299">
        <f>SUMPRODUCT((Production_Log!$F$3:$F$1063=F61)*Production_Log!$H$3:$H$1063)</f>
        <v>0</v>
      </c>
      <c r="I61" s="298">
        <f t="shared" si="2"/>
        <v>0</v>
      </c>
      <c r="J61" s="300" t="str">
        <f t="shared" si="3"/>
        <v>-</v>
      </c>
      <c r="K61" s="299"/>
      <c r="L61" s="301"/>
    </row>
    <row r="62" spans="1:29" x14ac:dyDescent="0.3">
      <c r="B62" s="294" t="s">
        <v>149</v>
      </c>
      <c r="C62" s="295" t="s">
        <v>168</v>
      </c>
      <c r="D62" s="296" t="s">
        <v>243</v>
      </c>
      <c r="E62" s="297" t="s">
        <v>194</v>
      </c>
      <c r="F62" s="298">
        <v>8014</v>
      </c>
      <c r="G62" s="298">
        <f>IFERROR(INDEX(MRP!$F$3:$F$150,MATCH(F62,MRP!$D$3:$D$150,0)),0)</f>
        <v>0</v>
      </c>
      <c r="H62" s="299">
        <f>SUMPRODUCT((Production_Log!$F$3:$F$1063=F62)*Production_Log!$H$3:$H$1063)</f>
        <v>0</v>
      </c>
      <c r="I62" s="298">
        <f t="shared" si="2"/>
        <v>0</v>
      </c>
      <c r="J62" s="300" t="str">
        <f t="shared" si="3"/>
        <v>-</v>
      </c>
      <c r="K62" s="299"/>
      <c r="L62" s="301"/>
    </row>
    <row r="63" spans="1:29" ht="16.5" customHeight="1" x14ac:dyDescent="0.3">
      <c r="A63" s="96"/>
      <c r="B63" s="294" t="s">
        <v>149</v>
      </c>
      <c r="C63" s="295" t="s">
        <v>168</v>
      </c>
      <c r="D63" s="296" t="s">
        <v>244</v>
      </c>
      <c r="E63" s="297" t="s">
        <v>194</v>
      </c>
      <c r="F63" s="298">
        <v>8016</v>
      </c>
      <c r="G63" s="298">
        <f>IFERROR(INDEX(MRP!$F$3:$F$150,MATCH(F63,MRP!$D$3:$D$150,0)),0)</f>
        <v>0</v>
      </c>
      <c r="H63" s="299">
        <f>SUMPRODUCT((Production_Log!$F$3:$F$1063=F63)*Production_Log!$H$3:$H$1063)</f>
        <v>0</v>
      </c>
      <c r="I63" s="298">
        <f t="shared" si="2"/>
        <v>0</v>
      </c>
      <c r="J63" s="300" t="str">
        <f t="shared" si="3"/>
        <v>-</v>
      </c>
      <c r="K63" s="299"/>
      <c r="L63" s="301"/>
      <c r="M63" s="96"/>
      <c r="N63" s="96"/>
      <c r="O63" s="96"/>
      <c r="P63" s="96"/>
      <c r="Q63" s="96"/>
      <c r="R63" s="98"/>
      <c r="T63" s="113"/>
      <c r="V63" s="98"/>
      <c r="W63" s="98"/>
      <c r="X63" s="98"/>
      <c r="Y63" s="98"/>
      <c r="Z63" s="98"/>
      <c r="AA63" s="98"/>
      <c r="AB63" s="98"/>
      <c r="AC63" s="98"/>
    </row>
    <row r="64" spans="1:29" ht="16.5" customHeight="1" x14ac:dyDescent="0.3">
      <c r="A64" s="96"/>
      <c r="B64" s="294" t="s">
        <v>149</v>
      </c>
      <c r="C64" s="295" t="s">
        <v>168</v>
      </c>
      <c r="D64" s="296" t="s">
        <v>245</v>
      </c>
      <c r="E64" s="297" t="s">
        <v>194</v>
      </c>
      <c r="F64" s="298">
        <v>8008</v>
      </c>
      <c r="G64" s="298">
        <f>IFERROR(INDEX(MRP!$F$3:$F$150,MATCH(F64,MRP!$D$3:$D$150,0)),0)</f>
        <v>0</v>
      </c>
      <c r="H64" s="299">
        <f>SUMPRODUCT((Production_Log!$F$3:$F$1063=F64)*Production_Log!$H$3:$H$1063)</f>
        <v>0</v>
      </c>
      <c r="I64" s="298">
        <f t="shared" si="2"/>
        <v>0</v>
      </c>
      <c r="J64" s="300" t="str">
        <f t="shared" si="3"/>
        <v>-</v>
      </c>
      <c r="K64" s="299"/>
      <c r="L64" s="301"/>
      <c r="M64" s="96"/>
      <c r="N64" s="96"/>
      <c r="O64" s="96"/>
      <c r="P64" s="96"/>
      <c r="Q64" s="96"/>
      <c r="R64" s="98"/>
      <c r="T64" s="113"/>
      <c r="V64" s="98"/>
      <c r="W64" s="98"/>
      <c r="X64" s="98"/>
      <c r="Y64" s="98"/>
      <c r="Z64" s="98"/>
      <c r="AA64" s="98"/>
      <c r="AB64" s="98"/>
      <c r="AC64" s="98"/>
    </row>
    <row r="65" spans="2:12" x14ac:dyDescent="0.3">
      <c r="B65" s="294" t="s">
        <v>149</v>
      </c>
      <c r="C65" s="295" t="s">
        <v>175</v>
      </c>
      <c r="D65" s="296" t="s">
        <v>246</v>
      </c>
      <c r="E65" s="297" t="s">
        <v>247</v>
      </c>
      <c r="F65" s="298">
        <v>8009</v>
      </c>
      <c r="G65" s="298">
        <f>IFERROR(INDEX(MRP!$F$3:$F$150,MATCH(F65,MRP!$D$3:$D$150,0)),0)</f>
        <v>0</v>
      </c>
      <c r="H65" s="299">
        <f>SUMPRODUCT((Production_Log!$F$3:$F$1063=F65)*Production_Log!$H$3:$H$1063)</f>
        <v>0</v>
      </c>
      <c r="I65" s="298">
        <f t="shared" si="2"/>
        <v>0</v>
      </c>
      <c r="J65" s="300" t="str">
        <f t="shared" si="3"/>
        <v>-</v>
      </c>
      <c r="K65" s="299"/>
      <c r="L65" s="301"/>
    </row>
    <row r="66" spans="2:12" x14ac:dyDescent="0.3">
      <c r="B66" s="294" t="s">
        <v>149</v>
      </c>
      <c r="C66" s="295" t="s">
        <v>175</v>
      </c>
      <c r="D66" s="296" t="s">
        <v>248</v>
      </c>
      <c r="E66" s="297" t="s">
        <v>249</v>
      </c>
      <c r="F66" s="298">
        <v>8013</v>
      </c>
      <c r="G66" s="298">
        <f>IFERROR(INDEX(MRP!$F$3:$F$150,MATCH(F66,MRP!$D$3:$D$150,0)),0)</f>
        <v>0</v>
      </c>
      <c r="H66" s="299">
        <f>SUMPRODUCT((Production_Log!$F$3:$F$1063=F66)*Production_Log!$H$3:$H$1063)</f>
        <v>0</v>
      </c>
      <c r="I66" s="298">
        <f t="shared" si="2"/>
        <v>0</v>
      </c>
      <c r="J66" s="300" t="str">
        <f t="shared" si="3"/>
        <v>-</v>
      </c>
      <c r="K66" s="299"/>
      <c r="L66" s="301"/>
    </row>
    <row r="67" spans="2:12" ht="15" customHeight="1" x14ac:dyDescent="0.3">
      <c r="B67" s="321"/>
      <c r="C67" s="321"/>
      <c r="D67" s="321"/>
      <c r="E67" s="321"/>
      <c r="F67" s="321"/>
      <c r="G67" s="321"/>
      <c r="H67" s="321"/>
      <c r="I67" s="321"/>
      <c r="J67" s="321"/>
      <c r="K67" s="321"/>
      <c r="L67" s="321"/>
    </row>
    <row r="68" spans="2:12" ht="15" customHeight="1" x14ac:dyDescent="0.3">
      <c r="B68" s="321"/>
      <c r="C68" s="321"/>
      <c r="D68" s="321"/>
      <c r="E68" s="321"/>
      <c r="F68" s="321"/>
      <c r="G68" s="321"/>
      <c r="H68" s="321"/>
      <c r="I68" s="321"/>
      <c r="J68" s="321"/>
      <c r="K68" s="321"/>
      <c r="L68" s="321"/>
    </row>
    <row r="69" spans="2:12" ht="15" customHeight="1" x14ac:dyDescent="0.3">
      <c r="B69" s="321"/>
      <c r="C69" s="321"/>
      <c r="D69" s="321"/>
      <c r="E69" s="321"/>
      <c r="F69" s="321"/>
      <c r="G69" s="321"/>
      <c r="H69" s="321"/>
      <c r="I69" s="321"/>
      <c r="J69" s="321"/>
      <c r="K69" s="321"/>
      <c r="L69" s="321"/>
    </row>
    <row r="70" spans="2:12" ht="15" customHeight="1" x14ac:dyDescent="0.3">
      <c r="B70" s="321"/>
      <c r="C70" s="321"/>
      <c r="D70" s="321"/>
      <c r="E70" s="321"/>
      <c r="F70" s="321"/>
      <c r="G70" s="321"/>
      <c r="H70" s="321"/>
      <c r="I70" s="321"/>
      <c r="J70" s="321"/>
      <c r="K70" s="321"/>
      <c r="L70" s="321"/>
    </row>
    <row r="71" spans="2:12" x14ac:dyDescent="0.3">
      <c r="B71" s="321"/>
      <c r="C71" s="321"/>
      <c r="D71" s="321"/>
      <c r="E71" s="321"/>
      <c r="F71" s="321"/>
      <c r="G71" s="321"/>
      <c r="H71" s="321"/>
      <c r="I71" s="321"/>
      <c r="J71" s="321"/>
      <c r="K71" s="321"/>
      <c r="L71" s="321"/>
    </row>
    <row r="72" spans="2:12" x14ac:dyDescent="0.3">
      <c r="B72" s="321"/>
      <c r="C72" s="321"/>
      <c r="D72" s="321"/>
      <c r="E72" s="321"/>
      <c r="F72" s="321"/>
      <c r="G72" s="321"/>
      <c r="H72" s="321"/>
      <c r="I72" s="321"/>
      <c r="J72" s="321"/>
      <c r="K72" s="321"/>
      <c r="L72" s="321"/>
    </row>
    <row r="73" spans="2:12" x14ac:dyDescent="0.3">
      <c r="B73" s="321"/>
      <c r="C73" s="321"/>
      <c r="D73" s="321"/>
      <c r="E73" s="321"/>
      <c r="F73" s="321"/>
      <c r="G73" s="321"/>
      <c r="H73" s="321"/>
      <c r="I73" s="321"/>
      <c r="J73" s="321"/>
      <c r="K73" s="321"/>
      <c r="L73" s="321"/>
    </row>
    <row r="74" spans="2:12" x14ac:dyDescent="0.3">
      <c r="B74" s="321"/>
      <c r="C74" s="321"/>
      <c r="D74" s="321"/>
      <c r="E74" s="321"/>
      <c r="F74" s="321"/>
      <c r="G74" s="321"/>
      <c r="H74" s="321"/>
      <c r="I74" s="321"/>
      <c r="J74" s="321"/>
      <c r="K74" s="321"/>
      <c r="L74" s="321"/>
    </row>
    <row r="75" spans="2:12" x14ac:dyDescent="0.3">
      <c r="B75" s="321"/>
      <c r="C75" s="321"/>
      <c r="D75" s="321"/>
      <c r="E75" s="321"/>
      <c r="F75" s="321"/>
      <c r="G75" s="321"/>
      <c r="H75" s="321"/>
      <c r="I75" s="321"/>
      <c r="J75" s="321"/>
      <c r="K75" s="321"/>
      <c r="L75" s="321"/>
    </row>
    <row r="76" spans="2:12" x14ac:dyDescent="0.3">
      <c r="B76" s="321"/>
      <c r="C76" s="321"/>
      <c r="D76" s="321"/>
      <c r="E76" s="321"/>
      <c r="F76" s="321"/>
      <c r="G76" s="321"/>
      <c r="H76" s="321"/>
      <c r="I76" s="321"/>
      <c r="J76" s="321"/>
      <c r="K76" s="321"/>
      <c r="L76" s="321"/>
    </row>
    <row r="77" spans="2:12" x14ac:dyDescent="0.3">
      <c r="B77" s="321"/>
      <c r="C77" s="321"/>
      <c r="D77" s="321"/>
      <c r="E77" s="321"/>
      <c r="F77" s="321"/>
      <c r="G77" s="321"/>
      <c r="H77" s="321"/>
      <c r="I77" s="321"/>
      <c r="J77" s="321"/>
      <c r="K77" s="321"/>
      <c r="L77" s="321"/>
    </row>
    <row r="78" spans="2:12" x14ac:dyDescent="0.3">
      <c r="B78" s="321"/>
      <c r="C78" s="321"/>
      <c r="D78" s="321"/>
      <c r="E78" s="321"/>
      <c r="F78" s="321"/>
      <c r="G78" s="321"/>
      <c r="H78" s="321"/>
      <c r="I78" s="321"/>
      <c r="J78" s="321"/>
      <c r="K78" s="321"/>
      <c r="L78" s="321"/>
    </row>
    <row r="79" spans="2:12" x14ac:dyDescent="0.3">
      <c r="B79" s="321"/>
      <c r="C79" s="321"/>
      <c r="D79" s="321"/>
      <c r="E79" s="321"/>
      <c r="F79" s="321"/>
      <c r="G79" s="321"/>
      <c r="H79" s="321"/>
      <c r="I79" s="321"/>
      <c r="J79" s="321"/>
      <c r="K79" s="321"/>
      <c r="L79" s="321"/>
    </row>
    <row r="80" spans="2:12" x14ac:dyDescent="0.3">
      <c r="B80" s="321"/>
      <c r="C80" s="321"/>
      <c r="D80" s="321"/>
      <c r="E80" s="321"/>
      <c r="F80" s="321"/>
      <c r="G80" s="321"/>
      <c r="H80" s="321"/>
      <c r="I80" s="321"/>
      <c r="J80" s="321"/>
      <c r="K80" s="321"/>
      <c r="L80" s="321"/>
    </row>
    <row r="81" spans="2:12" x14ac:dyDescent="0.3">
      <c r="B81" s="321"/>
      <c r="C81" s="321"/>
      <c r="D81" s="321"/>
      <c r="E81" s="321"/>
      <c r="F81" s="321"/>
      <c r="G81" s="321"/>
      <c r="H81" s="321"/>
      <c r="I81" s="321"/>
      <c r="J81" s="321"/>
      <c r="K81" s="321"/>
      <c r="L81" s="321"/>
    </row>
    <row r="82" spans="2:12" x14ac:dyDescent="0.3">
      <c r="B82" s="321"/>
      <c r="C82" s="321"/>
      <c r="D82" s="321"/>
      <c r="E82" s="321"/>
      <c r="F82" s="321"/>
      <c r="G82" s="321"/>
      <c r="H82" s="321"/>
      <c r="I82" s="321"/>
      <c r="J82" s="321"/>
      <c r="K82" s="321"/>
      <c r="L82" s="321"/>
    </row>
    <row r="83" spans="2:12" x14ac:dyDescent="0.3">
      <c r="B83" s="321"/>
      <c r="C83" s="321"/>
      <c r="D83" s="321"/>
      <c r="E83" s="321"/>
      <c r="F83" s="321"/>
      <c r="G83" s="321"/>
      <c r="H83" s="321"/>
      <c r="I83" s="321"/>
      <c r="J83" s="321"/>
      <c r="K83" s="321"/>
      <c r="L83" s="321"/>
    </row>
    <row r="84" spans="2:12" x14ac:dyDescent="0.3">
      <c r="B84" s="321"/>
      <c r="C84" s="321"/>
      <c r="D84" s="321"/>
      <c r="E84" s="321"/>
      <c r="F84" s="321"/>
      <c r="G84" s="321"/>
      <c r="H84" s="321"/>
      <c r="I84" s="321"/>
      <c r="J84" s="321"/>
      <c r="K84" s="321"/>
      <c r="L84" s="321"/>
    </row>
    <row r="85" spans="2:12" x14ac:dyDescent="0.3">
      <c r="B85" s="321"/>
      <c r="C85" s="321"/>
      <c r="D85" s="321"/>
      <c r="E85" s="321"/>
      <c r="F85" s="321"/>
      <c r="G85" s="321"/>
      <c r="H85" s="321"/>
      <c r="I85" s="321"/>
      <c r="J85" s="321"/>
      <c r="K85" s="321"/>
      <c r="L85" s="321"/>
    </row>
    <row r="86" spans="2:12" x14ac:dyDescent="0.3">
      <c r="B86" s="321"/>
      <c r="C86" s="321"/>
      <c r="D86" s="321"/>
      <c r="E86" s="321"/>
      <c r="F86" s="321"/>
      <c r="G86" s="321"/>
      <c r="H86" s="321"/>
      <c r="I86" s="321"/>
      <c r="J86" s="321"/>
      <c r="K86" s="321"/>
      <c r="L86" s="321"/>
    </row>
    <row r="87" spans="2:12" x14ac:dyDescent="0.3">
      <c r="B87" s="321"/>
      <c r="C87" s="321"/>
      <c r="D87" s="321"/>
      <c r="E87" s="321"/>
      <c r="F87" s="321"/>
      <c r="G87" s="321"/>
      <c r="H87" s="321"/>
      <c r="I87" s="321"/>
      <c r="J87" s="321"/>
      <c r="K87" s="321"/>
      <c r="L87" s="321"/>
    </row>
    <row r="88" spans="2:12" x14ac:dyDescent="0.3">
      <c r="B88" s="321"/>
      <c r="C88" s="321"/>
      <c r="D88" s="321"/>
      <c r="E88" s="321"/>
      <c r="F88" s="321"/>
      <c r="G88" s="321"/>
      <c r="H88" s="321"/>
      <c r="I88" s="321"/>
      <c r="J88" s="321"/>
      <c r="K88" s="321"/>
      <c r="L88" s="321"/>
    </row>
    <row r="89" spans="2:12" x14ac:dyDescent="0.3">
      <c r="B89" s="321"/>
      <c r="C89" s="321"/>
      <c r="D89" s="321"/>
      <c r="E89" s="321"/>
      <c r="F89" s="321"/>
      <c r="G89" s="321"/>
      <c r="H89" s="321"/>
      <c r="I89" s="321"/>
      <c r="J89" s="321"/>
      <c r="K89" s="321"/>
      <c r="L89" s="321"/>
    </row>
    <row r="90" spans="2:12" x14ac:dyDescent="0.3">
      <c r="B90" s="321"/>
      <c r="C90" s="321"/>
      <c r="D90" s="321"/>
      <c r="E90" s="321"/>
      <c r="F90" s="321"/>
      <c r="G90" s="321"/>
      <c r="H90" s="321"/>
      <c r="I90" s="321"/>
      <c r="J90" s="321"/>
      <c r="K90" s="321"/>
      <c r="L90" s="321"/>
    </row>
    <row r="91" spans="2:12" x14ac:dyDescent="0.3">
      <c r="B91" s="321"/>
      <c r="C91" s="321"/>
      <c r="D91" s="321"/>
      <c r="E91" s="321"/>
      <c r="F91" s="321"/>
      <c r="G91" s="321"/>
      <c r="H91" s="321"/>
      <c r="I91" s="321"/>
      <c r="J91" s="321"/>
      <c r="K91" s="321"/>
      <c r="L91" s="321"/>
    </row>
    <row r="92" spans="2:12" x14ac:dyDescent="0.3">
      <c r="B92" s="321"/>
      <c r="C92" s="321"/>
      <c r="D92" s="321"/>
      <c r="E92" s="321"/>
      <c r="F92" s="321"/>
      <c r="G92" s="321"/>
      <c r="H92" s="321"/>
      <c r="I92" s="321"/>
      <c r="J92" s="321"/>
      <c r="K92" s="321"/>
      <c r="L92" s="321"/>
    </row>
    <row r="93" spans="2:12" x14ac:dyDescent="0.3">
      <c r="B93" s="321"/>
      <c r="C93" s="321"/>
      <c r="D93" s="321"/>
      <c r="E93" s="321"/>
      <c r="F93" s="321"/>
      <c r="G93" s="321"/>
      <c r="H93" s="321"/>
      <c r="I93" s="321"/>
      <c r="J93" s="321"/>
      <c r="K93" s="321"/>
      <c r="L93" s="321"/>
    </row>
    <row r="94" spans="2:12" x14ac:dyDescent="0.3">
      <c r="B94" s="321"/>
      <c r="C94" s="321"/>
      <c r="D94" s="321"/>
      <c r="E94" s="321"/>
      <c r="F94" s="321"/>
      <c r="G94" s="321"/>
      <c r="H94" s="321"/>
      <c r="I94" s="321"/>
      <c r="J94" s="321"/>
      <c r="K94" s="321"/>
      <c r="L94" s="321"/>
    </row>
    <row r="95" spans="2:12" x14ac:dyDescent="0.3">
      <c r="B95" s="321"/>
      <c r="C95" s="321"/>
      <c r="D95" s="321"/>
      <c r="E95" s="321"/>
      <c r="F95" s="321"/>
      <c r="G95" s="321"/>
      <c r="H95" s="321"/>
      <c r="I95" s="321"/>
      <c r="J95" s="321"/>
      <c r="K95" s="321"/>
      <c r="L95" s="321"/>
    </row>
    <row r="96" spans="2:12" x14ac:dyDescent="0.3">
      <c r="B96" s="321"/>
      <c r="C96" s="321"/>
      <c r="D96" s="321"/>
      <c r="E96" s="321"/>
      <c r="F96" s="321"/>
      <c r="G96" s="321"/>
      <c r="H96" s="321"/>
      <c r="I96" s="321"/>
      <c r="J96" s="321"/>
      <c r="K96" s="321"/>
      <c r="L96" s="321"/>
    </row>
    <row r="97" spans="2:12" x14ac:dyDescent="0.3">
      <c r="B97" s="321"/>
      <c r="C97" s="321"/>
      <c r="D97" s="321"/>
      <c r="E97" s="321"/>
      <c r="F97" s="321"/>
      <c r="G97" s="321"/>
      <c r="H97" s="321"/>
      <c r="I97" s="321"/>
      <c r="J97" s="321"/>
      <c r="K97" s="321"/>
      <c r="L97" s="321"/>
    </row>
    <row r="98" spans="2:12" x14ac:dyDescent="0.3">
      <c r="B98" s="321"/>
      <c r="C98" s="321"/>
      <c r="D98" s="321"/>
      <c r="E98" s="321"/>
      <c r="F98" s="321"/>
      <c r="G98" s="321"/>
      <c r="H98" s="321"/>
      <c r="I98" s="321"/>
      <c r="J98" s="321"/>
      <c r="K98" s="321"/>
      <c r="L98" s="321"/>
    </row>
    <row r="99" spans="2:12" x14ac:dyDescent="0.3">
      <c r="B99" s="321"/>
      <c r="C99" s="321"/>
      <c r="D99" s="321"/>
      <c r="E99" s="321"/>
      <c r="F99" s="321"/>
      <c r="G99" s="321"/>
      <c r="H99" s="321"/>
      <c r="I99" s="321"/>
      <c r="J99" s="321"/>
      <c r="K99" s="321"/>
      <c r="L99" s="321"/>
    </row>
    <row r="100" spans="2:12" x14ac:dyDescent="0.3">
      <c r="B100" s="321"/>
      <c r="C100" s="321"/>
      <c r="D100" s="321"/>
      <c r="E100" s="321"/>
      <c r="F100" s="321"/>
      <c r="G100" s="321"/>
      <c r="H100" s="321"/>
      <c r="I100" s="321"/>
      <c r="J100" s="321"/>
      <c r="K100" s="321"/>
      <c r="L100" s="321"/>
    </row>
    <row r="101" spans="2:12" x14ac:dyDescent="0.3">
      <c r="B101" s="321"/>
      <c r="C101" s="321"/>
      <c r="D101" s="321"/>
      <c r="E101" s="321"/>
      <c r="F101" s="321"/>
      <c r="G101" s="321"/>
      <c r="H101" s="321"/>
      <c r="I101" s="321"/>
      <c r="J101" s="321"/>
      <c r="K101" s="321"/>
      <c r="L101" s="321"/>
    </row>
    <row r="102" spans="2:12" x14ac:dyDescent="0.3">
      <c r="B102" s="321"/>
      <c r="C102" s="321"/>
      <c r="D102" s="321"/>
      <c r="E102" s="321"/>
      <c r="F102" s="321"/>
      <c r="G102" s="321"/>
      <c r="H102" s="321"/>
      <c r="I102" s="321"/>
      <c r="J102" s="321"/>
      <c r="K102" s="321"/>
      <c r="L102" s="321"/>
    </row>
    <row r="103" spans="2:12" x14ac:dyDescent="0.3">
      <c r="B103" s="321"/>
      <c r="C103" s="321"/>
      <c r="D103" s="321"/>
      <c r="E103" s="321"/>
      <c r="F103" s="321"/>
      <c r="G103" s="321"/>
      <c r="H103" s="321"/>
      <c r="I103" s="321"/>
      <c r="J103" s="321"/>
      <c r="K103" s="321"/>
      <c r="L103" s="321"/>
    </row>
    <row r="104" spans="2:12" x14ac:dyDescent="0.3">
      <c r="B104" s="321"/>
      <c r="C104" s="321"/>
      <c r="D104" s="321"/>
      <c r="E104" s="321"/>
      <c r="F104" s="321"/>
      <c r="G104" s="321"/>
      <c r="H104" s="321"/>
      <c r="I104" s="321"/>
      <c r="J104" s="321"/>
      <c r="K104" s="321"/>
      <c r="L104" s="321"/>
    </row>
    <row r="105" spans="2:12" x14ac:dyDescent="0.3">
      <c r="B105" s="321"/>
      <c r="C105" s="321"/>
      <c r="D105" s="321"/>
      <c r="E105" s="321"/>
      <c r="F105" s="321"/>
      <c r="G105" s="321"/>
      <c r="H105" s="321"/>
      <c r="I105" s="321"/>
      <c r="J105" s="321"/>
      <c r="K105" s="321"/>
      <c r="L105" s="321"/>
    </row>
    <row r="106" spans="2:12" x14ac:dyDescent="0.3">
      <c r="B106" s="321"/>
      <c r="C106" s="321"/>
      <c r="D106" s="321"/>
      <c r="E106" s="321"/>
      <c r="F106" s="321"/>
      <c r="G106" s="321"/>
      <c r="H106" s="321"/>
      <c r="I106" s="321"/>
      <c r="J106" s="321"/>
      <c r="K106" s="321"/>
      <c r="L106" s="321"/>
    </row>
    <row r="107" spans="2:12" x14ac:dyDescent="0.3">
      <c r="B107" s="321"/>
      <c r="C107" s="321"/>
      <c r="D107" s="321"/>
      <c r="E107" s="321"/>
      <c r="F107" s="321"/>
      <c r="G107" s="321"/>
      <c r="H107" s="321"/>
      <c r="I107" s="321"/>
      <c r="J107" s="321"/>
      <c r="K107" s="321"/>
      <c r="L107" s="321"/>
    </row>
    <row r="108" spans="2:12" x14ac:dyDescent="0.3">
      <c r="B108" s="321"/>
      <c r="C108" s="321"/>
      <c r="D108" s="321"/>
      <c r="E108" s="321"/>
      <c r="F108" s="321"/>
      <c r="G108" s="321"/>
      <c r="H108" s="321"/>
      <c r="I108" s="321"/>
      <c r="J108" s="321"/>
      <c r="K108" s="321"/>
      <c r="L108" s="321"/>
    </row>
    <row r="109" spans="2:12" x14ac:dyDescent="0.3">
      <c r="B109" s="321"/>
      <c r="C109" s="321"/>
      <c r="D109" s="321"/>
      <c r="E109" s="321"/>
      <c r="F109" s="321"/>
      <c r="G109" s="321"/>
      <c r="H109" s="321"/>
      <c r="I109" s="321"/>
      <c r="J109" s="321"/>
      <c r="K109" s="321"/>
      <c r="L109" s="321"/>
    </row>
    <row r="110" spans="2:12" x14ac:dyDescent="0.3">
      <c r="B110" s="321"/>
      <c r="C110" s="321"/>
      <c r="D110" s="321"/>
      <c r="E110" s="321"/>
      <c r="F110" s="321"/>
      <c r="G110" s="321"/>
      <c r="H110" s="321"/>
      <c r="I110" s="321"/>
      <c r="J110" s="321"/>
      <c r="K110" s="321"/>
      <c r="L110" s="321"/>
    </row>
    <row r="111" spans="2:12" x14ac:dyDescent="0.3">
      <c r="B111" s="321"/>
      <c r="C111" s="321"/>
      <c r="D111" s="321"/>
      <c r="E111" s="321"/>
      <c r="F111" s="321"/>
      <c r="G111" s="321"/>
      <c r="H111" s="321"/>
      <c r="I111" s="321"/>
      <c r="J111" s="321"/>
      <c r="K111" s="321"/>
      <c r="L111" s="321"/>
    </row>
    <row r="112" spans="2:12" x14ac:dyDescent="0.3">
      <c r="B112" s="321"/>
      <c r="C112" s="321"/>
      <c r="D112" s="321"/>
      <c r="E112" s="321"/>
      <c r="F112" s="321"/>
      <c r="G112" s="321"/>
      <c r="H112" s="321"/>
      <c r="I112" s="321"/>
      <c r="J112" s="321"/>
      <c r="K112" s="321"/>
      <c r="L112" s="321"/>
    </row>
    <row r="113" spans="2:12" x14ac:dyDescent="0.3">
      <c r="B113" s="321"/>
      <c r="C113" s="321"/>
      <c r="D113" s="321"/>
      <c r="E113" s="321"/>
      <c r="F113" s="321"/>
      <c r="G113" s="321"/>
      <c r="H113" s="321"/>
      <c r="I113" s="321"/>
      <c r="J113" s="321"/>
      <c r="K113" s="321"/>
      <c r="L113" s="321"/>
    </row>
    <row r="114" spans="2:12" x14ac:dyDescent="0.3">
      <c r="B114" s="321"/>
      <c r="C114" s="321"/>
      <c r="D114" s="321"/>
      <c r="E114" s="321"/>
      <c r="F114" s="321"/>
      <c r="G114" s="321"/>
      <c r="H114" s="321"/>
      <c r="I114" s="321"/>
      <c r="J114" s="321"/>
      <c r="K114" s="321"/>
      <c r="L114" s="321"/>
    </row>
    <row r="115" spans="2:12" x14ac:dyDescent="0.3">
      <c r="B115" s="321"/>
      <c r="C115" s="321"/>
      <c r="D115" s="321"/>
      <c r="E115" s="321"/>
      <c r="F115" s="321"/>
      <c r="G115" s="321"/>
      <c r="H115" s="321"/>
      <c r="I115" s="321"/>
      <c r="J115" s="321"/>
      <c r="K115" s="321"/>
      <c r="L115" s="321"/>
    </row>
    <row r="116" spans="2:12" x14ac:dyDescent="0.3">
      <c r="B116" s="321"/>
      <c r="C116" s="321"/>
      <c r="D116" s="321"/>
      <c r="E116" s="321"/>
      <c r="F116" s="321"/>
      <c r="G116" s="321"/>
      <c r="H116" s="321"/>
      <c r="I116" s="321"/>
      <c r="J116" s="321"/>
      <c r="K116" s="321"/>
      <c r="L116" s="321"/>
    </row>
    <row r="117" spans="2:12" x14ac:dyDescent="0.3">
      <c r="B117" s="321"/>
      <c r="C117" s="321"/>
      <c r="D117" s="321"/>
      <c r="E117" s="321"/>
      <c r="F117" s="321"/>
      <c r="G117" s="321"/>
      <c r="H117" s="321"/>
      <c r="I117" s="321"/>
      <c r="J117" s="321"/>
      <c r="K117" s="321"/>
      <c r="L117" s="321"/>
    </row>
    <row r="118" spans="2:12" x14ac:dyDescent="0.3">
      <c r="B118" s="321"/>
      <c r="C118" s="321"/>
      <c r="D118" s="321"/>
      <c r="E118" s="321"/>
      <c r="F118" s="321"/>
      <c r="G118" s="321"/>
      <c r="H118" s="321"/>
      <c r="I118" s="321"/>
      <c r="J118" s="321"/>
      <c r="K118" s="321"/>
      <c r="L118" s="321"/>
    </row>
    <row r="119" spans="2:12" x14ac:dyDescent="0.3">
      <c r="B119" s="321"/>
      <c r="C119" s="321"/>
      <c r="D119" s="321"/>
      <c r="E119" s="321"/>
      <c r="F119" s="321"/>
      <c r="G119" s="321"/>
      <c r="H119" s="321"/>
      <c r="I119" s="321"/>
      <c r="J119" s="321"/>
      <c r="K119" s="321"/>
      <c r="L119" s="321"/>
    </row>
    <row r="120" spans="2:12" x14ac:dyDescent="0.3">
      <c r="B120" s="321"/>
      <c r="C120" s="321"/>
      <c r="D120" s="321"/>
      <c r="E120" s="321"/>
      <c r="F120" s="321"/>
      <c r="G120" s="321"/>
      <c r="H120" s="321"/>
      <c r="I120" s="321"/>
      <c r="J120" s="321"/>
      <c r="K120" s="321"/>
      <c r="L120" s="321"/>
    </row>
    <row r="121" spans="2:12" x14ac:dyDescent="0.3">
      <c r="B121" s="321"/>
      <c r="C121" s="321"/>
      <c r="D121" s="321"/>
      <c r="E121" s="321"/>
      <c r="F121" s="321"/>
      <c r="G121" s="321"/>
      <c r="H121" s="321"/>
      <c r="I121" s="321"/>
      <c r="J121" s="321"/>
      <c r="K121" s="321"/>
      <c r="L121" s="321"/>
    </row>
    <row r="122" spans="2:12" x14ac:dyDescent="0.3">
      <c r="B122" s="321"/>
      <c r="C122" s="321"/>
      <c r="D122" s="321"/>
      <c r="E122" s="321"/>
      <c r="F122" s="321"/>
      <c r="G122" s="321"/>
      <c r="H122" s="321"/>
      <c r="I122" s="321"/>
      <c r="J122" s="321"/>
      <c r="K122" s="321"/>
      <c r="L122" s="321"/>
    </row>
    <row r="123" spans="2:12" x14ac:dyDescent="0.3">
      <c r="B123" s="321"/>
      <c r="C123" s="321"/>
      <c r="D123" s="321"/>
      <c r="E123" s="321"/>
      <c r="F123" s="321"/>
      <c r="G123" s="321"/>
      <c r="H123" s="321"/>
      <c r="I123" s="321"/>
      <c r="J123" s="321"/>
      <c r="K123" s="321"/>
      <c r="L123" s="321"/>
    </row>
    <row r="124" spans="2:12" x14ac:dyDescent="0.3">
      <c r="B124" s="321"/>
      <c r="C124" s="321"/>
      <c r="D124" s="321"/>
      <c r="E124" s="321"/>
      <c r="F124" s="321"/>
      <c r="G124" s="321"/>
      <c r="H124" s="321"/>
      <c r="I124" s="321"/>
      <c r="J124" s="321"/>
      <c r="K124" s="321"/>
      <c r="L124" s="321"/>
    </row>
    <row r="125" spans="2:12" x14ac:dyDescent="0.3">
      <c r="B125" s="321"/>
      <c r="C125" s="321"/>
      <c r="D125" s="321"/>
      <c r="E125" s="321"/>
      <c r="F125" s="321"/>
      <c r="G125" s="321"/>
      <c r="H125" s="321"/>
      <c r="I125" s="321"/>
      <c r="J125" s="321"/>
      <c r="K125" s="321"/>
      <c r="L125" s="321"/>
    </row>
    <row r="126" spans="2:12" x14ac:dyDescent="0.3">
      <c r="B126" s="321"/>
      <c r="C126" s="321"/>
      <c r="D126" s="321"/>
      <c r="E126" s="321"/>
      <c r="F126" s="321"/>
      <c r="G126" s="321"/>
      <c r="H126" s="321"/>
      <c r="I126" s="321"/>
      <c r="J126" s="321"/>
      <c r="K126" s="321"/>
      <c r="L126" s="321"/>
    </row>
    <row r="127" spans="2:12" x14ac:dyDescent="0.3">
      <c r="B127" s="321"/>
      <c r="C127" s="321"/>
      <c r="D127" s="321"/>
      <c r="E127" s="321"/>
      <c r="F127" s="321"/>
      <c r="G127" s="321"/>
      <c r="H127" s="321"/>
      <c r="I127" s="321"/>
      <c r="J127" s="321"/>
      <c r="K127" s="321"/>
      <c r="L127" s="321"/>
    </row>
    <row r="128" spans="2:12" x14ac:dyDescent="0.3">
      <c r="B128" s="321"/>
      <c r="C128" s="321"/>
      <c r="D128" s="321"/>
      <c r="E128" s="321"/>
      <c r="F128" s="321"/>
      <c r="G128" s="321"/>
      <c r="H128" s="321"/>
      <c r="I128" s="321"/>
      <c r="J128" s="321"/>
      <c r="K128" s="321"/>
      <c r="L128" s="321"/>
    </row>
    <row r="129" spans="2:12" x14ac:dyDescent="0.3">
      <c r="B129" s="321"/>
      <c r="C129" s="321"/>
      <c r="D129" s="321"/>
      <c r="E129" s="321"/>
      <c r="F129" s="321"/>
      <c r="G129" s="321"/>
      <c r="H129" s="321"/>
      <c r="I129" s="321"/>
      <c r="J129" s="321"/>
      <c r="K129" s="321"/>
      <c r="L129" s="321"/>
    </row>
    <row r="130" spans="2:12" x14ac:dyDescent="0.3">
      <c r="B130" s="321"/>
      <c r="C130" s="321"/>
      <c r="D130" s="321"/>
      <c r="E130" s="321"/>
      <c r="F130" s="321"/>
      <c r="G130" s="321"/>
      <c r="H130" s="321"/>
      <c r="I130" s="321"/>
      <c r="J130" s="321"/>
      <c r="K130" s="321"/>
      <c r="L130" s="321"/>
    </row>
    <row r="131" spans="2:12" x14ac:dyDescent="0.3">
      <c r="B131" s="321"/>
      <c r="C131" s="321"/>
      <c r="D131" s="321"/>
      <c r="E131" s="321"/>
      <c r="F131" s="321"/>
      <c r="G131" s="321"/>
      <c r="H131" s="321"/>
      <c r="I131" s="321"/>
      <c r="J131" s="321"/>
      <c r="K131" s="321"/>
      <c r="L131" s="321"/>
    </row>
    <row r="132" spans="2:12" x14ac:dyDescent="0.3">
      <c r="B132" s="321"/>
      <c r="C132" s="321"/>
      <c r="D132" s="321"/>
      <c r="E132" s="321"/>
      <c r="F132" s="321"/>
      <c r="G132" s="321"/>
      <c r="H132" s="321"/>
      <c r="I132" s="321"/>
      <c r="J132" s="321"/>
      <c r="K132" s="321"/>
      <c r="L132" s="321"/>
    </row>
    <row r="133" spans="2:12" x14ac:dyDescent="0.3">
      <c r="B133" s="321"/>
      <c r="C133" s="321"/>
      <c r="D133" s="321"/>
      <c r="E133" s="321"/>
      <c r="F133" s="321"/>
      <c r="G133" s="321"/>
      <c r="H133" s="321"/>
      <c r="I133" s="321"/>
      <c r="J133" s="321"/>
      <c r="K133" s="321"/>
      <c r="L133" s="321"/>
    </row>
    <row r="134" spans="2:12" x14ac:dyDescent="0.3">
      <c r="B134" s="321"/>
      <c r="C134" s="321"/>
      <c r="D134" s="321"/>
      <c r="E134" s="321"/>
      <c r="F134" s="321"/>
      <c r="G134" s="321"/>
      <c r="H134" s="321"/>
      <c r="I134" s="321"/>
      <c r="J134" s="321"/>
      <c r="K134" s="321"/>
      <c r="L134" s="321"/>
    </row>
    <row r="135" spans="2:12" x14ac:dyDescent="0.3">
      <c r="B135" s="321"/>
      <c r="C135" s="321"/>
      <c r="D135" s="321"/>
      <c r="E135" s="321"/>
      <c r="F135" s="321"/>
      <c r="G135" s="321"/>
      <c r="H135" s="321"/>
      <c r="I135" s="321"/>
      <c r="J135" s="321"/>
      <c r="K135" s="321"/>
      <c r="L135" s="321"/>
    </row>
    <row r="136" spans="2:12" x14ac:dyDescent="0.3">
      <c r="B136" s="321"/>
      <c r="C136" s="321"/>
      <c r="D136" s="321"/>
      <c r="E136" s="321"/>
      <c r="F136" s="321"/>
      <c r="G136" s="321"/>
      <c r="H136" s="321"/>
      <c r="I136" s="321"/>
      <c r="J136" s="321"/>
      <c r="K136" s="321"/>
      <c r="L136" s="321"/>
    </row>
    <row r="137" spans="2:12" x14ac:dyDescent="0.3">
      <c r="B137" s="321"/>
      <c r="C137" s="321"/>
      <c r="D137" s="321"/>
      <c r="E137" s="321"/>
      <c r="F137" s="321"/>
      <c r="G137" s="321"/>
      <c r="H137" s="321"/>
      <c r="I137" s="321"/>
      <c r="J137" s="321"/>
      <c r="K137" s="321"/>
      <c r="L137" s="321"/>
    </row>
    <row r="138" spans="2:12" x14ac:dyDescent="0.3">
      <c r="B138" s="321"/>
      <c r="C138" s="321"/>
      <c r="D138" s="321"/>
      <c r="E138" s="321"/>
      <c r="F138" s="321"/>
      <c r="G138" s="321"/>
      <c r="H138" s="321"/>
      <c r="I138" s="321"/>
      <c r="J138" s="321"/>
      <c r="K138" s="321"/>
      <c r="L138" s="321"/>
    </row>
    <row r="139" spans="2:12" x14ac:dyDescent="0.3">
      <c r="B139" s="321"/>
      <c r="C139" s="321"/>
      <c r="D139" s="321"/>
      <c r="E139" s="321"/>
      <c r="F139" s="321"/>
      <c r="G139" s="321"/>
      <c r="H139" s="321"/>
      <c r="I139" s="321"/>
      <c r="J139" s="321"/>
      <c r="K139" s="321"/>
      <c r="L139" s="321"/>
    </row>
    <row r="140" spans="2:12" x14ac:dyDescent="0.3">
      <c r="B140" s="321"/>
      <c r="C140" s="321"/>
      <c r="D140" s="321"/>
      <c r="E140" s="321"/>
      <c r="F140" s="321"/>
      <c r="G140" s="321"/>
      <c r="H140" s="321"/>
      <c r="I140" s="321"/>
      <c r="J140" s="321"/>
      <c r="K140" s="321"/>
      <c r="L140" s="321"/>
    </row>
    <row r="141" spans="2:12" x14ac:dyDescent="0.3">
      <c r="B141" s="321"/>
      <c r="C141" s="321"/>
      <c r="D141" s="321"/>
      <c r="E141" s="321"/>
      <c r="F141" s="321"/>
      <c r="G141" s="321"/>
      <c r="H141" s="321"/>
      <c r="I141" s="321"/>
      <c r="J141" s="321"/>
      <c r="K141" s="321"/>
      <c r="L141" s="321"/>
    </row>
    <row r="142" spans="2:12" x14ac:dyDescent="0.3">
      <c r="B142" s="321"/>
      <c r="C142" s="321"/>
      <c r="D142" s="321"/>
      <c r="E142" s="321"/>
      <c r="F142" s="321"/>
      <c r="G142" s="321"/>
      <c r="H142" s="321"/>
      <c r="I142" s="321"/>
      <c r="J142" s="321"/>
      <c r="K142" s="321"/>
      <c r="L142" s="321"/>
    </row>
    <row r="143" spans="2:12" x14ac:dyDescent="0.3">
      <c r="B143" s="321"/>
      <c r="C143" s="321"/>
      <c r="D143" s="321"/>
      <c r="E143" s="321"/>
      <c r="F143" s="321"/>
      <c r="G143" s="321"/>
      <c r="H143" s="321"/>
      <c r="I143" s="321"/>
      <c r="J143" s="321"/>
      <c r="K143" s="321"/>
      <c r="L143" s="321"/>
    </row>
    <row r="144" spans="2:12" x14ac:dyDescent="0.3">
      <c r="B144" s="321"/>
      <c r="C144" s="321"/>
      <c r="D144" s="321"/>
      <c r="E144" s="321"/>
      <c r="F144" s="321"/>
      <c r="G144" s="321"/>
      <c r="H144" s="321"/>
      <c r="I144" s="321"/>
      <c r="J144" s="321"/>
      <c r="K144" s="321"/>
      <c r="L144" s="321"/>
    </row>
    <row r="145" spans="2:12" x14ac:dyDescent="0.3">
      <c r="B145" s="321"/>
      <c r="C145" s="321"/>
      <c r="D145" s="321"/>
      <c r="E145" s="321"/>
      <c r="F145" s="321"/>
      <c r="G145" s="321"/>
      <c r="H145" s="321"/>
      <c r="I145" s="321"/>
      <c r="J145" s="321"/>
      <c r="K145" s="321"/>
      <c r="L145" s="321"/>
    </row>
    <row r="146" spans="2:12" x14ac:dyDescent="0.3">
      <c r="B146" s="321"/>
      <c r="C146" s="321"/>
      <c r="D146" s="321"/>
      <c r="E146" s="321"/>
      <c r="F146" s="321"/>
      <c r="G146" s="321"/>
      <c r="H146" s="321"/>
      <c r="I146" s="321"/>
      <c r="J146" s="321"/>
      <c r="K146" s="321"/>
      <c r="L146" s="321"/>
    </row>
    <row r="147" spans="2:12" x14ac:dyDescent="0.3">
      <c r="B147" s="321"/>
      <c r="C147" s="321"/>
      <c r="D147" s="321"/>
      <c r="E147" s="321"/>
      <c r="F147" s="321"/>
      <c r="G147" s="321"/>
      <c r="H147" s="321"/>
      <c r="I147" s="321"/>
      <c r="J147" s="321"/>
      <c r="K147" s="321"/>
      <c r="L147" s="321"/>
    </row>
    <row r="148" spans="2:12" x14ac:dyDescent="0.3">
      <c r="B148" s="321"/>
      <c r="C148" s="321"/>
      <c r="D148" s="321"/>
      <c r="E148" s="321"/>
      <c r="F148" s="321"/>
      <c r="G148" s="321"/>
      <c r="H148" s="321"/>
      <c r="I148" s="321"/>
      <c r="J148" s="321"/>
      <c r="K148" s="321"/>
      <c r="L148" s="321"/>
    </row>
    <row r="149" spans="2:12" x14ac:dyDescent="0.3">
      <c r="B149" s="321"/>
      <c r="C149" s="321"/>
      <c r="D149" s="321"/>
      <c r="E149" s="321"/>
      <c r="F149" s="321"/>
      <c r="G149" s="321"/>
      <c r="H149" s="321"/>
      <c r="I149" s="321"/>
      <c r="J149" s="321"/>
      <c r="K149" s="321"/>
      <c r="L149" s="321"/>
    </row>
    <row r="150" spans="2:12" x14ac:dyDescent="0.3">
      <c r="B150" s="321"/>
      <c r="C150" s="321"/>
      <c r="D150" s="321"/>
      <c r="E150" s="321"/>
      <c r="F150" s="321"/>
      <c r="G150" s="321"/>
      <c r="H150" s="321"/>
      <c r="I150" s="321"/>
      <c r="J150" s="321"/>
      <c r="K150" s="321"/>
      <c r="L150" s="321"/>
    </row>
    <row r="151" spans="2:12" x14ac:dyDescent="0.3">
      <c r="B151" s="321"/>
      <c r="C151" s="321"/>
      <c r="D151" s="321"/>
      <c r="E151" s="321"/>
      <c r="F151" s="321"/>
      <c r="G151" s="321"/>
      <c r="H151" s="321"/>
      <c r="I151" s="321"/>
      <c r="J151" s="321"/>
      <c r="K151" s="321"/>
      <c r="L151" s="321"/>
    </row>
    <row r="152" spans="2:12" x14ac:dyDescent="0.3">
      <c r="B152" s="321"/>
      <c r="C152" s="321"/>
      <c r="D152" s="321"/>
      <c r="E152" s="321"/>
      <c r="F152" s="321"/>
      <c r="G152" s="321"/>
      <c r="H152" s="321"/>
      <c r="I152" s="321"/>
      <c r="J152" s="321"/>
      <c r="K152" s="321"/>
      <c r="L152" s="321"/>
    </row>
    <row r="153" spans="2:12" x14ac:dyDescent="0.3">
      <c r="B153" s="321"/>
      <c r="C153" s="321"/>
      <c r="D153" s="321"/>
      <c r="E153" s="321"/>
      <c r="F153" s="321"/>
      <c r="G153" s="321"/>
      <c r="H153" s="321"/>
      <c r="I153" s="321"/>
      <c r="J153" s="321"/>
      <c r="K153" s="321"/>
      <c r="L153" s="321"/>
    </row>
    <row r="154" spans="2:12" x14ac:dyDescent="0.3">
      <c r="B154" s="321"/>
      <c r="C154" s="321"/>
      <c r="D154" s="321"/>
      <c r="E154" s="321"/>
      <c r="F154" s="321"/>
      <c r="G154" s="321"/>
      <c r="H154" s="321"/>
      <c r="I154" s="321"/>
      <c r="J154" s="321"/>
      <c r="K154" s="321"/>
      <c r="L154" s="321"/>
    </row>
    <row r="155" spans="2:12" x14ac:dyDescent="0.3">
      <c r="B155" s="321"/>
      <c r="C155" s="321"/>
      <c r="D155" s="321"/>
      <c r="E155" s="321"/>
      <c r="F155" s="321"/>
      <c r="G155" s="321"/>
      <c r="H155" s="321"/>
      <c r="I155" s="321"/>
      <c r="J155" s="321"/>
      <c r="K155" s="321"/>
      <c r="L155" s="321"/>
    </row>
    <row r="156" spans="2:12" x14ac:dyDescent="0.3">
      <c r="B156" s="321"/>
      <c r="C156" s="321"/>
      <c r="D156" s="321"/>
      <c r="E156" s="321"/>
      <c r="F156" s="321"/>
      <c r="G156" s="321"/>
      <c r="H156" s="321"/>
      <c r="I156" s="321"/>
      <c r="J156" s="321"/>
      <c r="K156" s="321"/>
      <c r="L156" s="321"/>
    </row>
    <row r="157" spans="2:12" x14ac:dyDescent="0.3">
      <c r="B157" s="321"/>
      <c r="C157" s="321"/>
      <c r="D157" s="321"/>
      <c r="E157" s="321"/>
      <c r="F157" s="321"/>
      <c r="G157" s="321"/>
      <c r="H157" s="321"/>
      <c r="I157" s="321"/>
      <c r="J157" s="321"/>
      <c r="K157" s="321"/>
      <c r="L157" s="321"/>
    </row>
    <row r="158" spans="2:12" x14ac:dyDescent="0.3">
      <c r="B158" s="321"/>
      <c r="C158" s="321"/>
      <c r="D158" s="321"/>
      <c r="E158" s="321"/>
      <c r="F158" s="321"/>
      <c r="G158" s="321"/>
      <c r="H158" s="321"/>
      <c r="I158" s="321"/>
      <c r="J158" s="321"/>
      <c r="K158" s="321"/>
      <c r="L158" s="321"/>
    </row>
    <row r="159" spans="2:12" x14ac:dyDescent="0.3">
      <c r="B159" s="321"/>
      <c r="C159" s="321"/>
      <c r="D159" s="321"/>
      <c r="E159" s="321"/>
      <c r="F159" s="321"/>
      <c r="G159" s="321"/>
      <c r="H159" s="321"/>
      <c r="I159" s="321"/>
      <c r="J159" s="321"/>
      <c r="K159" s="321"/>
      <c r="L159" s="321"/>
    </row>
    <row r="160" spans="2:12" x14ac:dyDescent="0.3">
      <c r="B160" s="321"/>
      <c r="C160" s="321"/>
      <c r="D160" s="321"/>
      <c r="E160" s="321"/>
      <c r="F160" s="321"/>
      <c r="G160" s="321"/>
      <c r="H160" s="321"/>
      <c r="I160" s="321"/>
      <c r="J160" s="321"/>
      <c r="K160" s="321"/>
      <c r="L160" s="321"/>
    </row>
    <row r="161" spans="2:12" x14ac:dyDescent="0.3">
      <c r="B161" s="321"/>
      <c r="C161" s="321"/>
      <c r="D161" s="321"/>
      <c r="E161" s="321"/>
      <c r="F161" s="321"/>
      <c r="G161" s="321"/>
      <c r="H161" s="321"/>
      <c r="I161" s="321"/>
      <c r="J161" s="321"/>
      <c r="K161" s="321"/>
      <c r="L161" s="321"/>
    </row>
    <row r="162" spans="2:12" x14ac:dyDescent="0.3">
      <c r="B162" s="321"/>
      <c r="C162" s="321"/>
      <c r="D162" s="321"/>
      <c r="E162" s="321"/>
      <c r="F162" s="321"/>
      <c r="G162" s="321"/>
      <c r="H162" s="321"/>
      <c r="I162" s="321"/>
      <c r="J162" s="321"/>
      <c r="K162" s="321"/>
      <c r="L162" s="321"/>
    </row>
    <row r="163" spans="2:12" x14ac:dyDescent="0.3">
      <c r="B163" s="321"/>
      <c r="C163" s="321"/>
      <c r="D163" s="321"/>
      <c r="E163" s="321"/>
      <c r="F163" s="321"/>
      <c r="G163" s="321"/>
      <c r="H163" s="321"/>
      <c r="I163" s="321"/>
      <c r="J163" s="321"/>
      <c r="K163" s="321"/>
      <c r="L163" s="321"/>
    </row>
    <row r="164" spans="2:12" x14ac:dyDescent="0.3">
      <c r="B164" s="321"/>
      <c r="C164" s="321"/>
      <c r="D164" s="321"/>
      <c r="E164" s="321"/>
      <c r="F164" s="321"/>
      <c r="G164" s="321"/>
      <c r="H164" s="321"/>
      <c r="I164" s="321"/>
      <c r="J164" s="321"/>
      <c r="K164" s="321"/>
      <c r="L164" s="321"/>
    </row>
    <row r="165" spans="2:12" x14ac:dyDescent="0.3">
      <c r="B165" s="321"/>
      <c r="C165" s="321"/>
      <c r="D165" s="321"/>
      <c r="E165" s="321"/>
      <c r="F165" s="321"/>
      <c r="G165" s="321"/>
      <c r="H165" s="321"/>
      <c r="I165" s="321"/>
      <c r="J165" s="321"/>
      <c r="K165" s="321"/>
      <c r="L165" s="321"/>
    </row>
    <row r="166" spans="2:12" x14ac:dyDescent="0.3">
      <c r="B166" s="321"/>
      <c r="C166" s="321"/>
      <c r="D166" s="321"/>
      <c r="E166" s="321"/>
      <c r="F166" s="321"/>
      <c r="G166" s="321"/>
      <c r="H166" s="321"/>
      <c r="I166" s="321"/>
      <c r="J166" s="321"/>
      <c r="K166" s="321"/>
      <c r="L166" s="321"/>
    </row>
    <row r="167" spans="2:12" x14ac:dyDescent="0.3">
      <c r="B167" s="321"/>
      <c r="C167" s="321"/>
      <c r="D167" s="321"/>
      <c r="E167" s="321"/>
      <c r="F167" s="321"/>
      <c r="G167" s="321"/>
      <c r="H167" s="321"/>
      <c r="I167" s="321"/>
      <c r="J167" s="321"/>
      <c r="K167" s="321"/>
      <c r="L167" s="321"/>
    </row>
    <row r="168" spans="2:12" x14ac:dyDescent="0.3">
      <c r="B168" s="321"/>
      <c r="C168" s="321"/>
      <c r="D168" s="321"/>
      <c r="E168" s="321"/>
      <c r="F168" s="321"/>
      <c r="G168" s="321"/>
      <c r="H168" s="321"/>
      <c r="I168" s="321"/>
      <c r="J168" s="321"/>
      <c r="K168" s="321"/>
      <c r="L168" s="321"/>
    </row>
    <row r="169" spans="2:12" x14ac:dyDescent="0.3">
      <c r="B169" s="321"/>
      <c r="C169" s="321"/>
      <c r="D169" s="321"/>
      <c r="E169" s="321"/>
      <c r="F169" s="321"/>
      <c r="G169" s="321"/>
      <c r="H169" s="321"/>
      <c r="I169" s="321"/>
      <c r="J169" s="321"/>
      <c r="K169" s="321"/>
      <c r="L169" s="321"/>
    </row>
    <row r="170" spans="2:12" x14ac:dyDescent="0.3">
      <c r="B170" s="321"/>
      <c r="C170" s="321"/>
      <c r="D170" s="321"/>
      <c r="E170" s="321"/>
      <c r="F170" s="321"/>
      <c r="G170" s="321"/>
      <c r="H170" s="321"/>
      <c r="I170" s="321"/>
      <c r="J170" s="321"/>
      <c r="K170" s="321"/>
      <c r="L170" s="321"/>
    </row>
    <row r="171" spans="2:12" x14ac:dyDescent="0.3">
      <c r="B171" s="321"/>
      <c r="C171" s="321"/>
      <c r="D171" s="321"/>
      <c r="E171" s="321"/>
      <c r="F171" s="321"/>
      <c r="G171" s="321"/>
      <c r="H171" s="321"/>
      <c r="I171" s="321"/>
      <c r="J171" s="321"/>
      <c r="K171" s="321"/>
      <c r="L171" s="321"/>
    </row>
    <row r="172" spans="2:12" x14ac:dyDescent="0.3">
      <c r="B172" s="321"/>
      <c r="C172" s="321"/>
      <c r="D172" s="321"/>
      <c r="E172" s="321"/>
      <c r="F172" s="321"/>
      <c r="G172" s="321"/>
      <c r="H172" s="321"/>
      <c r="I172" s="321"/>
      <c r="J172" s="321"/>
      <c r="K172" s="321"/>
      <c r="L172" s="321"/>
    </row>
    <row r="173" spans="2:12" x14ac:dyDescent="0.3">
      <c r="B173" s="321"/>
      <c r="C173" s="321"/>
      <c r="D173" s="321"/>
      <c r="E173" s="321"/>
      <c r="F173" s="321"/>
      <c r="G173" s="321"/>
      <c r="H173" s="321"/>
      <c r="I173" s="321"/>
      <c r="J173" s="321"/>
      <c r="K173" s="321"/>
      <c r="L173" s="321"/>
    </row>
    <row r="174" spans="2:12" x14ac:dyDescent="0.3">
      <c r="B174" s="321"/>
      <c r="C174" s="321"/>
      <c r="D174" s="321"/>
      <c r="E174" s="321"/>
      <c r="F174" s="321"/>
      <c r="G174" s="321"/>
      <c r="H174" s="321"/>
      <c r="I174" s="321"/>
      <c r="J174" s="321"/>
      <c r="K174" s="321"/>
      <c r="L174" s="321"/>
    </row>
    <row r="175" spans="2:12" x14ac:dyDescent="0.3">
      <c r="B175" s="321"/>
      <c r="C175" s="321"/>
      <c r="D175" s="321"/>
      <c r="E175" s="321"/>
      <c r="F175" s="321"/>
      <c r="G175" s="321"/>
      <c r="H175" s="321"/>
      <c r="I175" s="321"/>
      <c r="J175" s="321"/>
      <c r="K175" s="321"/>
      <c r="L175" s="321"/>
    </row>
    <row r="176" spans="2:12" x14ac:dyDescent="0.3">
      <c r="B176" s="321"/>
      <c r="C176" s="321"/>
      <c r="D176" s="321"/>
      <c r="E176" s="321"/>
      <c r="F176" s="321"/>
      <c r="G176" s="321"/>
      <c r="H176" s="321"/>
      <c r="I176" s="321"/>
      <c r="J176" s="321"/>
      <c r="K176" s="321"/>
      <c r="L176" s="321"/>
    </row>
    <row r="177" spans="2:12" x14ac:dyDescent="0.3">
      <c r="B177" s="321"/>
      <c r="C177" s="321"/>
      <c r="D177" s="321"/>
      <c r="E177" s="321"/>
      <c r="F177" s="321"/>
      <c r="G177" s="321"/>
      <c r="H177" s="321"/>
      <c r="I177" s="321"/>
      <c r="J177" s="321"/>
      <c r="K177" s="321"/>
      <c r="L177" s="321"/>
    </row>
    <row r="178" spans="2:12" x14ac:dyDescent="0.3">
      <c r="B178" s="321"/>
      <c r="C178" s="321"/>
      <c r="D178" s="321"/>
      <c r="E178" s="321"/>
      <c r="F178" s="321"/>
      <c r="G178" s="321"/>
      <c r="H178" s="321"/>
      <c r="I178" s="321"/>
      <c r="J178" s="321"/>
      <c r="K178" s="321"/>
      <c r="L178" s="321"/>
    </row>
    <row r="179" spans="2:12" x14ac:dyDescent="0.3">
      <c r="B179" s="321"/>
      <c r="C179" s="321"/>
      <c r="D179" s="321"/>
      <c r="E179" s="321"/>
      <c r="F179" s="321"/>
      <c r="G179" s="321"/>
      <c r="H179" s="321"/>
      <c r="I179" s="321"/>
      <c r="J179" s="321"/>
      <c r="K179" s="321"/>
      <c r="L179" s="321"/>
    </row>
    <row r="180" spans="2:12" x14ac:dyDescent="0.3">
      <c r="B180" s="321"/>
      <c r="C180" s="321"/>
      <c r="D180" s="321"/>
      <c r="E180" s="321"/>
      <c r="F180" s="321"/>
      <c r="G180" s="321"/>
      <c r="H180" s="321"/>
      <c r="I180" s="321"/>
      <c r="J180" s="321"/>
      <c r="K180" s="321"/>
      <c r="L180" s="321"/>
    </row>
    <row r="181" spans="2:12" x14ac:dyDescent="0.3">
      <c r="B181" s="321"/>
      <c r="C181" s="321"/>
      <c r="D181" s="321"/>
      <c r="E181" s="321"/>
      <c r="F181" s="321"/>
      <c r="G181" s="321"/>
      <c r="H181" s="321"/>
      <c r="I181" s="321"/>
      <c r="J181" s="321"/>
      <c r="K181" s="321"/>
      <c r="L181" s="321"/>
    </row>
    <row r="182" spans="2:12" x14ac:dyDescent="0.3">
      <c r="B182" s="321"/>
      <c r="C182" s="321"/>
      <c r="D182" s="321"/>
      <c r="E182" s="321"/>
      <c r="F182" s="321"/>
      <c r="G182" s="321"/>
      <c r="H182" s="321"/>
      <c r="I182" s="321"/>
      <c r="J182" s="321"/>
      <c r="K182" s="321"/>
      <c r="L182" s="321"/>
    </row>
    <row r="183" spans="2:12" x14ac:dyDescent="0.3">
      <c r="B183" s="321"/>
      <c r="C183" s="321"/>
      <c r="D183" s="321"/>
      <c r="E183" s="321"/>
      <c r="F183" s="321"/>
      <c r="G183" s="321"/>
      <c r="H183" s="321"/>
      <c r="I183" s="321"/>
      <c r="J183" s="321"/>
      <c r="K183" s="321"/>
      <c r="L183" s="321"/>
    </row>
    <row r="184" spans="2:12" x14ac:dyDescent="0.3">
      <c r="B184" s="321"/>
      <c r="C184" s="321"/>
      <c r="D184" s="321"/>
      <c r="E184" s="321"/>
      <c r="F184" s="321"/>
      <c r="G184" s="321"/>
      <c r="H184" s="321"/>
      <c r="I184" s="321"/>
      <c r="J184" s="321"/>
      <c r="K184" s="321"/>
      <c r="L184" s="321"/>
    </row>
    <row r="185" spans="2:12" x14ac:dyDescent="0.3">
      <c r="B185" s="321"/>
      <c r="C185" s="321"/>
      <c r="D185" s="321"/>
      <c r="E185" s="321"/>
      <c r="F185" s="321"/>
      <c r="G185" s="321"/>
      <c r="H185" s="321"/>
      <c r="I185" s="321"/>
      <c r="J185" s="321"/>
      <c r="K185" s="321"/>
      <c r="L185" s="321"/>
    </row>
    <row r="186" spans="2:12" x14ac:dyDescent="0.3">
      <c r="B186" s="321"/>
      <c r="C186" s="321"/>
      <c r="D186" s="321"/>
      <c r="E186" s="321"/>
      <c r="F186" s="321"/>
      <c r="G186" s="321"/>
      <c r="H186" s="321"/>
      <c r="I186" s="321"/>
      <c r="J186" s="321"/>
      <c r="K186" s="321"/>
      <c r="L186" s="321"/>
    </row>
    <row r="187" spans="2:12" x14ac:dyDescent="0.3">
      <c r="B187" s="321"/>
      <c r="C187" s="321"/>
      <c r="D187" s="321"/>
      <c r="E187" s="321"/>
      <c r="F187" s="321"/>
      <c r="G187" s="321"/>
      <c r="H187" s="321"/>
      <c r="I187" s="321"/>
      <c r="J187" s="321"/>
      <c r="K187" s="321"/>
      <c r="L187" s="321"/>
    </row>
    <row r="188" spans="2:12" x14ac:dyDescent="0.3">
      <c r="B188" s="321"/>
      <c r="C188" s="321"/>
      <c r="D188" s="321"/>
      <c r="E188" s="321"/>
      <c r="F188" s="321"/>
      <c r="G188" s="321"/>
      <c r="H188" s="321"/>
      <c r="I188" s="321"/>
      <c r="J188" s="321"/>
      <c r="K188" s="321"/>
      <c r="L188" s="321"/>
    </row>
    <row r="189" spans="2:12" x14ac:dyDescent="0.3">
      <c r="B189" s="321"/>
      <c r="C189" s="321"/>
      <c r="D189" s="321"/>
      <c r="E189" s="321"/>
      <c r="F189" s="321"/>
      <c r="G189" s="321"/>
      <c r="H189" s="321"/>
      <c r="I189" s="321"/>
      <c r="J189" s="321"/>
      <c r="K189" s="321"/>
      <c r="L189" s="321"/>
    </row>
    <row r="190" spans="2:12" x14ac:dyDescent="0.3">
      <c r="B190" s="321"/>
      <c r="C190" s="321"/>
      <c r="D190" s="321"/>
      <c r="E190" s="321"/>
      <c r="F190" s="321"/>
      <c r="G190" s="321"/>
      <c r="H190" s="321"/>
      <c r="I190" s="321"/>
      <c r="J190" s="321"/>
      <c r="K190" s="321"/>
      <c r="L190" s="321"/>
    </row>
    <row r="191" spans="2:12" x14ac:dyDescent="0.3">
      <c r="B191" s="321"/>
      <c r="C191" s="321"/>
      <c r="D191" s="321"/>
      <c r="E191" s="321"/>
      <c r="F191" s="321"/>
      <c r="G191" s="321"/>
      <c r="H191" s="321"/>
      <c r="I191" s="321"/>
      <c r="J191" s="321"/>
      <c r="K191" s="321"/>
      <c r="L191" s="321"/>
    </row>
    <row r="192" spans="2:12" x14ac:dyDescent="0.3">
      <c r="B192" s="321"/>
      <c r="C192" s="321"/>
      <c r="D192" s="321"/>
      <c r="E192" s="321"/>
      <c r="F192" s="321"/>
      <c r="G192" s="321"/>
      <c r="H192" s="321"/>
      <c r="I192" s="321"/>
      <c r="J192" s="321"/>
      <c r="K192" s="321"/>
      <c r="L192" s="321"/>
    </row>
    <row r="193" spans="2:12" x14ac:dyDescent="0.3">
      <c r="B193" s="321"/>
      <c r="C193" s="321"/>
      <c r="D193" s="321"/>
      <c r="E193" s="321"/>
      <c r="F193" s="321"/>
      <c r="G193" s="321"/>
      <c r="H193" s="321"/>
      <c r="I193" s="321"/>
      <c r="J193" s="321"/>
      <c r="K193" s="321"/>
      <c r="L193" s="321"/>
    </row>
    <row r="194" spans="2:12" x14ac:dyDescent="0.3">
      <c r="B194" s="321"/>
      <c r="C194" s="321"/>
      <c r="D194" s="321"/>
      <c r="E194" s="321"/>
      <c r="F194" s="321"/>
      <c r="G194" s="321"/>
      <c r="H194" s="321"/>
      <c r="I194" s="321"/>
      <c r="J194" s="321"/>
      <c r="K194" s="321"/>
      <c r="L194" s="321"/>
    </row>
    <row r="195" spans="2:12" x14ac:dyDescent="0.3">
      <c r="B195" s="321"/>
      <c r="C195" s="321"/>
      <c r="D195" s="321"/>
      <c r="E195" s="321"/>
      <c r="F195" s="321"/>
      <c r="G195" s="321"/>
      <c r="H195" s="321"/>
      <c r="I195" s="321"/>
      <c r="J195" s="321"/>
      <c r="K195" s="321"/>
      <c r="L195" s="321"/>
    </row>
    <row r="196" spans="2:12" x14ac:dyDescent="0.3">
      <c r="B196" s="321"/>
      <c r="C196" s="321"/>
      <c r="D196" s="321"/>
      <c r="E196" s="321"/>
      <c r="F196" s="321"/>
      <c r="G196" s="321"/>
      <c r="H196" s="321"/>
      <c r="I196" s="321"/>
      <c r="J196" s="321"/>
      <c r="K196" s="321"/>
      <c r="L196" s="321"/>
    </row>
    <row r="197" spans="2:12" x14ac:dyDescent="0.3">
      <c r="B197" s="321"/>
      <c r="C197" s="321"/>
      <c r="D197" s="321"/>
      <c r="E197" s="321"/>
      <c r="F197" s="321"/>
      <c r="G197" s="321"/>
      <c r="H197" s="321"/>
      <c r="I197" s="321"/>
      <c r="J197" s="321"/>
      <c r="K197" s="321"/>
      <c r="L197" s="321"/>
    </row>
    <row r="198" spans="2:12" x14ac:dyDescent="0.3">
      <c r="B198" s="321"/>
      <c r="C198" s="321"/>
      <c r="D198" s="321"/>
      <c r="E198" s="321"/>
      <c r="F198" s="321"/>
      <c r="G198" s="321"/>
      <c r="H198" s="321"/>
      <c r="I198" s="321"/>
      <c r="J198" s="321"/>
      <c r="K198" s="321"/>
      <c r="L198" s="321"/>
    </row>
    <row r="199" spans="2:12" x14ac:dyDescent="0.3">
      <c r="B199" s="321"/>
      <c r="C199" s="321"/>
      <c r="D199" s="321"/>
      <c r="E199" s="321"/>
      <c r="F199" s="321"/>
      <c r="G199" s="321"/>
      <c r="H199" s="321"/>
      <c r="I199" s="321"/>
      <c r="J199" s="321"/>
      <c r="K199" s="321"/>
      <c r="L199" s="321"/>
    </row>
    <row r="200" spans="2:12" x14ac:dyDescent="0.3">
      <c r="B200" s="321"/>
      <c r="C200" s="321"/>
      <c r="D200" s="321"/>
      <c r="E200" s="321"/>
      <c r="F200" s="321"/>
      <c r="G200" s="321"/>
      <c r="H200" s="321"/>
      <c r="I200" s="321"/>
      <c r="J200" s="321"/>
      <c r="K200" s="321"/>
      <c r="L200" s="321"/>
    </row>
    <row r="201" spans="2:12" x14ac:dyDescent="0.3">
      <c r="B201" s="321"/>
      <c r="C201" s="321"/>
      <c r="D201" s="321"/>
      <c r="E201" s="321"/>
      <c r="F201" s="321"/>
      <c r="G201" s="321"/>
      <c r="H201" s="321"/>
      <c r="I201" s="321"/>
      <c r="J201" s="321"/>
      <c r="K201" s="321"/>
      <c r="L201" s="321"/>
    </row>
  </sheetData>
  <mergeCells count="15">
    <mergeCell ref="B2:O2"/>
    <mergeCell ref="M5:O5"/>
    <mergeCell ref="G5:H5"/>
    <mergeCell ref="M13:O13"/>
    <mergeCell ref="J8:K8"/>
    <mergeCell ref="B8:C8"/>
    <mergeCell ref="E8:F8"/>
    <mergeCell ref="B9:L9"/>
    <mergeCell ref="B3:G3"/>
    <mergeCell ref="B6:C6"/>
    <mergeCell ref="E6:F6"/>
    <mergeCell ref="H3:O3"/>
    <mergeCell ref="G7:H7"/>
    <mergeCell ref="J5:K5"/>
    <mergeCell ref="J6:K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109"/>
  <sheetViews>
    <sheetView zoomScaleNormal="100" workbookViewId="0">
      <selection activeCell="J109" sqref="J109"/>
    </sheetView>
  </sheetViews>
  <sheetFormatPr defaultColWidth="8.7109375" defaultRowHeight="15" x14ac:dyDescent="0.25"/>
  <cols>
    <col min="1" max="1" width="9" customWidth="1"/>
    <col min="2" max="2" width="30.7109375" customWidth="1"/>
    <col min="3" max="3" width="41.28515625" style="3" customWidth="1"/>
    <col min="4" max="4" width="1.5703125" hidden="1" customWidth="1"/>
    <col min="5" max="5" width="14.5703125" style="4" customWidth="1"/>
    <col min="6" max="6" width="16.5703125" style="4" customWidth="1"/>
    <col min="7" max="7" width="11.7109375" style="5" customWidth="1"/>
    <col min="8" max="8" width="17.5703125" style="4" customWidth="1"/>
    <col min="9" max="9" width="13.140625" style="3" customWidth="1"/>
    <col min="10" max="10" width="46.5703125" customWidth="1"/>
    <col min="11" max="11" width="18" customWidth="1"/>
    <col min="12" max="12" width="12" customWidth="1"/>
    <col min="13" max="13" width="24" customWidth="1"/>
  </cols>
  <sheetData>
    <row r="1" spans="1:19" ht="30" customHeight="1" x14ac:dyDescent="0.25">
      <c r="A1" s="6" t="s">
        <v>250</v>
      </c>
      <c r="B1" s="7"/>
      <c r="C1" s="7"/>
      <c r="D1" s="7"/>
      <c r="E1" s="8"/>
      <c r="F1" s="8"/>
      <c r="G1" s="9" t="s">
        <v>1</v>
      </c>
      <c r="H1" s="118">
        <f ca="1">TODAY()</f>
        <v>46258</v>
      </c>
      <c r="I1" s="10"/>
      <c r="J1" s="11"/>
      <c r="K1" s="11"/>
      <c r="L1" s="11"/>
      <c r="M1" s="11"/>
      <c r="N1" s="11"/>
      <c r="O1" s="11"/>
      <c r="P1" s="11"/>
      <c r="Q1" s="11"/>
      <c r="R1" s="11"/>
      <c r="S1" s="2"/>
    </row>
    <row r="2" spans="1:19" ht="21" customHeight="1" x14ac:dyDescent="0.25">
      <c r="A2" s="12" t="s">
        <v>159</v>
      </c>
      <c r="B2" s="12" t="s">
        <v>157</v>
      </c>
      <c r="C2" s="13" t="s">
        <v>158</v>
      </c>
      <c r="D2" s="13" t="s">
        <v>251</v>
      </c>
      <c r="E2" s="14" t="s">
        <v>252</v>
      </c>
      <c r="F2" s="14" t="s">
        <v>253</v>
      </c>
      <c r="G2" s="15" t="s">
        <v>254</v>
      </c>
      <c r="H2" s="12" t="s">
        <v>255</v>
      </c>
      <c r="I2" s="12" t="s">
        <v>166</v>
      </c>
      <c r="J2" s="11"/>
      <c r="K2" s="11"/>
      <c r="L2" s="11"/>
      <c r="M2" s="11"/>
      <c r="N2" s="11"/>
      <c r="O2" s="11"/>
      <c r="P2" s="11"/>
      <c r="Q2" s="11"/>
      <c r="R2" s="11"/>
      <c r="S2" s="2"/>
    </row>
    <row r="3" spans="1:19" ht="24" customHeight="1" x14ac:dyDescent="0.25">
      <c r="A3" s="125">
        <v>30</v>
      </c>
      <c r="B3" s="185" t="s">
        <v>173</v>
      </c>
      <c r="C3" s="186" t="s">
        <v>174</v>
      </c>
      <c r="D3" s="125">
        <v>6206</v>
      </c>
      <c r="E3" s="187">
        <v>6900</v>
      </c>
      <c r="F3" s="187">
        <v>259778</v>
      </c>
      <c r="G3" s="187">
        <f>INDEX(Tubex_Dashboard!$H$11:$H$100,MATCH(MRP!D3,Tubex_Dashboard!$F$11:$F$100,0))</f>
        <v>206166</v>
      </c>
      <c r="H3" s="188">
        <f>F3-G3</f>
        <v>53612</v>
      </c>
      <c r="I3" s="188" t="s">
        <v>256</v>
      </c>
    </row>
    <row r="4" spans="1:19" ht="24" customHeight="1" x14ac:dyDescent="0.25">
      <c r="A4" s="239">
        <v>30</v>
      </c>
      <c r="B4" s="240" t="s">
        <v>175</v>
      </c>
      <c r="C4" s="241" t="s">
        <v>176</v>
      </c>
      <c r="D4" s="239">
        <v>5814</v>
      </c>
      <c r="E4" s="242">
        <v>6901</v>
      </c>
      <c r="F4" s="242">
        <v>25000</v>
      </c>
      <c r="G4" s="242">
        <f>INDEX(Tubex_Dashboard!$H$11:$H$100,MATCH(MRP!D4,Tubex_Dashboard!$F$11:$F$100,0))</f>
        <v>0</v>
      </c>
      <c r="H4" s="243">
        <f>F4-G4</f>
        <v>25000</v>
      </c>
      <c r="I4" s="243" t="s">
        <v>256</v>
      </c>
    </row>
    <row r="5" spans="1:19" ht="24" customHeight="1" x14ac:dyDescent="0.25">
      <c r="A5" s="12"/>
      <c r="B5" s="12"/>
      <c r="C5" s="13"/>
      <c r="D5" s="13"/>
      <c r="E5" s="14" t="s">
        <v>257</v>
      </c>
      <c r="F5" s="114">
        <f>SUM(F3:F4)</f>
        <v>284778</v>
      </c>
      <c r="G5" s="114">
        <f>SUM(G3:G4)</f>
        <v>206166</v>
      </c>
      <c r="H5" s="114">
        <f>SUMIF(H3:H4, "&gt;0")</f>
        <v>78612</v>
      </c>
      <c r="I5" s="12"/>
      <c r="J5" s="11"/>
      <c r="K5" s="11"/>
      <c r="L5" s="11"/>
      <c r="M5" s="11"/>
      <c r="N5" s="11"/>
      <c r="O5" s="11"/>
      <c r="P5" s="11"/>
      <c r="Q5" s="11"/>
      <c r="R5" s="2"/>
    </row>
    <row r="6" spans="1:19" ht="24" customHeight="1" x14ac:dyDescent="0.25">
      <c r="A6" s="18" t="s">
        <v>258</v>
      </c>
      <c r="B6" s="19"/>
      <c r="C6" s="19"/>
      <c r="D6" s="19"/>
      <c r="E6" s="20"/>
      <c r="F6" s="20"/>
      <c r="G6" s="21"/>
      <c r="H6" s="20"/>
      <c r="I6" s="19"/>
      <c r="J6" s="11"/>
      <c r="K6" s="11"/>
      <c r="L6" s="11"/>
      <c r="M6" s="11"/>
      <c r="N6" s="11"/>
      <c r="O6" s="11"/>
      <c r="P6" s="11"/>
      <c r="Q6" s="11"/>
      <c r="R6" s="11"/>
      <c r="S6" s="2"/>
    </row>
    <row r="7" spans="1:19" ht="24" customHeight="1" x14ac:dyDescent="0.25">
      <c r="A7" s="12" t="s">
        <v>2</v>
      </c>
      <c r="B7" s="12" t="s">
        <v>3</v>
      </c>
      <c r="C7" s="12" t="s">
        <v>259</v>
      </c>
      <c r="D7" s="12" t="s">
        <v>5</v>
      </c>
      <c r="E7" s="14" t="s">
        <v>253</v>
      </c>
      <c r="F7" s="14" t="s">
        <v>260</v>
      </c>
      <c r="G7" s="15" t="s">
        <v>261</v>
      </c>
      <c r="H7" s="180" t="s">
        <v>262</v>
      </c>
      <c r="I7" s="12" t="s">
        <v>263</v>
      </c>
      <c r="J7" s="211" t="s">
        <v>264</v>
      </c>
      <c r="L7" s="11"/>
      <c r="M7" s="11"/>
      <c r="N7" s="11"/>
      <c r="O7" s="11"/>
      <c r="P7" s="11"/>
      <c r="Q7" s="11"/>
      <c r="R7" s="11"/>
      <c r="S7" s="2"/>
    </row>
    <row r="8" spans="1:19" ht="36" hidden="1" customHeight="1" x14ac:dyDescent="0.25">
      <c r="A8" s="16">
        <v>33</v>
      </c>
      <c r="B8" s="181" t="s">
        <v>265</v>
      </c>
      <c r="C8" s="181" t="s">
        <v>266</v>
      </c>
      <c r="D8" s="181" t="s">
        <v>15</v>
      </c>
      <c r="E8" s="182">
        <f>SUMPRODUCT((TableBOM[Item ID]=A8)*TableBOM[Per 1000 Units]*(1+TableBOM[Scrap %])*SUMIF($D$3:$D$4,TableBOM[Product ID],$H$3:$H$4)/1000)</f>
        <v>0</v>
      </c>
      <c r="F8" s="182">
        <f>IFERROR(INDEX(TableInventory[Store Balance],MATCH(A8,TableInventory[Item ID],0)),0)+IFERROR(INDEX(TableInventory[Work In Process],MATCH(A8,TableInventory[Item ID],0)),0)</f>
        <v>0</v>
      </c>
      <c r="G8" s="182">
        <f t="shared" ref="G8:G39" si="0">F8-E8</f>
        <v>0</v>
      </c>
      <c r="H8" s="208" t="str">
        <f>IFERROR(IF(SUMPRODUCT((TableBOM[Item ID]=A8)*((TableBOM[Product ID]=$D$3)*($H$3&gt;0)+(TableBOM[Product ID]=$D$4)*($H$4&gt;0)))=0,"-",ROUND(F8/((SUMPRODUCT((TableBOM[Item ID]=A8)*TableBOM[Per 1000 Units]*((TableBOM[Product ID]=$D$3)*($H$3&gt;0)+(TableBOM[Product ID]=$D$4)*($H$4&gt;0)))/SUMPRODUCT((TableBOM[Item ID]=A8)*((TableBOM[Product ID]=$D$3)*($H$3&gt;0)+(TableBOM[Product ID]=$D$4)*($H$4&gt;0))))/1000),0)),"-")</f>
        <v>-</v>
      </c>
      <c r="I8" s="184" t="str">
        <f t="shared" ref="I8:I39" si="1">IF(E8=0,"Not needed",IF(G8&lt;0,"SHORTAGE",IF(G8&lt;F8*0.1,"LOW","OK")))</f>
        <v>Not needed</v>
      </c>
      <c r="J8" s="208" t="str">
        <f>IF(LEN(IF((COUNTIFS(TableBOM[Product ID],$D$3,TableBOM[Item ID],$A8)&gt;0)*($H$3&gt;0),$C$3&amp;", ","") &amp; IF((COUNTIFS(TableBOM[Product ID],$D$4,TableBOM[Item ID],$A8)&gt;0)*($H$4&gt;0),$C$4&amp;", ",""))&gt;1,LEFT(IF((COUNTIFS(TableBOM[Product ID],$D$3,TableBOM[Item ID],$A8)&gt;0)*($H$3&gt;0),$C$3&amp;", ","") &amp; IF((COUNTIFS(TableBOM[Product ID],$D$4,TableBOM[Item ID],$A8)&gt;0)*($H$4&gt;0),$C$4&amp;", ",""),LEN(IF((COUNTIFS(TableBOM[Product ID],$D$3,TableBOM[Item ID],$A8)&gt;0)*($H$3&gt;0),$C$3&amp;", ","") &amp; IF((COUNTIFS(TableBOM[Product ID],$D$4,TableBOM[Item ID],$A8)&gt;0)*($H$4&gt;0),$C$4&amp;", ",""))-2),"")</f>
        <v/>
      </c>
      <c r="L8" s="11"/>
      <c r="M8" s="11"/>
      <c r="N8" s="11"/>
      <c r="O8" s="11"/>
      <c r="P8" s="11"/>
      <c r="Q8" s="11"/>
      <c r="R8" s="11"/>
      <c r="S8" s="2"/>
    </row>
    <row r="9" spans="1:19" hidden="1" x14ac:dyDescent="0.25">
      <c r="A9" s="16">
        <v>31</v>
      </c>
      <c r="B9" s="181" t="s">
        <v>265</v>
      </c>
      <c r="C9" s="181" t="s">
        <v>14</v>
      </c>
      <c r="D9" s="181" t="s">
        <v>15</v>
      </c>
      <c r="E9" s="182">
        <f>SUMPRODUCT((TableBOM[Item ID]=A9)*TableBOM[Per 1000 Units]*(1+TableBOM[Scrap %])*SUMIF($D$3:$D$4,TableBOM[Product ID],$H$3:$H$4)/1000)</f>
        <v>0</v>
      </c>
      <c r="F9" s="182">
        <f>IFERROR(INDEX(TableInventory[Store Balance],MATCH(A9,TableInventory[Item ID],0)),0)+IFERROR(INDEX(TableInventory[Work In Process],MATCH(A9,TableInventory[Item ID],0)),0)</f>
        <v>71.5</v>
      </c>
      <c r="G9" s="182">
        <f t="shared" si="0"/>
        <v>71.5</v>
      </c>
      <c r="H9" s="208" t="str">
        <f>IFERROR(IF(SUMPRODUCT((TableBOM[Item ID]=A9)*((TableBOM[Product ID]=$D$3)*($H$3&gt;0)+(TableBOM[Product ID]=$D$4)*($H$4&gt;0)))=0,"-",ROUND(F9/((SUMPRODUCT((TableBOM[Item ID]=A9)*TableBOM[Per 1000 Units]*((TableBOM[Product ID]=$D$3)*($H$3&gt;0)+(TableBOM[Product ID]=$D$4)*($H$4&gt;0)))/SUMPRODUCT((TableBOM[Item ID]=A9)*((TableBOM[Product ID]=$D$3)*($H$3&gt;0)+(TableBOM[Product ID]=$D$4)*($H$4&gt;0))))/1000),0)),"-")</f>
        <v>-</v>
      </c>
      <c r="I9" s="184" t="str">
        <f t="shared" si="1"/>
        <v>Not needed</v>
      </c>
      <c r="J9" s="208" t="str">
        <f>IF(LEN(IF((COUNTIFS(TableBOM[Product ID],$D$3,TableBOM[Item ID],$A9)&gt;0)*($H$3&gt;0),$C$3&amp;", ","") &amp; IF((COUNTIFS(TableBOM[Product ID],$D$4,TableBOM[Item ID],$A9)&gt;0)*($H$4&gt;0),$C$4&amp;", ",""))&gt;1,LEFT(IF((COUNTIFS(TableBOM[Product ID],$D$3,TableBOM[Item ID],$A9)&gt;0)*($H$3&gt;0),$C$3&amp;", ","") &amp; IF((COUNTIFS(TableBOM[Product ID],$D$4,TableBOM[Item ID],$A9)&gt;0)*($H$4&gt;0),$C$4&amp;", ",""),LEN(IF((COUNTIFS(TableBOM[Product ID],$D$3,TableBOM[Item ID],$A9)&gt;0)*($H$3&gt;0),$C$3&amp;", ","") &amp; IF((COUNTIFS(TableBOM[Product ID],$D$4,TableBOM[Item ID],$A9)&gt;0)*($H$4&gt;0),$C$4&amp;", ",""))-2),"")</f>
        <v/>
      </c>
      <c r="L9" s="11"/>
      <c r="M9" s="11"/>
      <c r="N9" s="11"/>
      <c r="O9" s="11"/>
      <c r="P9" s="11"/>
      <c r="Q9" s="11"/>
      <c r="R9" s="11"/>
      <c r="S9" s="2"/>
    </row>
    <row r="10" spans="1:19" hidden="1" x14ac:dyDescent="0.25">
      <c r="A10" s="16">
        <v>2799</v>
      </c>
      <c r="B10" s="181" t="s">
        <v>265</v>
      </c>
      <c r="C10" s="181" t="s">
        <v>16</v>
      </c>
      <c r="D10" s="181" t="s">
        <v>15</v>
      </c>
      <c r="E10" s="182">
        <f>SUMPRODUCT((TableBOM[Item ID]=A10)*TableBOM[Per 1000 Units]*(1+TableBOM[Scrap %])*SUMIF($D$3:$D$4,TableBOM[Product ID],$H$3:$H$4)/1000)</f>
        <v>0</v>
      </c>
      <c r="F10" s="182">
        <f>IFERROR(INDEX(TableInventory[Store Balance],MATCH(A10,TableInventory[Item ID],0)),0)+IFERROR(INDEX(TableInventory[Work In Process],MATCH(A10,TableInventory[Item ID],0)),0)</f>
        <v>88</v>
      </c>
      <c r="G10" s="182">
        <f t="shared" si="0"/>
        <v>88</v>
      </c>
      <c r="H10" s="208" t="str">
        <f>IFERROR(IF(SUMPRODUCT((TableBOM[Item ID]=A10)*((TableBOM[Product ID]=$D$3)*($H$3&gt;0)+(TableBOM[Product ID]=$D$4)*($H$4&gt;0)))=0,"-",ROUND(F10/((SUMPRODUCT((TableBOM[Item ID]=A10)*TableBOM[Per 1000 Units]*((TableBOM[Product ID]=$D$3)*($H$3&gt;0)+(TableBOM[Product ID]=$D$4)*($H$4&gt;0)))/SUMPRODUCT((TableBOM[Item ID]=A10)*((TableBOM[Product ID]=$D$3)*($H$3&gt;0)+(TableBOM[Product ID]=$D$4)*($H$4&gt;0))))/1000),0)),"-")</f>
        <v>-</v>
      </c>
      <c r="I10" s="184" t="str">
        <f t="shared" si="1"/>
        <v>Not needed</v>
      </c>
      <c r="J10" s="208" t="str">
        <f>IF(LEN(IF((COUNTIFS(TableBOM[Product ID],$D$3,TableBOM[Item ID],$A10)&gt;0)*($H$3&gt;0),$C$3&amp;", ","") &amp; IF((COUNTIFS(TableBOM[Product ID],$D$4,TableBOM[Item ID],$A10)&gt;0)*($H$4&gt;0),$C$4&amp;", ",""))&gt;1,LEFT(IF((COUNTIFS(TableBOM[Product ID],$D$3,TableBOM[Item ID],$A10)&gt;0)*($H$3&gt;0),$C$3&amp;", ","") &amp; IF((COUNTIFS(TableBOM[Product ID],$D$4,TableBOM[Item ID],$A10)&gt;0)*($H$4&gt;0),$C$4&amp;", ",""),LEN(IF((COUNTIFS(TableBOM[Product ID],$D$3,TableBOM[Item ID],$A10)&gt;0)*($H$3&gt;0),$C$3&amp;", ","") &amp; IF((COUNTIFS(TableBOM[Product ID],$D$4,TableBOM[Item ID],$A10)&gt;0)*($H$4&gt;0),$C$4&amp;", ",""))-2),"")</f>
        <v/>
      </c>
      <c r="L10" s="11"/>
      <c r="M10" s="11"/>
      <c r="N10" s="11"/>
      <c r="O10" s="11"/>
      <c r="P10" s="11"/>
      <c r="Q10" s="11"/>
      <c r="R10" s="11"/>
      <c r="S10" s="2"/>
    </row>
    <row r="11" spans="1:19" hidden="1" x14ac:dyDescent="0.25">
      <c r="A11" s="16">
        <v>25</v>
      </c>
      <c r="B11" s="181" t="s">
        <v>265</v>
      </c>
      <c r="C11" s="181" t="s">
        <v>267</v>
      </c>
      <c r="D11" s="181" t="s">
        <v>15</v>
      </c>
      <c r="E11" s="183">
        <f>SUMPRODUCT((TableBOM[Item ID]=A11)*TableBOM[Per 1000 Units]*(1+TableBOM[Scrap %])*SUMIF($D$3:$D$4,TableBOM[Product ID],$H$3:$H$4)/1000)</f>
        <v>0</v>
      </c>
      <c r="F11" s="183">
        <f>IFERROR(INDEX(TableInventory[Store Balance],MATCH(A11,TableInventory[Item ID],0)),0)+IFERROR(INDEX(TableInventory[Work In Process],MATCH(A11,TableInventory[Item ID],0)),0)</f>
        <v>0</v>
      </c>
      <c r="G11" s="206">
        <f t="shared" si="0"/>
        <v>0</v>
      </c>
      <c r="H11" s="208" t="str">
        <f>IFERROR(IF(SUMPRODUCT((TableBOM[Item ID]=A11)*((TableBOM[Product ID]=$D$3)*($H$3&gt;0)+(TableBOM[Product ID]=$D$4)*($H$4&gt;0)))=0,"-",ROUND(F11/((SUMPRODUCT((TableBOM[Item ID]=A11)*TableBOM[Per 1000 Units]*((TableBOM[Product ID]=$D$3)*($H$3&gt;0)+(TableBOM[Product ID]=$D$4)*($H$4&gt;0)))/SUMPRODUCT((TableBOM[Item ID]=A11)*((TableBOM[Product ID]=$D$3)*($H$3&gt;0)+(TableBOM[Product ID]=$D$4)*($H$4&gt;0))))/1000),0)),"-")</f>
        <v>-</v>
      </c>
      <c r="I11" s="184" t="str">
        <f t="shared" si="1"/>
        <v>Not needed</v>
      </c>
      <c r="J11" s="208" t="str">
        <f>IF(LEN(IF((COUNTIFS(TableBOM[Product ID],$D$3,TableBOM[Item ID],$A11)&gt;0)*($H$3&gt;0),$C$3&amp;", ","") &amp; IF((COUNTIFS(TableBOM[Product ID],$D$4,TableBOM[Item ID],$A11)&gt;0)*($H$4&gt;0),$C$4&amp;", ",""))&gt;1,LEFT(IF((COUNTIFS(TableBOM[Product ID],$D$3,TableBOM[Item ID],$A11)&gt;0)*($H$3&gt;0),$C$3&amp;", ","") &amp; IF((COUNTIFS(TableBOM[Product ID],$D$4,TableBOM[Item ID],$A11)&gt;0)*($H$4&gt;0),$C$4&amp;", ",""),LEN(IF((COUNTIFS(TableBOM[Product ID],$D$3,TableBOM[Item ID],$A11)&gt;0)*($H$3&gt;0),$C$3&amp;", ","") &amp; IF((COUNTIFS(TableBOM[Product ID],$D$4,TableBOM[Item ID],$A11)&gt;0)*($H$4&gt;0),$C$4&amp;", ",""))-2),"")</f>
        <v/>
      </c>
      <c r="L11" s="11"/>
      <c r="M11" s="11"/>
      <c r="N11" s="11"/>
      <c r="O11" s="11"/>
      <c r="P11" s="11"/>
      <c r="Q11" s="11"/>
      <c r="R11" s="11"/>
      <c r="S11" s="2"/>
    </row>
    <row r="12" spans="1:19" hidden="1" x14ac:dyDescent="0.25">
      <c r="A12" s="16">
        <v>22</v>
      </c>
      <c r="B12" s="181" t="s">
        <v>265</v>
      </c>
      <c r="C12" s="181" t="s">
        <v>268</v>
      </c>
      <c r="D12" s="181" t="s">
        <v>15</v>
      </c>
      <c r="E12" s="183">
        <f>SUMPRODUCT((TableBOM[Item ID]=A12)*TableBOM[Per 1000 Units]*(1+TableBOM[Scrap %])*SUMIF($D$3:$D$4,TableBOM[Product ID],$H$3:$H$4)/1000)</f>
        <v>0</v>
      </c>
      <c r="F12" s="183">
        <f>IFERROR(INDEX(TableInventory[Store Balance],MATCH(A12,TableInventory[Item ID],0)),0)+IFERROR(INDEX(TableInventory[Work In Process],MATCH(A12,TableInventory[Item ID],0)),0)</f>
        <v>0</v>
      </c>
      <c r="G12" s="206">
        <f t="shared" si="0"/>
        <v>0</v>
      </c>
      <c r="H12" s="208" t="str">
        <f>IFERROR(IF(SUMPRODUCT((TableBOM[Item ID]=A12)*((TableBOM[Product ID]=$D$3)*($H$3&gt;0)+(TableBOM[Product ID]=$D$4)*($H$4&gt;0)))=0,"-",ROUND(F12/((SUMPRODUCT((TableBOM[Item ID]=A12)*TableBOM[Per 1000 Units]*((TableBOM[Product ID]=$D$3)*($H$3&gt;0)+(TableBOM[Product ID]=$D$4)*($H$4&gt;0)))/SUMPRODUCT((TableBOM[Item ID]=A12)*((TableBOM[Product ID]=$D$3)*($H$3&gt;0)+(TableBOM[Product ID]=$D$4)*($H$4&gt;0))))/1000),0)),"-")</f>
        <v>-</v>
      </c>
      <c r="I12" s="184" t="str">
        <f t="shared" si="1"/>
        <v>Not needed</v>
      </c>
      <c r="J12" s="208" t="str">
        <f>IF(LEN(IF((COUNTIFS(TableBOM[Product ID],$D$3,TableBOM[Item ID],$A12)&gt;0)*($H$3&gt;0),$C$3&amp;", ","") &amp; IF((COUNTIFS(TableBOM[Product ID],$D$4,TableBOM[Item ID],$A12)&gt;0)*($H$4&gt;0),$C$4&amp;", ",""))&gt;1,LEFT(IF((COUNTIFS(TableBOM[Product ID],$D$3,TableBOM[Item ID],$A12)&gt;0)*($H$3&gt;0),$C$3&amp;", ","") &amp; IF((COUNTIFS(TableBOM[Product ID],$D$4,TableBOM[Item ID],$A12)&gt;0)*($H$4&gt;0),$C$4&amp;", ",""),LEN(IF((COUNTIFS(TableBOM[Product ID],$D$3,TableBOM[Item ID],$A12)&gt;0)*($H$3&gt;0),$C$3&amp;", ","") &amp; IF((COUNTIFS(TableBOM[Product ID],$D$4,TableBOM[Item ID],$A12)&gt;0)*($H$4&gt;0),$C$4&amp;", ",""))-2),"")</f>
        <v/>
      </c>
    </row>
    <row r="13" spans="1:19" hidden="1" x14ac:dyDescent="0.25">
      <c r="A13" s="16">
        <v>19</v>
      </c>
      <c r="B13" s="181" t="s">
        <v>265</v>
      </c>
      <c r="C13" s="181" t="s">
        <v>17</v>
      </c>
      <c r="D13" s="181" t="s">
        <v>15</v>
      </c>
      <c r="E13" s="182">
        <f>SUMPRODUCT((TableBOM[Item ID]=A13)*TableBOM[Per 1000 Units]*(1+TableBOM[Scrap %])*SUMIF($D$3:$D$4,TableBOM[Product ID],$H$3:$H$4)/1000)</f>
        <v>0</v>
      </c>
      <c r="F13" s="182">
        <f>IFERROR(INDEX(TableInventory[Store Balance],MATCH(A13,TableInventory[Item ID],0)),0)+IFERROR(INDEX(TableInventory[Work In Process],MATCH(A13,TableInventory[Item ID],0)),0)</f>
        <v>425</v>
      </c>
      <c r="G13" s="182">
        <f t="shared" si="0"/>
        <v>425</v>
      </c>
      <c r="H13" s="208" t="str">
        <f>IFERROR(IF(SUMPRODUCT((TableBOM[Item ID]=A13)*((TableBOM[Product ID]=$D$3)*($H$3&gt;0)+(TableBOM[Product ID]=$D$4)*($H$4&gt;0)))=0,"-",ROUND(F13/((SUMPRODUCT((TableBOM[Item ID]=A13)*TableBOM[Per 1000 Units]*((TableBOM[Product ID]=$D$3)*($H$3&gt;0)+(TableBOM[Product ID]=$D$4)*($H$4&gt;0)))/SUMPRODUCT((TableBOM[Item ID]=A13)*((TableBOM[Product ID]=$D$3)*($H$3&gt;0)+(TableBOM[Product ID]=$D$4)*($H$4&gt;0))))/1000),0)),"-")</f>
        <v>-</v>
      </c>
      <c r="I13" s="184" t="str">
        <f t="shared" si="1"/>
        <v>Not needed</v>
      </c>
      <c r="J13" s="208" t="str">
        <f>IF(LEN(IF((COUNTIFS(TableBOM[Product ID],$D$3,TableBOM[Item ID],$A13)&gt;0)*($H$3&gt;0),$C$3&amp;", ","") &amp; IF((COUNTIFS(TableBOM[Product ID],$D$4,TableBOM[Item ID],$A13)&gt;0)*($H$4&gt;0),$C$4&amp;", ",""))&gt;1,LEFT(IF((COUNTIFS(TableBOM[Product ID],$D$3,TableBOM[Item ID],$A13)&gt;0)*($H$3&gt;0),$C$3&amp;", ","") &amp; IF((COUNTIFS(TableBOM[Product ID],$D$4,TableBOM[Item ID],$A13)&gt;0)*($H$4&gt;0),$C$4&amp;", ",""),LEN(IF((COUNTIFS(TableBOM[Product ID],$D$3,TableBOM[Item ID],$A13)&gt;0)*($H$3&gt;0),$C$3&amp;", ","") &amp; IF((COUNTIFS(TableBOM[Product ID],$D$4,TableBOM[Item ID],$A13)&gt;0)*($H$4&gt;0),$C$4&amp;", ",""))-2),"")</f>
        <v/>
      </c>
    </row>
    <row r="14" spans="1:19" hidden="1" x14ac:dyDescent="0.25">
      <c r="A14" s="16">
        <v>4179</v>
      </c>
      <c r="B14" s="181" t="s">
        <v>265</v>
      </c>
      <c r="C14" s="181" t="s">
        <v>18</v>
      </c>
      <c r="D14" s="181" t="s">
        <v>15</v>
      </c>
      <c r="E14" s="182">
        <f>SUMPRODUCT((TableBOM[Item ID]=A14)*TableBOM[Per 1000 Units]*(1+TableBOM[Scrap %])*SUMIF($D$3:$D$4,TableBOM[Product ID],$H$3:$H$4)/1000)</f>
        <v>0</v>
      </c>
      <c r="F14" s="182">
        <f>IFERROR(INDEX(TableInventory[Store Balance],MATCH(A14,TableInventory[Item ID],0)),0)+IFERROR(INDEX(TableInventory[Work In Process],MATCH(A14,TableInventory[Item ID],0)),0)</f>
        <v>132</v>
      </c>
      <c r="G14" s="182">
        <f t="shared" si="0"/>
        <v>132</v>
      </c>
      <c r="H14" s="208" t="str">
        <f>IFERROR(IF(SUMPRODUCT((TableBOM[Item ID]=A14)*((TableBOM[Product ID]=$D$3)*($H$3&gt;0)+(TableBOM[Product ID]=$D$4)*($H$4&gt;0)))=0,"-",ROUND(F14/((SUMPRODUCT((TableBOM[Item ID]=A14)*TableBOM[Per 1000 Units]*((TableBOM[Product ID]=$D$3)*($H$3&gt;0)+(TableBOM[Product ID]=$D$4)*($H$4&gt;0)))/SUMPRODUCT((TableBOM[Item ID]=A14)*((TableBOM[Product ID]=$D$3)*($H$3&gt;0)+(TableBOM[Product ID]=$D$4)*($H$4&gt;0))))/1000),0)),"-")</f>
        <v>-</v>
      </c>
      <c r="I14" s="184" t="str">
        <f t="shared" si="1"/>
        <v>Not needed</v>
      </c>
      <c r="J14" s="208" t="str">
        <f>IF(LEN(IF((COUNTIFS(TableBOM[Product ID],$D$3,TableBOM[Item ID],$A14)&gt;0)*($H$3&gt;0),$C$3&amp;", ","") &amp; IF((COUNTIFS(TableBOM[Product ID],$D$4,TableBOM[Item ID],$A14)&gt;0)*($H$4&gt;0),$C$4&amp;", ",""))&gt;1,LEFT(IF((COUNTIFS(TableBOM[Product ID],$D$3,TableBOM[Item ID],$A14)&gt;0)*($H$3&gt;0),$C$3&amp;", ","") &amp; IF((COUNTIFS(TableBOM[Product ID],$D$4,TableBOM[Item ID],$A14)&gt;0)*($H$4&gt;0),$C$4&amp;", ",""),LEN(IF((COUNTIFS(TableBOM[Product ID],$D$3,TableBOM[Item ID],$A14)&gt;0)*($H$3&gt;0),$C$3&amp;", ","") &amp; IF((COUNTIFS(TableBOM[Product ID],$D$4,TableBOM[Item ID],$A14)&gt;0)*($H$4&gt;0),$C$4&amp;", ",""))-2),"")</f>
        <v/>
      </c>
    </row>
    <row r="15" spans="1:19" hidden="1" x14ac:dyDescent="0.25">
      <c r="A15" s="16">
        <v>6</v>
      </c>
      <c r="B15" s="181" t="s">
        <v>265</v>
      </c>
      <c r="C15" s="181" t="s">
        <v>19</v>
      </c>
      <c r="D15" s="181" t="s">
        <v>15</v>
      </c>
      <c r="E15" s="182">
        <f>SUMPRODUCT((TableBOM[Item ID]=A15)*TableBOM[Per 1000 Units]*(1+TableBOM[Scrap %])*SUMIF($D$3:$D$4,TableBOM[Product ID],$H$3:$H$4)/1000)</f>
        <v>0</v>
      </c>
      <c r="F15" s="182">
        <f>IFERROR(INDEX(TableInventory[Store Balance],MATCH(A15,TableInventory[Item ID],0)),0)+IFERROR(INDEX(TableInventory[Work In Process],MATCH(A15,TableInventory[Item ID],0)),0)</f>
        <v>25</v>
      </c>
      <c r="G15" s="182">
        <f t="shared" si="0"/>
        <v>25</v>
      </c>
      <c r="H15" s="208" t="str">
        <f>IFERROR(IF(SUMPRODUCT((TableBOM[Item ID]=A15)*((TableBOM[Product ID]=$D$3)*($H$3&gt;0)+(TableBOM[Product ID]=$D$4)*($H$4&gt;0)))=0,"-",ROUND(F15/((SUMPRODUCT((TableBOM[Item ID]=A15)*TableBOM[Per 1000 Units]*((TableBOM[Product ID]=$D$3)*($H$3&gt;0)+(TableBOM[Product ID]=$D$4)*($H$4&gt;0)))/SUMPRODUCT((TableBOM[Item ID]=A15)*((TableBOM[Product ID]=$D$3)*($H$3&gt;0)+(TableBOM[Product ID]=$D$4)*($H$4&gt;0))))/1000),0)),"-")</f>
        <v>-</v>
      </c>
      <c r="I15" s="184" t="str">
        <f t="shared" si="1"/>
        <v>Not needed</v>
      </c>
      <c r="J15" s="208" t="str">
        <f>IF(LEN(IF((COUNTIFS(TableBOM[Product ID],$D$3,TableBOM[Item ID],$A15)&gt;0)*($H$3&gt;0),$C$3&amp;", ","") &amp; IF((COUNTIFS(TableBOM[Product ID],$D$4,TableBOM[Item ID],$A15)&gt;0)*($H$4&gt;0),$C$4&amp;", ",""))&gt;1,LEFT(IF((COUNTIFS(TableBOM[Product ID],$D$3,TableBOM[Item ID],$A15)&gt;0)*($H$3&gt;0),$C$3&amp;", ","") &amp; IF((COUNTIFS(TableBOM[Product ID],$D$4,TableBOM[Item ID],$A15)&gt;0)*($H$4&gt;0),$C$4&amp;", ",""),LEN(IF((COUNTIFS(TableBOM[Product ID],$D$3,TableBOM[Item ID],$A15)&gt;0)*($H$3&gt;0),$C$3&amp;", ","") &amp; IF((COUNTIFS(TableBOM[Product ID],$D$4,TableBOM[Item ID],$A15)&gt;0)*($H$4&gt;0),$C$4&amp;", ",""))-2),"")</f>
        <v/>
      </c>
    </row>
    <row r="16" spans="1:19" hidden="1" x14ac:dyDescent="0.25">
      <c r="A16" s="16">
        <v>10</v>
      </c>
      <c r="B16" s="181" t="s">
        <v>265</v>
      </c>
      <c r="C16" s="181" t="s">
        <v>269</v>
      </c>
      <c r="D16" s="181" t="s">
        <v>15</v>
      </c>
      <c r="E16" s="182">
        <f>SUMPRODUCT((TableBOM[Item ID]=A16)*TableBOM[Per 1000 Units]*(1+TableBOM[Scrap %])*SUMIF($D$3:$D$4,TableBOM[Product ID],$H$3:$H$4)/1000)</f>
        <v>0</v>
      </c>
      <c r="F16" s="182">
        <f>IFERROR(INDEX(TableInventory[Store Balance],MATCH(A16,TableInventory[Item ID],0)),0)+IFERROR(INDEX(TableInventory[Work In Process],MATCH(A16,TableInventory[Item ID],0)),0)</f>
        <v>0</v>
      </c>
      <c r="G16" s="182">
        <f t="shared" si="0"/>
        <v>0</v>
      </c>
      <c r="H16" s="208" t="str">
        <f>IFERROR(IF(SUMPRODUCT((TableBOM[Item ID]=A16)*((TableBOM[Product ID]=$D$3)*($H$3&gt;0)+(TableBOM[Product ID]=$D$4)*($H$4&gt;0)))=0,"-",ROUND(F16/((SUMPRODUCT((TableBOM[Item ID]=A16)*TableBOM[Per 1000 Units]*((TableBOM[Product ID]=$D$3)*($H$3&gt;0)+(TableBOM[Product ID]=$D$4)*($H$4&gt;0)))/SUMPRODUCT((TableBOM[Item ID]=A16)*((TableBOM[Product ID]=$D$3)*($H$3&gt;0)+(TableBOM[Product ID]=$D$4)*($H$4&gt;0))))/1000),0)),"-")</f>
        <v>-</v>
      </c>
      <c r="I16" s="184" t="str">
        <f t="shared" si="1"/>
        <v>Not needed</v>
      </c>
      <c r="J16" s="208" t="str">
        <f>IF(LEN(IF((COUNTIFS(TableBOM[Product ID],$D$3,TableBOM[Item ID],$A16)&gt;0)*($H$3&gt;0),$C$3&amp;", ","") &amp; IF((COUNTIFS(TableBOM[Product ID],$D$4,TableBOM[Item ID],$A16)&gt;0)*($H$4&gt;0),$C$4&amp;", ",""))&gt;1,LEFT(IF((COUNTIFS(TableBOM[Product ID],$D$3,TableBOM[Item ID],$A16)&gt;0)*($H$3&gt;0),$C$3&amp;", ","") &amp; IF((COUNTIFS(TableBOM[Product ID],$D$4,TableBOM[Item ID],$A16)&gt;0)*($H$4&gt;0),$C$4&amp;", ",""),LEN(IF((COUNTIFS(TableBOM[Product ID],$D$3,TableBOM[Item ID],$A16)&gt;0)*($H$3&gt;0),$C$3&amp;", ","") &amp; IF((COUNTIFS(TableBOM[Product ID],$D$4,TableBOM[Item ID],$A16)&gt;0)*($H$4&gt;0),$C$4&amp;", ",""))-2),"")</f>
        <v/>
      </c>
    </row>
    <row r="17" spans="1:19" hidden="1" x14ac:dyDescent="0.25">
      <c r="A17" s="16">
        <v>2</v>
      </c>
      <c r="B17" s="181" t="s">
        <v>265</v>
      </c>
      <c r="C17" s="181" t="s">
        <v>270</v>
      </c>
      <c r="D17" s="181" t="s">
        <v>15</v>
      </c>
      <c r="E17" s="182">
        <f>SUMPRODUCT((TableBOM[Item ID]=A17)*TableBOM[Per 1000 Units]*(1+TableBOM[Scrap %])*SUMIF($D$3:$D$4,TableBOM[Product ID],$H$3:$H$4)/1000)</f>
        <v>0</v>
      </c>
      <c r="F17" s="182">
        <f>IFERROR(INDEX(TableInventory[Store Balance],MATCH(A17,TableInventory[Item ID],0)),0)+IFERROR(INDEX(TableInventory[Work In Process],MATCH(A17,TableInventory[Item ID],0)),0)</f>
        <v>0</v>
      </c>
      <c r="G17" s="182">
        <f t="shared" si="0"/>
        <v>0</v>
      </c>
      <c r="H17" s="208" t="str">
        <f>IFERROR(IF(SUMPRODUCT((TableBOM[Item ID]=A17)*((TableBOM[Product ID]=$D$3)*($H$3&gt;0)+(TableBOM[Product ID]=$D$4)*($H$4&gt;0)))=0,"-",ROUND(F17/((SUMPRODUCT((TableBOM[Item ID]=A17)*TableBOM[Per 1000 Units]*((TableBOM[Product ID]=$D$3)*($H$3&gt;0)+(TableBOM[Product ID]=$D$4)*($H$4&gt;0)))/SUMPRODUCT((TableBOM[Item ID]=A17)*((TableBOM[Product ID]=$D$3)*($H$3&gt;0)+(TableBOM[Product ID]=$D$4)*($H$4&gt;0))))/1000),0)),"-")</f>
        <v>-</v>
      </c>
      <c r="I17" s="184" t="str">
        <f t="shared" si="1"/>
        <v>Not needed</v>
      </c>
      <c r="J17" s="208" t="str">
        <f>IF(LEN(IF((COUNTIFS(TableBOM[Product ID],$D$3,TableBOM[Item ID],$A17)&gt;0)*($H$3&gt;0),$C$3&amp;", ","") &amp; IF((COUNTIFS(TableBOM[Product ID],$D$4,TableBOM[Item ID],$A17)&gt;0)*($H$4&gt;0),$C$4&amp;", ",""))&gt;1,LEFT(IF((COUNTIFS(TableBOM[Product ID],$D$3,TableBOM[Item ID],$A17)&gt;0)*($H$3&gt;0),$C$3&amp;", ","") &amp; IF((COUNTIFS(TableBOM[Product ID],$D$4,TableBOM[Item ID],$A17)&gt;0)*($H$4&gt;0),$C$4&amp;", ",""),LEN(IF((COUNTIFS(TableBOM[Product ID],$D$3,TableBOM[Item ID],$A17)&gt;0)*($H$3&gt;0),$C$3&amp;", ","") &amp; IF((COUNTIFS(TableBOM[Product ID],$D$4,TableBOM[Item ID],$A17)&gt;0)*($H$4&gt;0),$C$4&amp;", ",""))-2),"")</f>
        <v/>
      </c>
    </row>
    <row r="18" spans="1:19" x14ac:dyDescent="0.25">
      <c r="A18" s="16">
        <v>406</v>
      </c>
      <c r="B18" s="181" t="s">
        <v>265</v>
      </c>
      <c r="C18" s="181" t="s">
        <v>20</v>
      </c>
      <c r="D18" s="181" t="s">
        <v>15</v>
      </c>
      <c r="E18" s="182">
        <f>SUMPRODUCT((TableBOM[Item ID]=A18)*TableBOM[Per 1000 Units]*(1+TableBOM[Scrap %])*SUMIF($D$3:$D$4,TableBOM[Product ID],$H$3:$H$4)/1000)</f>
        <v>691.78560000000004</v>
      </c>
      <c r="F18" s="183">
        <f>IFERROR(INDEX(TableInventory[Store Balance],MATCH(A18,TableInventory[Item ID],0)),0)+IFERROR(INDEX(TableInventory[Work In Process],MATCH(A18,TableInventory[Item ID],0)),0)</f>
        <v>105</v>
      </c>
      <c r="G18" s="182">
        <f t="shared" si="0"/>
        <v>-586.78560000000004</v>
      </c>
      <c r="H18" s="208">
        <f>IFERROR(IF(SUMPRODUCT((TableBOM[Item ID]=A18)*((TableBOM[Product ID]=$D$3)*($H$3&gt;0)+(TableBOM[Product ID]=$D$4)*($H$4&gt;0)))=0,"-",ROUND(F18/((SUMPRODUCT((TableBOM[Item ID]=A18)*TableBOM[Per 1000 Units]*((TableBOM[Product ID]=$D$3)*($H$3&gt;0)+(TableBOM[Product ID]=$D$4)*($H$4&gt;0)))/SUMPRODUCT((TableBOM[Item ID]=A18)*((TableBOM[Product ID]=$D$3)*($H$3&gt;0)+(TableBOM[Product ID]=$D$4)*($H$4&gt;0))))/1000),0)),"-")</f>
        <v>13125</v>
      </c>
      <c r="I18" s="184" t="str">
        <f t="shared" si="1"/>
        <v>SHORTAGE</v>
      </c>
      <c r="J18" s="210" t="str">
        <f>IF(LEN(IF((COUNTIFS(TableBOM[Product ID],$D$3,TableBOM[Item ID],$A18)&gt;0)*($H$3&gt;0),$C$3&amp;", ","") &amp; IF((COUNTIFS(TableBOM[Product ID],$D$4,TableBOM[Item ID],$A18)&gt;0)*($H$4&gt;0),$C$4&amp;", ",""))&gt;1,LEFT(IF((COUNTIFS(TableBOM[Product ID],$D$3,TableBOM[Item ID],$A18)&gt;0)*($H$3&gt;0),$C$3&amp;", ","") &amp; IF((COUNTIFS(TableBOM[Product ID],$D$4,TableBOM[Item ID],$A18)&gt;0)*($H$4&gt;0),$C$4&amp;", ",""),LEN(IF((COUNTIFS(TableBOM[Product ID],$D$3,TableBOM[Item ID],$A18)&gt;0)*($H$3&gt;0),$C$3&amp;", ","") &amp; IF((COUNTIFS(TableBOM[Product ID],$D$4,TableBOM[Item ID],$A18)&gt;0)*($H$4&gt;0),$C$4&amp;", ",""))-2),"")</f>
        <v>HELLO HAIR COLOR, VINCE NURTURAL</v>
      </c>
      <c r="L18" s="11"/>
      <c r="M18" s="11"/>
      <c r="N18" s="11"/>
      <c r="O18" s="11"/>
      <c r="P18" s="11"/>
      <c r="Q18" s="11"/>
      <c r="R18" s="11"/>
      <c r="S18" s="2"/>
    </row>
    <row r="19" spans="1:19" hidden="1" x14ac:dyDescent="0.25">
      <c r="A19" s="16">
        <v>6961</v>
      </c>
      <c r="B19" s="181" t="s">
        <v>265</v>
      </c>
      <c r="C19" s="181" t="s">
        <v>271</v>
      </c>
      <c r="D19" s="181" t="s">
        <v>15</v>
      </c>
      <c r="E19" s="183">
        <f>SUMPRODUCT((TableBOM[Item ID]=A19)*TableBOM[Per 1000 Units]*(1+TableBOM[Scrap %])*SUMIF($D$3:$D$4,TableBOM[Product ID],$H$3:$H$4)/1000)</f>
        <v>0</v>
      </c>
      <c r="F19" s="183">
        <f>IFERROR(INDEX(TableInventory[Store Balance],MATCH(A19,TableInventory[Item ID],0)),0)+IFERROR(INDEX(TableInventory[Work In Process],MATCH(A19,TableInventory[Item ID],0)),0)</f>
        <v>0</v>
      </c>
      <c r="G19" s="206">
        <f t="shared" si="0"/>
        <v>0</v>
      </c>
      <c r="H19" s="208" t="str">
        <f>IFERROR(IF(SUMPRODUCT((TableBOM[Item ID]=A19)*((TableBOM[Product ID]=$D$3)*($H$3&gt;0)+(TableBOM[Product ID]=$D$4)*($H$4&gt;0)))=0,"-",ROUND(F19/((SUMPRODUCT((TableBOM[Item ID]=A19)*TableBOM[Per 1000 Units]*((TableBOM[Product ID]=$D$3)*($H$3&gt;0)+(TableBOM[Product ID]=$D$4)*($H$4&gt;0)))/SUMPRODUCT((TableBOM[Item ID]=A19)*((TableBOM[Product ID]=$D$3)*($H$3&gt;0)+(TableBOM[Product ID]=$D$4)*($H$4&gt;0))))/1000),0)),"-")</f>
        <v>-</v>
      </c>
      <c r="I19" s="184" t="str">
        <f t="shared" si="1"/>
        <v>Not needed</v>
      </c>
      <c r="J19" s="208" t="str">
        <f>IF(LEN(IF((COUNTIFS(TableBOM[Product ID],$D$3,TableBOM[Item ID],$A19)&gt;0)*($H$3&gt;0),$C$3&amp;", ","") &amp; IF((COUNTIFS(TableBOM[Product ID],$D$4,TableBOM[Item ID],$A19)&gt;0)*($H$4&gt;0),$C$4&amp;", ",""))&gt;1,LEFT(IF((COUNTIFS(TableBOM[Product ID],$D$3,TableBOM[Item ID],$A19)&gt;0)*($H$3&gt;0),$C$3&amp;", ","") &amp; IF((COUNTIFS(TableBOM[Product ID],$D$4,TableBOM[Item ID],$A19)&gt;0)*($H$4&gt;0),$C$4&amp;", ",""),LEN(IF((COUNTIFS(TableBOM[Product ID],$D$3,TableBOM[Item ID],$A19)&gt;0)*($H$3&gt;0),$C$3&amp;", ","") &amp; IF((COUNTIFS(TableBOM[Product ID],$D$4,TableBOM[Item ID],$A19)&gt;0)*($H$4&gt;0),$C$4&amp;", ",""))-2),"")</f>
        <v/>
      </c>
      <c r="L19" s="11"/>
      <c r="M19" s="11"/>
      <c r="N19" s="11"/>
      <c r="O19" s="11"/>
      <c r="P19" s="11"/>
      <c r="Q19" s="11"/>
      <c r="R19" s="11"/>
      <c r="S19" s="2"/>
    </row>
    <row r="20" spans="1:19" hidden="1" x14ac:dyDescent="0.25">
      <c r="A20" s="16">
        <v>3935</v>
      </c>
      <c r="B20" s="181" t="s">
        <v>265</v>
      </c>
      <c r="C20" s="181" t="s">
        <v>21</v>
      </c>
      <c r="D20" s="181" t="s">
        <v>15</v>
      </c>
      <c r="E20" s="182">
        <f>SUMPRODUCT((TableBOM[Item ID]=A20)*TableBOM[Per 1000 Units]*(1+TableBOM[Scrap %])*SUMIF($D$3:$D$4,TableBOM[Product ID],$H$3:$H$4)/1000)</f>
        <v>0</v>
      </c>
      <c r="F20" s="182">
        <f>IFERROR(INDEX(TableInventory[Store Balance],MATCH(A20,TableInventory[Item ID],0)),0)+IFERROR(INDEX(TableInventory[Work In Process],MATCH(A20,TableInventory[Item ID],0)),0)</f>
        <v>425</v>
      </c>
      <c r="G20" s="182">
        <f t="shared" si="0"/>
        <v>425</v>
      </c>
      <c r="H20" s="208" t="str">
        <f>IFERROR(IF(SUMPRODUCT((TableBOM[Item ID]=A20)*((TableBOM[Product ID]=$D$3)*($H$3&gt;0)+(TableBOM[Product ID]=$D$4)*($H$4&gt;0)))=0,"-",ROUND(F20/((SUMPRODUCT((TableBOM[Item ID]=A20)*TableBOM[Per 1000 Units]*((TableBOM[Product ID]=$D$3)*($H$3&gt;0)+(TableBOM[Product ID]=$D$4)*($H$4&gt;0)))/SUMPRODUCT((TableBOM[Item ID]=A20)*((TableBOM[Product ID]=$D$3)*($H$3&gt;0)+(TableBOM[Product ID]=$D$4)*($H$4&gt;0))))/1000),0)),"-")</f>
        <v>-</v>
      </c>
      <c r="I20" s="184" t="str">
        <f t="shared" si="1"/>
        <v>Not needed</v>
      </c>
      <c r="J20" s="208" t="str">
        <f>IF(LEN(IF((COUNTIFS(TableBOM[Product ID],$D$3,TableBOM[Item ID],$A20)&gt;0)*($H$3&gt;0),$C$3&amp;", ","") &amp; IF((COUNTIFS(TableBOM[Product ID],$D$4,TableBOM[Item ID],$A20)&gt;0)*($H$4&gt;0),$C$4&amp;", ",""))&gt;1,LEFT(IF((COUNTIFS(TableBOM[Product ID],$D$3,TableBOM[Item ID],$A20)&gt;0)*($H$3&gt;0),$C$3&amp;", ","") &amp; IF((COUNTIFS(TableBOM[Product ID],$D$4,TableBOM[Item ID],$A20)&gt;0)*($H$4&gt;0),$C$4&amp;", ",""),LEN(IF((COUNTIFS(TableBOM[Product ID],$D$3,TableBOM[Item ID],$A20)&gt;0)*($H$3&gt;0),$C$3&amp;", ","") &amp; IF((COUNTIFS(TableBOM[Product ID],$D$4,TableBOM[Item ID],$A20)&gt;0)*($H$4&gt;0),$C$4&amp;", ",""))-2),"")</f>
        <v/>
      </c>
      <c r="L20" s="11"/>
      <c r="M20" s="11"/>
      <c r="N20" s="11"/>
      <c r="O20" s="11"/>
      <c r="P20" s="11"/>
      <c r="Q20" s="11"/>
      <c r="R20" s="11"/>
      <c r="S20" s="2"/>
    </row>
    <row r="21" spans="1:19" hidden="1" x14ac:dyDescent="0.25">
      <c r="A21" s="16">
        <v>3503</v>
      </c>
      <c r="B21" s="181" t="s">
        <v>265</v>
      </c>
      <c r="C21" s="181" t="s">
        <v>22</v>
      </c>
      <c r="D21" s="181" t="s">
        <v>15</v>
      </c>
      <c r="E21" s="182">
        <f>SUMPRODUCT((TableBOM[Item ID]=A21)*TableBOM[Per 1000 Units]*(1+TableBOM[Scrap %])*SUMIF($D$3:$D$4,TableBOM[Product ID],$H$3:$H$4)/1000)</f>
        <v>0</v>
      </c>
      <c r="F21" s="182">
        <f>IFERROR(INDEX(TableInventory[Store Balance],MATCH(A21,TableInventory[Item ID],0)),0)+IFERROR(INDEX(TableInventory[Work In Process],MATCH(A21,TableInventory[Item ID],0)),0)</f>
        <v>328</v>
      </c>
      <c r="G21" s="182">
        <f t="shared" si="0"/>
        <v>328</v>
      </c>
      <c r="H21" s="208" t="str">
        <f>IFERROR(IF(SUMPRODUCT((TableBOM[Item ID]=A21)*((TableBOM[Product ID]=$D$3)*($H$3&gt;0)+(TableBOM[Product ID]=$D$4)*($H$4&gt;0)))=0,"-",ROUND(F21/((SUMPRODUCT((TableBOM[Item ID]=A21)*TableBOM[Per 1000 Units]*((TableBOM[Product ID]=$D$3)*($H$3&gt;0)+(TableBOM[Product ID]=$D$4)*($H$4&gt;0)))/SUMPRODUCT((TableBOM[Item ID]=A21)*((TableBOM[Product ID]=$D$3)*($H$3&gt;0)+(TableBOM[Product ID]=$D$4)*($H$4&gt;0))))/1000),0)),"-")</f>
        <v>-</v>
      </c>
      <c r="I21" s="207" t="str">
        <f t="shared" si="1"/>
        <v>Not needed</v>
      </c>
      <c r="J21" s="208" t="str">
        <f>IF(LEN(IF((COUNTIFS(TableBOM[Product ID],$D$3,TableBOM[Item ID],$A21)&gt;0)*($H$3&gt;0),$C$3&amp;", ","") &amp; IF((COUNTIFS(TableBOM[Product ID],$D$4,TableBOM[Item ID],$A21)&gt;0)*($H$4&gt;0),$C$4&amp;", ",""))&gt;1,LEFT(IF((COUNTIFS(TableBOM[Product ID],$D$3,TableBOM[Item ID],$A21)&gt;0)*($H$3&gt;0),$C$3&amp;", ","") &amp; IF((COUNTIFS(TableBOM[Product ID],$D$4,TableBOM[Item ID],$A21)&gt;0)*($H$4&gt;0),$C$4&amp;", ",""),LEN(IF((COUNTIFS(TableBOM[Product ID],$D$3,TableBOM[Item ID],$A21)&gt;0)*($H$3&gt;0),$C$3&amp;", ","") &amp; IF((COUNTIFS(TableBOM[Product ID],$D$4,TableBOM[Item ID],$A21)&gt;0)*($H$4&gt;0),$C$4&amp;", ",""))-2),"")</f>
        <v/>
      </c>
    </row>
    <row r="22" spans="1:19" ht="24" hidden="1" customHeight="1" x14ac:dyDescent="0.25">
      <c r="A22" s="16">
        <v>184</v>
      </c>
      <c r="B22" s="181" t="s">
        <v>272</v>
      </c>
      <c r="C22" s="181" t="s">
        <v>273</v>
      </c>
      <c r="D22" s="181" t="s">
        <v>15</v>
      </c>
      <c r="E22" s="182">
        <f>SUMPRODUCT((TableBOM[Item ID]=A22)*TableBOM[Per 1000 Units]*(1+TableBOM[Scrap %])*SUMIF($D$3:$D$4,TableBOM[Product ID],$H$3:$H$4)/1000)</f>
        <v>0</v>
      </c>
      <c r="F22" s="182">
        <f>IFERROR(INDEX(TableInventory[Store Balance],MATCH(A22,TableInventory[Item ID],0)),0)+IFERROR(INDEX(TableInventory[Work In Process],MATCH(A22,TableInventory[Item ID],0)),0)</f>
        <v>0</v>
      </c>
      <c r="G22" s="182">
        <f t="shared" si="0"/>
        <v>0</v>
      </c>
      <c r="H22" s="208" t="str">
        <f>IFERROR(IF(SUMPRODUCT((TableBOM[Item ID]=A22)*((TableBOM[Product ID]=$D$3)*($H$3&gt;0)+(TableBOM[Product ID]=$D$4)*($H$4&gt;0)))=0,"-",ROUND(F22/((SUMPRODUCT((TableBOM[Item ID]=A22)*TableBOM[Per 1000 Units]*((TableBOM[Product ID]=$D$3)*($H$3&gt;0)+(TableBOM[Product ID]=$D$4)*($H$4&gt;0)))/SUMPRODUCT((TableBOM[Item ID]=A22)*((TableBOM[Product ID]=$D$3)*($H$3&gt;0)+(TableBOM[Product ID]=$D$4)*($H$4&gt;0))))/1000),0)),"-")</f>
        <v>-</v>
      </c>
      <c r="I22" s="184" t="str">
        <f t="shared" si="1"/>
        <v>Not needed</v>
      </c>
      <c r="J22" s="208" t="str">
        <f>IF(LEN(IF((COUNTIFS(TableBOM[Product ID],$D$3,TableBOM[Item ID],$A22)&gt;0)*($H$3&gt;0),$C$3&amp;", ","") &amp; IF((COUNTIFS(TableBOM[Product ID],$D$4,TableBOM[Item ID],$A22)&gt;0)*($H$4&gt;0),$C$4&amp;", ",""))&gt;1,LEFT(IF((COUNTIFS(TableBOM[Product ID],$D$3,TableBOM[Item ID],$A22)&gt;0)*($H$3&gt;0),$C$3&amp;", ","") &amp; IF((COUNTIFS(TableBOM[Product ID],$D$4,TableBOM[Item ID],$A22)&gt;0)*($H$4&gt;0),$C$4&amp;", ",""),LEN(IF((COUNTIFS(TableBOM[Product ID],$D$3,TableBOM[Item ID],$A22)&gt;0)*($H$3&gt;0),$C$3&amp;", ","") &amp; IF((COUNTIFS(TableBOM[Product ID],$D$4,TableBOM[Item ID],$A22)&gt;0)*($H$4&gt;0),$C$4&amp;", ",""))-2),"")</f>
        <v/>
      </c>
      <c r="L22" s="11"/>
      <c r="M22" s="11"/>
      <c r="N22" s="11"/>
      <c r="O22" s="11"/>
      <c r="P22" s="11"/>
      <c r="Q22" s="11"/>
      <c r="R22" s="11"/>
      <c r="S22" s="2"/>
    </row>
    <row r="23" spans="1:19" hidden="1" x14ac:dyDescent="0.25">
      <c r="A23" s="16">
        <v>185</v>
      </c>
      <c r="B23" s="181" t="s">
        <v>272</v>
      </c>
      <c r="C23" s="181" t="s">
        <v>28</v>
      </c>
      <c r="D23" s="181" t="s">
        <v>29</v>
      </c>
      <c r="E23" s="182">
        <f>SUMPRODUCT((TableBOM[Item ID]=A23)*TableBOM[Per 1000 Units]*(1+TableBOM[Scrap %])*SUMIF($D$3:$D$4,TableBOM[Product ID],$H$3:$H$4)/1000)</f>
        <v>0</v>
      </c>
      <c r="F23" s="182">
        <f>IFERROR(INDEX(TableInventory[Store Balance],MATCH(A23,TableInventory[Item ID],0)),0)+IFERROR(INDEX(TableInventory[Work In Process],MATCH(A23,TableInventory[Item ID],0)),0)</f>
        <v>50</v>
      </c>
      <c r="G23" s="182">
        <f t="shared" si="0"/>
        <v>50</v>
      </c>
      <c r="H23" s="208" t="str">
        <f>IFERROR(IF(SUMPRODUCT((TableBOM[Item ID]=A23)*((TableBOM[Product ID]=$D$3)*($H$3&gt;0)+(TableBOM[Product ID]=$D$4)*($H$4&gt;0)))=0,"-",ROUND(F23/((SUMPRODUCT((TableBOM[Item ID]=A23)*TableBOM[Per 1000 Units]*((TableBOM[Product ID]=$D$3)*($H$3&gt;0)+(TableBOM[Product ID]=$D$4)*($H$4&gt;0)))/SUMPRODUCT((TableBOM[Item ID]=A23)*((TableBOM[Product ID]=$D$3)*($H$3&gt;0)+(TableBOM[Product ID]=$D$4)*($H$4&gt;0))))/1000),0)),"-")</f>
        <v>-</v>
      </c>
      <c r="I23" s="184" t="str">
        <f t="shared" si="1"/>
        <v>Not needed</v>
      </c>
      <c r="J23" s="208" t="str">
        <f>IF(LEN(IF((COUNTIFS(TableBOM[Product ID],$D$3,TableBOM[Item ID],$A23)&gt;0)*($H$3&gt;0),$C$3&amp;", ","") &amp; IF((COUNTIFS(TableBOM[Product ID],$D$4,TableBOM[Item ID],$A23)&gt;0)*($H$4&gt;0),$C$4&amp;", ",""))&gt;1,LEFT(IF((COUNTIFS(TableBOM[Product ID],$D$3,TableBOM[Item ID],$A23)&gt;0)*($H$3&gt;0),$C$3&amp;", ","") &amp; IF((COUNTIFS(TableBOM[Product ID],$D$4,TableBOM[Item ID],$A23)&gt;0)*($H$4&gt;0),$C$4&amp;", ",""),LEN(IF((COUNTIFS(TableBOM[Product ID],$D$3,TableBOM[Item ID],$A23)&gt;0)*($H$3&gt;0),$C$3&amp;", ","") &amp; IF((COUNTIFS(TableBOM[Product ID],$D$4,TableBOM[Item ID],$A23)&gt;0)*($H$4&gt;0),$C$4&amp;", ",""))-2),"")</f>
        <v/>
      </c>
      <c r="L23" s="11"/>
      <c r="M23" s="11"/>
      <c r="N23" s="11"/>
      <c r="O23" s="11"/>
      <c r="P23" s="11"/>
      <c r="Q23" s="11"/>
      <c r="R23" s="11"/>
      <c r="S23" s="2"/>
    </row>
    <row r="24" spans="1:19" hidden="1" x14ac:dyDescent="0.25">
      <c r="A24" s="16">
        <v>188</v>
      </c>
      <c r="B24" s="181" t="s">
        <v>272</v>
      </c>
      <c r="C24" s="181" t="s">
        <v>274</v>
      </c>
      <c r="D24" s="181" t="s">
        <v>15</v>
      </c>
      <c r="E24" s="182">
        <f>SUMPRODUCT((TableBOM[Item ID]=A24)*TableBOM[Per 1000 Units]*(1+TableBOM[Scrap %])*SUMIF($D$3:$D$4,TableBOM[Product ID],$H$3:$H$4)/1000)</f>
        <v>0</v>
      </c>
      <c r="F24" s="182">
        <f>IFERROR(INDEX(TableInventory[Store Balance],MATCH(A24,TableInventory[Item ID],0)),0)+IFERROR(INDEX(TableInventory[Work In Process],MATCH(A24,TableInventory[Item ID],0)),0)</f>
        <v>91</v>
      </c>
      <c r="G24" s="182">
        <f t="shared" si="0"/>
        <v>91</v>
      </c>
      <c r="H24" s="208" t="str">
        <f>IFERROR(IF(SUMPRODUCT((TableBOM[Item ID]=A24)*((TableBOM[Product ID]=$D$3)*($H$3&gt;0)+(TableBOM[Product ID]=$D$4)*($H$4&gt;0)))=0,"-",ROUND(F24/((SUMPRODUCT((TableBOM[Item ID]=A24)*TableBOM[Per 1000 Units]*((TableBOM[Product ID]=$D$3)*($H$3&gt;0)+(TableBOM[Product ID]=$D$4)*($H$4&gt;0)))/SUMPRODUCT((TableBOM[Item ID]=A24)*((TableBOM[Product ID]=$D$3)*($H$3&gt;0)+(TableBOM[Product ID]=$D$4)*($H$4&gt;0))))/1000),0)),"-")</f>
        <v>-</v>
      </c>
      <c r="I24" s="184" t="str">
        <f t="shared" si="1"/>
        <v>Not needed</v>
      </c>
      <c r="J24" s="208" t="str">
        <f>IF(LEN(IF((COUNTIFS(TableBOM[Product ID],$D$3,TableBOM[Item ID],$A24)&gt;0)*($H$3&gt;0),$C$3&amp;", ","") &amp; IF((COUNTIFS(TableBOM[Product ID],$D$4,TableBOM[Item ID],$A24)&gt;0)*($H$4&gt;0),$C$4&amp;", ",""))&gt;1,LEFT(IF((COUNTIFS(TableBOM[Product ID],$D$3,TableBOM[Item ID],$A24)&gt;0)*($H$3&gt;0),$C$3&amp;", ","") &amp; IF((COUNTIFS(TableBOM[Product ID],$D$4,TableBOM[Item ID],$A24)&gt;0)*($H$4&gt;0),$C$4&amp;", ",""),LEN(IF((COUNTIFS(TableBOM[Product ID],$D$3,TableBOM[Item ID],$A24)&gt;0)*($H$3&gt;0),$C$3&amp;", ","") &amp; IF((COUNTIFS(TableBOM[Product ID],$D$4,TableBOM[Item ID],$A24)&gt;0)*($H$4&gt;0),$C$4&amp;", ",""))-2),"")</f>
        <v/>
      </c>
      <c r="L24" s="11"/>
      <c r="M24" s="11"/>
      <c r="N24" s="11"/>
      <c r="O24" s="11"/>
      <c r="P24" s="11"/>
      <c r="Q24" s="11"/>
      <c r="R24" s="11"/>
      <c r="S24" s="2"/>
    </row>
    <row r="25" spans="1:19" ht="24" hidden="1" customHeight="1" x14ac:dyDescent="0.25">
      <c r="A25" s="16">
        <v>1065</v>
      </c>
      <c r="B25" s="181" t="s">
        <v>272</v>
      </c>
      <c r="C25" s="181" t="s">
        <v>275</v>
      </c>
      <c r="D25" s="181" t="s">
        <v>15</v>
      </c>
      <c r="E25" s="182">
        <f>SUMPRODUCT((TableBOM[Item ID]=A25)*TableBOM[Per 1000 Units]*(1+TableBOM[Scrap %])*SUMIF($D$3:$D$4,TableBOM[Product ID],$H$3:$H$4)/1000)</f>
        <v>0</v>
      </c>
      <c r="F25" s="182">
        <f>IFERROR(INDEX(TableInventory[Store Balance],MATCH(A25,TableInventory[Item ID],0)),0)+IFERROR(INDEX(TableInventory[Work In Process],MATCH(A25,TableInventory[Item ID],0)),0)</f>
        <v>0</v>
      </c>
      <c r="G25" s="182">
        <f t="shared" si="0"/>
        <v>0</v>
      </c>
      <c r="H25" s="208" t="str">
        <f>IFERROR(IF(SUMPRODUCT((TableBOM[Item ID]=A25)*((TableBOM[Product ID]=$D$3)*($H$3&gt;0)+(TableBOM[Product ID]=$D$4)*($H$4&gt;0)))=0,"-",ROUND(F25/((SUMPRODUCT((TableBOM[Item ID]=A25)*TableBOM[Per 1000 Units]*((TableBOM[Product ID]=$D$3)*($H$3&gt;0)+(TableBOM[Product ID]=$D$4)*($H$4&gt;0)))/SUMPRODUCT((TableBOM[Item ID]=A25)*((TableBOM[Product ID]=$D$3)*($H$3&gt;0)+(TableBOM[Product ID]=$D$4)*($H$4&gt;0))))/1000),0)),"-")</f>
        <v>-</v>
      </c>
      <c r="I25" s="184" t="str">
        <f t="shared" si="1"/>
        <v>Not needed</v>
      </c>
      <c r="J25" s="208" t="str">
        <f>IF(LEN(IF((COUNTIFS(TableBOM[Product ID],$D$3,TableBOM[Item ID],$A25)&gt;0)*($H$3&gt;0),$C$3&amp;", ","") &amp; IF((COUNTIFS(TableBOM[Product ID],$D$4,TableBOM[Item ID],$A25)&gt;0)*($H$4&gt;0),$C$4&amp;", ",""))&gt;1,LEFT(IF((COUNTIFS(TableBOM[Product ID],$D$3,TableBOM[Item ID],$A25)&gt;0)*($H$3&gt;0),$C$3&amp;", ","") &amp; IF((COUNTIFS(TableBOM[Product ID],$D$4,TableBOM[Item ID],$A25)&gt;0)*($H$4&gt;0),$C$4&amp;", ",""),LEN(IF((COUNTIFS(TableBOM[Product ID],$D$3,TableBOM[Item ID],$A25)&gt;0)*($H$3&gt;0),$C$3&amp;", ","") &amp; IF((COUNTIFS(TableBOM[Product ID],$D$4,TableBOM[Item ID],$A25)&gt;0)*($H$4&gt;0),$C$4&amp;", ",""))-2),"")</f>
        <v/>
      </c>
      <c r="L25" s="11"/>
      <c r="M25" s="11"/>
      <c r="N25" s="11"/>
      <c r="O25" s="11"/>
      <c r="P25" s="11"/>
      <c r="Q25" s="11"/>
      <c r="R25" s="11"/>
      <c r="S25" s="2"/>
    </row>
    <row r="26" spans="1:19" x14ac:dyDescent="0.25">
      <c r="A26" s="16">
        <v>4155</v>
      </c>
      <c r="B26" s="181" t="s">
        <v>272</v>
      </c>
      <c r="C26" s="181" t="s">
        <v>276</v>
      </c>
      <c r="D26" s="181" t="s">
        <v>15</v>
      </c>
      <c r="E26" s="182">
        <f>SUMPRODUCT((TableBOM[Item ID]=A26)*TableBOM[Per 1000 Units]*(1+TableBOM[Scrap %])*SUMIF($D$3:$D$4,TableBOM[Product ID],$H$3:$H$4)/1000)</f>
        <v>24.649746</v>
      </c>
      <c r="F26" s="182">
        <f>IFERROR(INDEX(TableInventory[Store Balance],MATCH(A26,TableInventory[Item ID],0)),0)+IFERROR(INDEX(TableInventory[Work In Process],MATCH(A26,TableInventory[Item ID],0)),0)</f>
        <v>100</v>
      </c>
      <c r="G26" s="182">
        <f t="shared" si="0"/>
        <v>75.350254000000007</v>
      </c>
      <c r="H26" s="208">
        <f>IFERROR(IF(SUMPRODUCT((TableBOM[Item ID]=A26)*((TableBOM[Product ID]=$D$3)*($H$3&gt;0)+(TableBOM[Product ID]=$D$4)*($H$4&gt;0)))=0,"-",ROUND(F26/((SUMPRODUCT((TableBOM[Item ID]=A26)*TableBOM[Per 1000 Units]*((TableBOM[Product ID]=$D$3)*($H$3&gt;0)+(TableBOM[Product ID]=$D$4)*($H$4&gt;0)))/SUMPRODUCT((TableBOM[Item ID]=A26)*((TableBOM[Product ID]=$D$3)*($H$3&gt;0)+(TableBOM[Product ID]=$D$4)*($H$4&gt;0))))/1000),0)),"-")</f>
        <v>347283</v>
      </c>
      <c r="I26" s="184" t="str">
        <f t="shared" si="1"/>
        <v>OK</v>
      </c>
      <c r="J26" s="210" t="str">
        <f>IF(LEN(IF((COUNTIFS(TableBOM[Product ID],$D$3,TableBOM[Item ID],$A26)&gt;0)*($H$3&gt;0),$C$3&amp;", ","") &amp; IF((COUNTIFS(TableBOM[Product ID],$D$4,TableBOM[Item ID],$A26)&gt;0)*($H$4&gt;0),$C$4&amp;", ",""))&gt;1,LEFT(IF((COUNTIFS(TableBOM[Product ID],$D$3,TableBOM[Item ID],$A26)&gt;0)*($H$3&gt;0),$C$3&amp;", ","") &amp; IF((COUNTIFS(TableBOM[Product ID],$D$4,TableBOM[Item ID],$A26)&gt;0)*($H$4&gt;0),$C$4&amp;", ",""),LEN(IF((COUNTIFS(TableBOM[Product ID],$D$3,TableBOM[Item ID],$A26)&gt;0)*($H$3&gt;0),$C$3&amp;", ","") &amp; IF((COUNTIFS(TableBOM[Product ID],$D$4,TableBOM[Item ID],$A26)&gt;0)*($H$4&gt;0),$C$4&amp;", ",""))-2),"")</f>
        <v>HELLO HAIR COLOR, VINCE NURTURAL</v>
      </c>
      <c r="L26" s="11"/>
      <c r="M26" s="11"/>
      <c r="N26" s="11"/>
      <c r="O26" s="11"/>
      <c r="P26" s="11"/>
      <c r="Q26" s="11"/>
      <c r="R26" s="11"/>
      <c r="S26" s="2"/>
    </row>
    <row r="27" spans="1:19" hidden="1" x14ac:dyDescent="0.25">
      <c r="A27" s="16">
        <v>170</v>
      </c>
      <c r="B27" s="181" t="s">
        <v>277</v>
      </c>
      <c r="C27" s="181" t="s">
        <v>34</v>
      </c>
      <c r="D27" s="181" t="s">
        <v>15</v>
      </c>
      <c r="E27" s="182">
        <f>SUMPRODUCT((TableBOM[Item ID]=A27)*TableBOM[Per 1000 Units]*(1+TableBOM[Scrap %])*SUMIF($D$3:$D$4,TableBOM[Product ID],$H$3:$H$4)/1000)</f>
        <v>0</v>
      </c>
      <c r="F27" s="182">
        <f>IFERROR(INDEX(TableInventory[Store Balance],MATCH(A27,TableInventory[Item ID],0)),0)+IFERROR(INDEX(TableInventory[Work In Process],MATCH(A27,TableInventory[Item ID],0)),0)</f>
        <v>0</v>
      </c>
      <c r="G27" s="182">
        <f t="shared" si="0"/>
        <v>0</v>
      </c>
      <c r="H27" s="208" t="str">
        <f>IFERROR(IF(SUMPRODUCT((TableBOM[Item ID]=A27)*((TableBOM[Product ID]=$D$3)*($H$3&gt;0)+(TableBOM[Product ID]=$D$4)*($H$4&gt;0)))=0,"-",ROUND(F27/((SUMPRODUCT((TableBOM[Item ID]=A27)*TableBOM[Per 1000 Units]*((TableBOM[Product ID]=$D$3)*($H$3&gt;0)+(TableBOM[Product ID]=$D$4)*($H$4&gt;0)))/SUMPRODUCT((TableBOM[Item ID]=A27)*((TableBOM[Product ID]=$D$3)*($H$3&gt;0)+(TableBOM[Product ID]=$D$4)*($H$4&gt;0))))/1000),0)),"-")</f>
        <v>-</v>
      </c>
      <c r="I27" s="184" t="str">
        <f t="shared" si="1"/>
        <v>Not needed</v>
      </c>
      <c r="J27" s="208" t="str">
        <f>IF(LEN(IF((COUNTIFS(TableBOM[Product ID],$D$3,TableBOM[Item ID],$A27)&gt;0)*($H$3&gt;0),$C$3&amp;", ","") &amp; IF((COUNTIFS(TableBOM[Product ID],$D$4,TableBOM[Item ID],$A27)&gt;0)*($H$4&gt;0),$C$4&amp;", ",""))&gt;1,LEFT(IF((COUNTIFS(TableBOM[Product ID],$D$3,TableBOM[Item ID],$A27)&gt;0)*($H$3&gt;0),$C$3&amp;", ","") &amp; IF((COUNTIFS(TableBOM[Product ID],$D$4,TableBOM[Item ID],$A27)&gt;0)*($H$4&gt;0),$C$4&amp;", ",""),LEN(IF((COUNTIFS(TableBOM[Product ID],$D$3,TableBOM[Item ID],$A27)&gt;0)*($H$3&gt;0),$C$3&amp;", ","") &amp; IF((COUNTIFS(TableBOM[Product ID],$D$4,TableBOM[Item ID],$A27)&gt;0)*($H$4&gt;0),$C$4&amp;", ",""))-2),"")</f>
        <v/>
      </c>
      <c r="L27" s="11"/>
      <c r="M27" s="11"/>
      <c r="N27" s="11"/>
      <c r="O27" s="11"/>
      <c r="P27" s="11"/>
      <c r="Q27" s="11"/>
      <c r="R27" s="11"/>
      <c r="S27" s="2"/>
    </row>
    <row r="28" spans="1:19" hidden="1" x14ac:dyDescent="0.25">
      <c r="A28" s="16">
        <v>175</v>
      </c>
      <c r="B28" s="181" t="s">
        <v>277</v>
      </c>
      <c r="C28" s="181" t="s">
        <v>35</v>
      </c>
      <c r="D28" s="181" t="s">
        <v>15</v>
      </c>
      <c r="E28" s="182">
        <f>SUMPRODUCT((TableBOM[Item ID]=A28)*TableBOM[Per 1000 Units]*(1+TableBOM[Scrap %])*SUMIF($D$3:$D$4,TableBOM[Product ID],$H$3:$H$4)/1000)</f>
        <v>0</v>
      </c>
      <c r="F28" s="182">
        <f>IFERROR(INDEX(TableInventory[Store Balance],MATCH(A28,TableInventory[Item ID],0)),0)+IFERROR(INDEX(TableInventory[Work In Process],MATCH(A28,TableInventory[Item ID],0)),0)</f>
        <v>30</v>
      </c>
      <c r="G28" s="182">
        <f t="shared" si="0"/>
        <v>30</v>
      </c>
      <c r="H28" s="208" t="str">
        <f>IFERROR(IF(SUMPRODUCT((TableBOM[Item ID]=A28)*((TableBOM[Product ID]=$D$3)*($H$3&gt;0)+(TableBOM[Product ID]=$D$4)*($H$4&gt;0)))=0,"-",ROUND(F28/((SUMPRODUCT((TableBOM[Item ID]=A28)*TableBOM[Per 1000 Units]*((TableBOM[Product ID]=$D$3)*($H$3&gt;0)+(TableBOM[Product ID]=$D$4)*($H$4&gt;0)))/SUMPRODUCT((TableBOM[Item ID]=A28)*((TableBOM[Product ID]=$D$3)*($H$3&gt;0)+(TableBOM[Product ID]=$D$4)*($H$4&gt;0))))/1000),0)),"-")</f>
        <v>-</v>
      </c>
      <c r="I28" s="184" t="str">
        <f t="shared" si="1"/>
        <v>Not needed</v>
      </c>
      <c r="J28" s="208" t="str">
        <f>IF(LEN(IF((COUNTIFS(TableBOM[Product ID],$D$3,TableBOM[Item ID],$A28)&gt;0)*($H$3&gt;0),$C$3&amp;", ","") &amp; IF((COUNTIFS(TableBOM[Product ID],$D$4,TableBOM[Item ID],$A28)&gt;0)*($H$4&gt;0),$C$4&amp;", ",""))&gt;1,LEFT(IF((COUNTIFS(TableBOM[Product ID],$D$3,TableBOM[Item ID],$A28)&gt;0)*($H$3&gt;0),$C$3&amp;", ","") &amp; IF((COUNTIFS(TableBOM[Product ID],$D$4,TableBOM[Item ID],$A28)&gt;0)*($H$4&gt;0),$C$4&amp;", ",""),LEN(IF((COUNTIFS(TableBOM[Product ID],$D$3,TableBOM[Item ID],$A28)&gt;0)*($H$3&gt;0),$C$3&amp;", ","") &amp; IF((COUNTIFS(TableBOM[Product ID],$D$4,TableBOM[Item ID],$A28)&gt;0)*($H$4&gt;0),$C$4&amp;", ",""))-2),"")</f>
        <v/>
      </c>
      <c r="L28" s="11"/>
      <c r="M28" s="11"/>
      <c r="N28" s="11"/>
      <c r="O28" s="11"/>
      <c r="P28" s="11"/>
      <c r="Q28" s="11"/>
      <c r="R28" s="11"/>
      <c r="S28" s="2"/>
    </row>
    <row r="29" spans="1:19" ht="36" hidden="1" customHeight="1" x14ac:dyDescent="0.25">
      <c r="A29" s="16">
        <v>192</v>
      </c>
      <c r="B29" s="181" t="s">
        <v>277</v>
      </c>
      <c r="C29" s="181" t="s">
        <v>36</v>
      </c>
      <c r="D29" s="181" t="s">
        <v>15</v>
      </c>
      <c r="E29" s="182">
        <f>SUMPRODUCT((TableBOM[Item ID]=A29)*TableBOM[Per 1000 Units]*(1+TableBOM[Scrap %])*SUMIF($D$3:$D$4,TableBOM[Product ID],$H$3:$H$4)/1000)</f>
        <v>0</v>
      </c>
      <c r="F29" s="182">
        <f>IFERROR(INDEX(TableInventory[Store Balance],MATCH(A29,TableInventory[Item ID],0)),0)+IFERROR(INDEX(TableInventory[Work In Process],MATCH(A29,TableInventory[Item ID],0)),0)</f>
        <v>50</v>
      </c>
      <c r="G29" s="182">
        <f t="shared" si="0"/>
        <v>50</v>
      </c>
      <c r="H29" s="208" t="str">
        <f>IFERROR(IF(SUMPRODUCT((TableBOM[Item ID]=A29)*((TableBOM[Product ID]=$D$3)*($H$3&gt;0)+(TableBOM[Product ID]=$D$4)*($H$4&gt;0)))=0,"-",ROUND(F29/((SUMPRODUCT((TableBOM[Item ID]=A29)*TableBOM[Per 1000 Units]*((TableBOM[Product ID]=$D$3)*($H$3&gt;0)+(TableBOM[Product ID]=$D$4)*($H$4&gt;0)))/SUMPRODUCT((TableBOM[Item ID]=A29)*((TableBOM[Product ID]=$D$3)*($H$3&gt;0)+(TableBOM[Product ID]=$D$4)*($H$4&gt;0))))/1000),0)),"-")</f>
        <v>-</v>
      </c>
      <c r="I29" s="184" t="str">
        <f t="shared" si="1"/>
        <v>Not needed</v>
      </c>
      <c r="J29" s="208" t="str">
        <f>IF(LEN(IF((COUNTIFS(TableBOM[Product ID],$D$3,TableBOM[Item ID],$A29)&gt;0)*($H$3&gt;0),$C$3&amp;", ","") &amp; IF((COUNTIFS(TableBOM[Product ID],$D$4,TableBOM[Item ID],$A29)&gt;0)*($H$4&gt;0),$C$4&amp;", ",""))&gt;1,LEFT(IF((COUNTIFS(TableBOM[Product ID],$D$3,TableBOM[Item ID],$A29)&gt;0)*($H$3&gt;0),$C$3&amp;", ","") &amp; IF((COUNTIFS(TableBOM[Product ID],$D$4,TableBOM[Item ID],$A29)&gt;0)*($H$4&gt;0),$C$4&amp;", ",""),LEN(IF((COUNTIFS(TableBOM[Product ID],$D$3,TableBOM[Item ID],$A29)&gt;0)*($H$3&gt;0),$C$3&amp;", ","") &amp; IF((COUNTIFS(TableBOM[Product ID],$D$4,TableBOM[Item ID],$A29)&gt;0)*($H$4&gt;0),$C$4&amp;", ",""))-2),"")</f>
        <v/>
      </c>
      <c r="L29" s="11"/>
      <c r="M29" s="11"/>
      <c r="N29" s="11"/>
      <c r="O29" s="11"/>
      <c r="P29" s="11"/>
      <c r="Q29" s="11"/>
      <c r="R29" s="11"/>
      <c r="S29" s="2"/>
    </row>
    <row r="30" spans="1:19" x14ac:dyDescent="0.25">
      <c r="A30" s="16">
        <v>3595</v>
      </c>
      <c r="B30" s="181" t="s">
        <v>277</v>
      </c>
      <c r="C30" s="181" t="s">
        <v>37</v>
      </c>
      <c r="D30" s="181" t="s">
        <v>15</v>
      </c>
      <c r="E30" s="182">
        <f>SUMPRODUCT((TableBOM[Item ID]=A30)*TableBOM[Per 1000 Units]*(1+TableBOM[Scrap %])*SUMIF($D$3:$D$4,TableBOM[Product ID],$H$3:$H$4)/1000)</f>
        <v>57.89304400000001</v>
      </c>
      <c r="F30" s="182">
        <f>IFERROR(INDEX(TableInventory[Store Balance],MATCH(A30,TableInventory[Item ID],0)),0)+IFERROR(INDEX(TableInventory[Work In Process],MATCH(A30,TableInventory[Item ID],0)),0)</f>
        <v>150</v>
      </c>
      <c r="G30" s="182">
        <f t="shared" si="0"/>
        <v>92.106955999999997</v>
      </c>
      <c r="H30" s="208">
        <f>IFERROR(IF(SUMPRODUCT((TableBOM[Item ID]=A30)*((TableBOM[Product ID]=$D$3)*($H$3&gt;0)+(TableBOM[Product ID]=$D$4)*($H$4&gt;0)))=0,"-",ROUND(F30/((SUMPRODUCT((TableBOM[Item ID]=A30)*TableBOM[Per 1000 Units]*((TableBOM[Product ID]=$D$3)*($H$3&gt;0)+(TableBOM[Product ID]=$D$4)*($H$4&gt;0)))/SUMPRODUCT((TableBOM[Item ID]=A30)*((TableBOM[Product ID]=$D$3)*($H$3&gt;0)+(TableBOM[Product ID]=$D$4)*($H$4&gt;0))))/1000),0)),"-")</f>
        <v>224148</v>
      </c>
      <c r="I30" s="184" t="str">
        <f t="shared" si="1"/>
        <v>OK</v>
      </c>
      <c r="J30" s="210" t="str">
        <f>IF(LEN(IF((COUNTIFS(TableBOM[Product ID],$D$3,TableBOM[Item ID],$A30)&gt;0)*($H$3&gt;0),$C$3&amp;", ","") &amp; IF((COUNTIFS(TableBOM[Product ID],$D$4,TableBOM[Item ID],$A30)&gt;0)*($H$4&gt;0),$C$4&amp;", ",""))&gt;1,LEFT(IF((COUNTIFS(TableBOM[Product ID],$D$3,TableBOM[Item ID],$A30)&gt;0)*($H$3&gt;0),$C$3&amp;", ","") &amp; IF((COUNTIFS(TableBOM[Product ID],$D$4,TableBOM[Item ID],$A30)&gt;0)*($H$4&gt;0),$C$4&amp;", ",""),LEN(IF((COUNTIFS(TableBOM[Product ID],$D$3,TableBOM[Item ID],$A30)&gt;0)*($H$3&gt;0),$C$3&amp;", ","") &amp; IF((COUNTIFS(TableBOM[Product ID],$D$4,TableBOM[Item ID],$A30)&gt;0)*($H$4&gt;0),$C$4&amp;", ",""))-2),"")</f>
        <v>HELLO HAIR COLOR, VINCE NURTURAL</v>
      </c>
      <c r="L30" s="11"/>
      <c r="M30" s="11"/>
      <c r="N30" s="11"/>
      <c r="O30" s="11"/>
      <c r="P30" s="11"/>
      <c r="Q30" s="11"/>
      <c r="R30" s="11"/>
      <c r="S30" s="2"/>
    </row>
    <row r="31" spans="1:19" hidden="1" x14ac:dyDescent="0.25">
      <c r="A31" s="16">
        <v>3869</v>
      </c>
      <c r="B31" s="181" t="s">
        <v>277</v>
      </c>
      <c r="C31" s="181" t="s">
        <v>38</v>
      </c>
      <c r="D31" s="181" t="s">
        <v>15</v>
      </c>
      <c r="E31" s="182">
        <f>SUMPRODUCT((TableBOM[Item ID]=A31)*TableBOM[Per 1000 Units]*(1+TableBOM[Scrap %])*SUMIF($D$3:$D$4,TableBOM[Product ID],$H$3:$H$4)/1000)</f>
        <v>0</v>
      </c>
      <c r="F31" s="182">
        <f>IFERROR(INDEX(TableInventory[Store Balance],MATCH(A31,TableInventory[Item ID],0)),0)+IFERROR(INDEX(TableInventory[Work In Process],MATCH(A31,TableInventory[Item ID],0)),0)</f>
        <v>60</v>
      </c>
      <c r="G31" s="182">
        <f t="shared" si="0"/>
        <v>60</v>
      </c>
      <c r="H31" s="208" t="str">
        <f>IFERROR(IF(SUMPRODUCT((TableBOM[Item ID]=A31)*((TableBOM[Product ID]=$D$3)*($H$3&gt;0)+(TableBOM[Product ID]=$D$4)*($H$4&gt;0)))=0,"-",ROUND(F31/((SUMPRODUCT((TableBOM[Item ID]=A31)*TableBOM[Per 1000 Units]*((TableBOM[Product ID]=$D$3)*($H$3&gt;0)+(TableBOM[Product ID]=$D$4)*($H$4&gt;0)))/SUMPRODUCT((TableBOM[Item ID]=A31)*((TableBOM[Product ID]=$D$3)*($H$3&gt;0)+(TableBOM[Product ID]=$D$4)*($H$4&gt;0))))/1000),0)),"-")</f>
        <v>-</v>
      </c>
      <c r="I31" s="184" t="str">
        <f t="shared" si="1"/>
        <v>Not needed</v>
      </c>
      <c r="J31" s="208" t="str">
        <f>IF(LEN(IF((COUNTIFS(TableBOM[Product ID],$D$3,TableBOM[Item ID],$A31)&gt;0)*($H$3&gt;0),$C$3&amp;", ","") &amp; IF((COUNTIFS(TableBOM[Product ID],$D$4,TableBOM[Item ID],$A31)&gt;0)*($H$4&gt;0),$C$4&amp;", ",""))&gt;1,LEFT(IF((COUNTIFS(TableBOM[Product ID],$D$3,TableBOM[Item ID],$A31)&gt;0)*($H$3&gt;0),$C$3&amp;", ","") &amp; IF((COUNTIFS(TableBOM[Product ID],$D$4,TableBOM[Item ID],$A31)&gt;0)*($H$4&gt;0),$C$4&amp;", ",""),LEN(IF((COUNTIFS(TableBOM[Product ID],$D$3,TableBOM[Item ID],$A31)&gt;0)*($H$3&gt;0),$C$3&amp;", ","") &amp; IF((COUNTIFS(TableBOM[Product ID],$D$4,TableBOM[Item ID],$A31)&gt;0)*($H$4&gt;0),$C$4&amp;", ",""))-2),"")</f>
        <v/>
      </c>
      <c r="L31" s="11"/>
      <c r="M31" s="11"/>
      <c r="N31" s="11"/>
      <c r="O31" s="11"/>
      <c r="P31" s="11"/>
      <c r="Q31" s="11"/>
      <c r="R31" s="11"/>
      <c r="S31" s="2"/>
    </row>
    <row r="32" spans="1:19" hidden="1" x14ac:dyDescent="0.25">
      <c r="A32" s="16">
        <v>4156</v>
      </c>
      <c r="B32" s="181" t="s">
        <v>277</v>
      </c>
      <c r="C32" s="181" t="s">
        <v>39</v>
      </c>
      <c r="D32" s="181" t="s">
        <v>15</v>
      </c>
      <c r="E32" s="182">
        <f>SUMPRODUCT((TableBOM[Item ID]=A32)*TableBOM[Per 1000 Units]*(1+TableBOM[Scrap %])*SUMIF($D$3:$D$4,TableBOM[Product ID],$H$3:$H$4)/1000)</f>
        <v>0</v>
      </c>
      <c r="F32" s="182">
        <f>IFERROR(INDEX(TableInventory[Store Balance],MATCH(A32,TableInventory[Item ID],0)),0)+IFERROR(INDEX(TableInventory[Work In Process],MATCH(A32,TableInventory[Item ID],0)),0)</f>
        <v>0</v>
      </c>
      <c r="G32" s="182">
        <f t="shared" si="0"/>
        <v>0</v>
      </c>
      <c r="H32" s="208" t="str">
        <f>IFERROR(IF(SUMPRODUCT((TableBOM[Item ID]=A32)*((TableBOM[Product ID]=$D$3)*($H$3&gt;0)+(TableBOM[Product ID]=$D$4)*($H$4&gt;0)))=0,"-",ROUND(F32/((SUMPRODUCT((TableBOM[Item ID]=A32)*TableBOM[Per 1000 Units]*((TableBOM[Product ID]=$D$3)*($H$3&gt;0)+(TableBOM[Product ID]=$D$4)*($H$4&gt;0)))/SUMPRODUCT((TableBOM[Item ID]=A32)*((TableBOM[Product ID]=$D$3)*($H$3&gt;0)+(TableBOM[Product ID]=$D$4)*($H$4&gt;0))))/1000),0)),"-")</f>
        <v>-</v>
      </c>
      <c r="I32" s="184" t="str">
        <f t="shared" si="1"/>
        <v>Not needed</v>
      </c>
      <c r="J32" s="208" t="str">
        <f>IF(LEN(IF((COUNTIFS(TableBOM[Product ID],$D$3,TableBOM[Item ID],$A32)&gt;0)*($H$3&gt;0),$C$3&amp;", ","") &amp; IF((COUNTIFS(TableBOM[Product ID],$D$4,TableBOM[Item ID],$A32)&gt;0)*($H$4&gt;0),$C$4&amp;", ",""))&gt;1,LEFT(IF((COUNTIFS(TableBOM[Product ID],$D$3,TableBOM[Item ID],$A32)&gt;0)*($H$3&gt;0),$C$3&amp;", ","") &amp; IF((COUNTIFS(TableBOM[Product ID],$D$4,TableBOM[Item ID],$A32)&gt;0)*($H$4&gt;0),$C$4&amp;", ",""),LEN(IF((COUNTIFS(TableBOM[Product ID],$D$3,TableBOM[Item ID],$A32)&gt;0)*($H$3&gt;0),$C$3&amp;", ","") &amp; IF((COUNTIFS(TableBOM[Product ID],$D$4,TableBOM[Item ID],$A32)&gt;0)*($H$4&gt;0),$C$4&amp;", ",""))-2),"")</f>
        <v/>
      </c>
    </row>
    <row r="33" spans="1:19" hidden="1" x14ac:dyDescent="0.25">
      <c r="A33" s="16">
        <v>4157</v>
      </c>
      <c r="B33" s="181" t="s">
        <v>277</v>
      </c>
      <c r="C33" s="181" t="s">
        <v>40</v>
      </c>
      <c r="D33" s="181" t="s">
        <v>15</v>
      </c>
      <c r="E33" s="182">
        <f>SUMPRODUCT((TableBOM[Item ID]=A33)*TableBOM[Per 1000 Units]*(1+TableBOM[Scrap %])*SUMIF($D$3:$D$4,TableBOM[Product ID],$H$3:$H$4)/1000)</f>
        <v>0</v>
      </c>
      <c r="F33" s="182">
        <f>IFERROR(INDEX(TableInventory[Store Balance],MATCH(A33,TableInventory[Item ID],0)),0)+IFERROR(INDEX(TableInventory[Work In Process],MATCH(A33,TableInventory[Item ID],0)),0)</f>
        <v>240</v>
      </c>
      <c r="G33" s="182">
        <f t="shared" si="0"/>
        <v>240</v>
      </c>
      <c r="H33" s="208" t="str">
        <f>IFERROR(IF(SUMPRODUCT((TableBOM[Item ID]=A33)*((TableBOM[Product ID]=$D$3)*($H$3&gt;0)+(TableBOM[Product ID]=$D$4)*($H$4&gt;0)))=0,"-",ROUND(F33/((SUMPRODUCT((TableBOM[Item ID]=A33)*TableBOM[Per 1000 Units]*((TableBOM[Product ID]=$D$3)*($H$3&gt;0)+(TableBOM[Product ID]=$D$4)*($H$4&gt;0)))/SUMPRODUCT((TableBOM[Item ID]=A33)*((TableBOM[Product ID]=$D$3)*($H$3&gt;0)+(TableBOM[Product ID]=$D$4)*($H$4&gt;0))))/1000),0)),"-")</f>
        <v>-</v>
      </c>
      <c r="I33" s="184" t="str">
        <f t="shared" si="1"/>
        <v>Not needed</v>
      </c>
      <c r="J33" s="208" t="str">
        <f>IF(LEN(IF((COUNTIFS(TableBOM[Product ID],$D$3,TableBOM[Item ID],$A33)&gt;0)*($H$3&gt;0),$C$3&amp;", ","") &amp; IF((COUNTIFS(TableBOM[Product ID],$D$4,TableBOM[Item ID],$A33)&gt;0)*($H$4&gt;0),$C$4&amp;", ",""))&gt;1,LEFT(IF((COUNTIFS(TableBOM[Product ID],$D$3,TableBOM[Item ID],$A33)&gt;0)*($H$3&gt;0),$C$3&amp;", ","") &amp; IF((COUNTIFS(TableBOM[Product ID],$D$4,TableBOM[Item ID],$A33)&gt;0)*($H$4&gt;0),$C$4&amp;", ",""),LEN(IF((COUNTIFS(TableBOM[Product ID],$D$3,TableBOM[Item ID],$A33)&gt;0)*($H$3&gt;0),$C$3&amp;", ","") &amp; IF((COUNTIFS(TableBOM[Product ID],$D$4,TableBOM[Item ID],$A33)&gt;0)*($H$4&gt;0),$C$4&amp;", ",""))-2),"")</f>
        <v/>
      </c>
    </row>
    <row r="34" spans="1:19" hidden="1" x14ac:dyDescent="0.25">
      <c r="A34" s="16">
        <v>5895</v>
      </c>
      <c r="B34" s="181" t="s">
        <v>277</v>
      </c>
      <c r="C34" s="181" t="s">
        <v>41</v>
      </c>
      <c r="D34" s="181" t="s">
        <v>15</v>
      </c>
      <c r="E34" s="182">
        <f>SUMPRODUCT((TableBOM[Item ID]=A34)*TableBOM[Per 1000 Units]*(1+TableBOM[Scrap %])*SUMIF($D$3:$D$4,TableBOM[Product ID],$H$3:$H$4)/1000)</f>
        <v>0</v>
      </c>
      <c r="F34" s="182">
        <f>IFERROR(INDEX(TableInventory[Store Balance],MATCH(A34,TableInventory[Item ID],0)),0)+IFERROR(INDEX(TableInventory[Work In Process],MATCH(A34,TableInventory[Item ID],0)),0)</f>
        <v>50</v>
      </c>
      <c r="G34" s="182">
        <f t="shared" si="0"/>
        <v>50</v>
      </c>
      <c r="H34" s="208" t="str">
        <f>IFERROR(IF(SUMPRODUCT((TableBOM[Item ID]=A34)*((TableBOM[Product ID]=$D$3)*($H$3&gt;0)+(TableBOM[Product ID]=$D$4)*($H$4&gt;0)))=0,"-",ROUND(F34/((SUMPRODUCT((TableBOM[Item ID]=A34)*TableBOM[Per 1000 Units]*((TableBOM[Product ID]=$D$3)*($H$3&gt;0)+(TableBOM[Product ID]=$D$4)*($H$4&gt;0)))/SUMPRODUCT((TableBOM[Item ID]=A34)*((TableBOM[Product ID]=$D$3)*($H$3&gt;0)+(TableBOM[Product ID]=$D$4)*($H$4&gt;0))))/1000),0)),"-")</f>
        <v>-</v>
      </c>
      <c r="I34" s="184" t="str">
        <f t="shared" si="1"/>
        <v>Not needed</v>
      </c>
      <c r="J34" s="208" t="str">
        <f>IF(LEN(IF((COUNTIFS(TableBOM[Product ID],$D$3,TableBOM[Item ID],$A34)&gt;0)*($H$3&gt;0),$C$3&amp;", ","") &amp; IF((COUNTIFS(TableBOM[Product ID],$D$4,TableBOM[Item ID],$A34)&gt;0)*($H$4&gt;0),$C$4&amp;", ",""))&gt;1,LEFT(IF((COUNTIFS(TableBOM[Product ID],$D$3,TableBOM[Item ID],$A34)&gt;0)*($H$3&gt;0),$C$3&amp;", ","") &amp; IF((COUNTIFS(TableBOM[Product ID],$D$4,TableBOM[Item ID],$A34)&gt;0)*($H$4&gt;0),$C$4&amp;", ",""),LEN(IF((COUNTIFS(TableBOM[Product ID],$D$3,TableBOM[Item ID],$A34)&gt;0)*($H$3&gt;0),$C$3&amp;", ","") &amp; IF((COUNTIFS(TableBOM[Product ID],$D$4,TableBOM[Item ID],$A34)&gt;0)*($H$4&gt;0),$C$4&amp;", ",""))-2),"")</f>
        <v/>
      </c>
      <c r="L34" s="11"/>
      <c r="M34" s="11"/>
      <c r="N34" s="11"/>
      <c r="O34" s="11"/>
      <c r="P34" s="11"/>
      <c r="Q34" s="11"/>
      <c r="R34" s="11"/>
      <c r="S34" s="2"/>
    </row>
    <row r="35" spans="1:19" hidden="1" x14ac:dyDescent="0.25">
      <c r="A35" s="16">
        <v>5974</v>
      </c>
      <c r="B35" s="181" t="s">
        <v>277</v>
      </c>
      <c r="C35" s="181" t="s">
        <v>42</v>
      </c>
      <c r="D35" s="181" t="s">
        <v>29</v>
      </c>
      <c r="E35" s="182">
        <f>SUMPRODUCT((TableBOM[Item ID]=A35)*TableBOM[Per 1000 Units]*(1+TableBOM[Scrap %])*SUMIF($D$3:$D$4,TableBOM[Product ID],$H$3:$H$4)/1000)</f>
        <v>0</v>
      </c>
      <c r="F35" s="182">
        <f>IFERROR(INDEX(TableInventory[Store Balance],MATCH(A35,TableInventory[Item ID],0)),0)+IFERROR(INDEX(TableInventory[Work In Process],MATCH(A35,TableInventory[Item ID],0)),0)</f>
        <v>50</v>
      </c>
      <c r="G35" s="182">
        <f t="shared" si="0"/>
        <v>50</v>
      </c>
      <c r="H35" s="208" t="str">
        <f>IFERROR(IF(SUMPRODUCT((TableBOM[Item ID]=A35)*((TableBOM[Product ID]=$D$3)*($H$3&gt;0)+(TableBOM[Product ID]=$D$4)*($H$4&gt;0)))=0,"-",ROUND(F35/((SUMPRODUCT((TableBOM[Item ID]=A35)*TableBOM[Per 1000 Units]*((TableBOM[Product ID]=$D$3)*($H$3&gt;0)+(TableBOM[Product ID]=$D$4)*($H$4&gt;0)))/SUMPRODUCT((TableBOM[Item ID]=A35)*((TableBOM[Product ID]=$D$3)*($H$3&gt;0)+(TableBOM[Product ID]=$D$4)*($H$4&gt;0))))/1000),0)),"-")</f>
        <v>-</v>
      </c>
      <c r="I35" s="184" t="str">
        <f t="shared" si="1"/>
        <v>Not needed</v>
      </c>
      <c r="J35" s="208" t="str">
        <f>IF(LEN(IF((COUNTIFS(TableBOM[Product ID],$D$3,TableBOM[Item ID],$A35)&gt;0)*($H$3&gt;0),$C$3&amp;", ","") &amp; IF((COUNTIFS(TableBOM[Product ID],$D$4,TableBOM[Item ID],$A35)&gt;0)*($H$4&gt;0),$C$4&amp;", ",""))&gt;1,LEFT(IF((COUNTIFS(TableBOM[Product ID],$D$3,TableBOM[Item ID],$A35)&gt;0)*($H$3&gt;0),$C$3&amp;", ","") &amp; IF((COUNTIFS(TableBOM[Product ID],$D$4,TableBOM[Item ID],$A35)&gt;0)*($H$4&gt;0),$C$4&amp;", ",""),LEN(IF((COUNTIFS(TableBOM[Product ID],$D$3,TableBOM[Item ID],$A35)&gt;0)*($H$3&gt;0),$C$3&amp;", ","") &amp; IF((COUNTIFS(TableBOM[Product ID],$D$4,TableBOM[Item ID],$A35)&gt;0)*($H$4&gt;0),$C$4&amp;", ",""))-2),"")</f>
        <v/>
      </c>
    </row>
    <row r="36" spans="1:19" hidden="1" x14ac:dyDescent="0.25">
      <c r="A36" s="16">
        <v>177</v>
      </c>
      <c r="B36" s="181" t="s">
        <v>277</v>
      </c>
      <c r="C36" s="181" t="s">
        <v>43</v>
      </c>
      <c r="D36" s="181" t="s">
        <v>15</v>
      </c>
      <c r="E36" s="182">
        <f>SUMPRODUCT((TableBOM[Item ID]=A36)*TableBOM[Per 1000 Units]*(1+TableBOM[Scrap %])*SUMIF($D$3:$D$4,TableBOM[Product ID],$H$3:$H$4)/1000)</f>
        <v>0</v>
      </c>
      <c r="F36" s="182">
        <f>IFERROR(INDEX(TableInventory[Store Balance],MATCH(A36,TableInventory[Item ID],0)),0)+IFERROR(INDEX(TableInventory[Work In Process],MATCH(A36,TableInventory[Item ID],0)),0)</f>
        <v>450</v>
      </c>
      <c r="G36" s="182">
        <f t="shared" si="0"/>
        <v>450</v>
      </c>
      <c r="H36" s="208" t="str">
        <f>IFERROR(IF(SUMPRODUCT((TableBOM[Item ID]=A36)*((TableBOM[Product ID]=$D$3)*($H$3&gt;0)+(TableBOM[Product ID]=$D$4)*($H$4&gt;0)))=0,"-",ROUND(F36/((SUMPRODUCT((TableBOM[Item ID]=A36)*TableBOM[Per 1000 Units]*((TableBOM[Product ID]=$D$3)*($H$3&gt;0)+(TableBOM[Product ID]=$D$4)*($H$4&gt;0)))/SUMPRODUCT((TableBOM[Item ID]=A36)*((TableBOM[Product ID]=$D$3)*($H$3&gt;0)+(TableBOM[Product ID]=$D$4)*($H$4&gt;0))))/1000),0)),"-")</f>
        <v>-</v>
      </c>
      <c r="I36" s="184" t="str">
        <f t="shared" si="1"/>
        <v>Not needed</v>
      </c>
      <c r="J36" s="208" t="str">
        <f>IF(LEN(IF((COUNTIFS(TableBOM[Product ID],$D$3,TableBOM[Item ID],$A36)&gt;0)*($H$3&gt;0),$C$3&amp;", ","") &amp; IF((COUNTIFS(TableBOM[Product ID],$D$4,TableBOM[Item ID],$A36)&gt;0)*($H$4&gt;0),$C$4&amp;", ",""))&gt;1,LEFT(IF((COUNTIFS(TableBOM[Product ID],$D$3,TableBOM[Item ID],$A36)&gt;0)*($H$3&gt;0),$C$3&amp;", ","") &amp; IF((COUNTIFS(TableBOM[Product ID],$D$4,TableBOM[Item ID],$A36)&gt;0)*($H$4&gt;0),$C$4&amp;", ",""),LEN(IF((COUNTIFS(TableBOM[Product ID],$D$3,TableBOM[Item ID],$A36)&gt;0)*($H$3&gt;0),$C$3&amp;", ","") &amp; IF((COUNTIFS(TableBOM[Product ID],$D$4,TableBOM[Item ID],$A36)&gt;0)*($H$4&gt;0),$C$4&amp;", ",""))-2),"")</f>
        <v/>
      </c>
    </row>
    <row r="37" spans="1:19" hidden="1" x14ac:dyDescent="0.25">
      <c r="A37" s="16">
        <v>6132</v>
      </c>
      <c r="B37" s="181" t="s">
        <v>277</v>
      </c>
      <c r="C37" s="181" t="s">
        <v>44</v>
      </c>
      <c r="D37" s="181" t="s">
        <v>15</v>
      </c>
      <c r="E37" s="182">
        <f>SUMPRODUCT((TableBOM[Item ID]=A37)*TableBOM[Per 1000 Units]*(1+TableBOM[Scrap %])*SUMIF($D$3:$D$4,TableBOM[Product ID],$H$3:$H$4)/1000)</f>
        <v>0</v>
      </c>
      <c r="F37" s="182">
        <f>IFERROR(INDEX(TableInventory[Store Balance],MATCH(A37,TableInventory[Item ID],0)),0)+IFERROR(INDEX(TableInventory[Work In Process],MATCH(A37,TableInventory[Item ID],0)),0)</f>
        <v>60</v>
      </c>
      <c r="G37" s="182">
        <f t="shared" si="0"/>
        <v>60</v>
      </c>
      <c r="H37" s="208" t="str">
        <f>IFERROR(IF(SUMPRODUCT((TableBOM[Item ID]=A37)*((TableBOM[Product ID]=$D$3)*($H$3&gt;0)+(TableBOM[Product ID]=$D$4)*($H$4&gt;0)))=0,"-",ROUND(F37/((SUMPRODUCT((TableBOM[Item ID]=A37)*TableBOM[Per 1000 Units]*((TableBOM[Product ID]=$D$3)*($H$3&gt;0)+(TableBOM[Product ID]=$D$4)*($H$4&gt;0)))/SUMPRODUCT((TableBOM[Item ID]=A37)*((TableBOM[Product ID]=$D$3)*($H$3&gt;0)+(TableBOM[Product ID]=$D$4)*($H$4&gt;0))))/1000),0)),"-")</f>
        <v>-</v>
      </c>
      <c r="I37" s="184" t="str">
        <f t="shared" si="1"/>
        <v>Not needed</v>
      </c>
      <c r="J37" s="208" t="str">
        <f>IF(LEN(IF((COUNTIFS(TableBOM[Product ID],$D$3,TableBOM[Item ID],$A37)&gt;0)*($H$3&gt;0),$C$3&amp;", ","") &amp; IF((COUNTIFS(TableBOM[Product ID],$D$4,TableBOM[Item ID],$A37)&gt;0)*($H$4&gt;0),$C$4&amp;", ",""))&gt;1,LEFT(IF((COUNTIFS(TableBOM[Product ID],$D$3,TableBOM[Item ID],$A37)&gt;0)*($H$3&gt;0),$C$3&amp;", ","") &amp; IF((COUNTIFS(TableBOM[Product ID],$D$4,TableBOM[Item ID],$A37)&gt;0)*($H$4&gt;0),$C$4&amp;", ",""),LEN(IF((COUNTIFS(TableBOM[Product ID],$D$3,TableBOM[Item ID],$A37)&gt;0)*($H$3&gt;0),$C$3&amp;", ","") &amp; IF((COUNTIFS(TableBOM[Product ID],$D$4,TableBOM[Item ID],$A37)&gt;0)*($H$4&gt;0),$C$4&amp;", ",""))-2),"")</f>
        <v/>
      </c>
    </row>
    <row r="38" spans="1:19" x14ac:dyDescent="0.25">
      <c r="A38" s="16">
        <v>186</v>
      </c>
      <c r="B38" s="181" t="s">
        <v>278</v>
      </c>
      <c r="C38" s="181" t="s">
        <v>46</v>
      </c>
      <c r="D38" s="181" t="s">
        <v>15</v>
      </c>
      <c r="E38" s="182">
        <f>SUMPRODUCT((TableBOM[Item ID]=A38)*TableBOM[Per 1000 Units]*(1+TableBOM[Scrap %])*SUMIF($D$3:$D$4,TableBOM[Product ID],$H$3:$H$4)/1000)</f>
        <v>19.812496000000003</v>
      </c>
      <c r="F38" s="182">
        <f>IFERROR(INDEX(TableInventory[Store Balance],MATCH(A38,TableInventory[Item ID],0)),0)+IFERROR(INDEX(TableInventory[Work In Process],MATCH(A38,TableInventory[Item ID],0)),0)</f>
        <v>510</v>
      </c>
      <c r="G38" s="182">
        <f t="shared" si="0"/>
        <v>490.18750399999999</v>
      </c>
      <c r="H38" s="208">
        <f>IFERROR(IF(SUMPRODUCT((TableBOM[Item ID]=A38)*((TableBOM[Product ID]=$D$3)*($H$3&gt;0)+(TableBOM[Product ID]=$D$4)*($H$4&gt;0)))=0,"-",ROUND(F38/((SUMPRODUCT((TableBOM[Item ID]=A38)*TableBOM[Per 1000 Units]*((TableBOM[Product ID]=$D$3)*($H$3&gt;0)+(TableBOM[Product ID]=$D$4)*($H$4&gt;0)))/SUMPRODUCT((TableBOM[Item ID]=A38)*((TableBOM[Product ID]=$D$3)*($H$3&gt;0)+(TableBOM[Product ID]=$D$4)*($H$4&gt;0))))/1000),0)),"-")</f>
        <v>2550000</v>
      </c>
      <c r="I38" s="184" t="str">
        <f t="shared" si="1"/>
        <v>OK</v>
      </c>
      <c r="J38" s="210" t="str">
        <f>IF(LEN(IF((COUNTIFS(TableBOM[Product ID],$D$3,TableBOM[Item ID],$A38)&gt;0)*($H$3&gt;0),$C$3&amp;", ","") &amp; IF((COUNTIFS(TableBOM[Product ID],$D$4,TableBOM[Item ID],$A38)&gt;0)*($H$4&gt;0),$C$4&amp;", ",""))&gt;1,LEFT(IF((COUNTIFS(TableBOM[Product ID],$D$3,TableBOM[Item ID],$A38)&gt;0)*($H$3&gt;0),$C$3&amp;", ","") &amp; IF((COUNTIFS(TableBOM[Product ID],$D$4,TableBOM[Item ID],$A38)&gt;0)*($H$4&gt;0),$C$4&amp;", ",""),LEN(IF((COUNTIFS(TableBOM[Product ID],$D$3,TableBOM[Item ID],$A38)&gt;0)*($H$3&gt;0),$C$3&amp;", ","") &amp; IF((COUNTIFS(TableBOM[Product ID],$D$4,TableBOM[Item ID],$A38)&gt;0)*($H$4&gt;0),$C$4&amp;", ",""))-2),"")</f>
        <v>HELLO HAIR COLOR, VINCE NURTURAL</v>
      </c>
    </row>
    <row r="39" spans="1:19" hidden="1" x14ac:dyDescent="0.25">
      <c r="A39" s="16">
        <v>69</v>
      </c>
      <c r="B39" s="181" t="s">
        <v>279</v>
      </c>
      <c r="C39" s="181" t="s">
        <v>50</v>
      </c>
      <c r="D39" s="181" t="s">
        <v>51</v>
      </c>
      <c r="E39" s="182">
        <f>SUMPRODUCT((TableBOM[Item ID]=A39)*TableBOM[Per 1000 Units]*(1+TableBOM[Scrap %])*SUMIF($D$3:$D$4,TableBOM[Product ID],$H$3:$H$4)/1000)</f>
        <v>0</v>
      </c>
      <c r="F39" s="182">
        <f>IFERROR(INDEX(TableInventory[Store Balance],MATCH(A39,TableInventory[Item ID],0)),0)+IFERROR(INDEX(TableInventory[Work In Process],MATCH(A39,TableInventory[Item ID],0)),0)</f>
        <v>0</v>
      </c>
      <c r="G39" s="182">
        <f t="shared" si="0"/>
        <v>0</v>
      </c>
      <c r="H39" s="208" t="str">
        <f>IFERROR(IF(SUMPRODUCT((TableBOM[Item ID]=A39)*((TableBOM[Product ID]=$D$3)*($H$3&gt;0)+(TableBOM[Product ID]=$D$4)*($H$4&gt;0)))=0,"-",ROUND(F39/((SUMPRODUCT((TableBOM[Item ID]=A39)*TableBOM[Per 1000 Units]*((TableBOM[Product ID]=$D$3)*($H$3&gt;0)+(TableBOM[Product ID]=$D$4)*($H$4&gt;0)))/SUMPRODUCT((TableBOM[Item ID]=A39)*((TableBOM[Product ID]=$D$3)*($H$3&gt;0)+(TableBOM[Product ID]=$D$4)*($H$4&gt;0))))/1000),0)),"-")</f>
        <v>-</v>
      </c>
      <c r="I39" s="184" t="str">
        <f t="shared" si="1"/>
        <v>Not needed</v>
      </c>
      <c r="J39" s="208" t="str">
        <f>IF(LEN(IF((COUNTIFS(TableBOM[Product ID],$D$3,TableBOM[Item ID],$A39)&gt;0)*($H$3&gt;0),$C$3&amp;", ","") &amp; IF((COUNTIFS(TableBOM[Product ID],$D$4,TableBOM[Item ID],$A39)&gt;0)*($H$4&gt;0),$C$4&amp;", ",""))&gt;1,LEFT(IF((COUNTIFS(TableBOM[Product ID],$D$3,TableBOM[Item ID],$A39)&gt;0)*($H$3&gt;0),$C$3&amp;", ","") &amp; IF((COUNTIFS(TableBOM[Product ID],$D$4,TableBOM[Item ID],$A39)&gt;0)*($H$4&gt;0),$C$4&amp;", ",""),LEN(IF((COUNTIFS(TableBOM[Product ID],$D$3,TableBOM[Item ID],$A39)&gt;0)*($H$3&gt;0),$C$3&amp;", ","") &amp; IF((COUNTIFS(TableBOM[Product ID],$D$4,TableBOM[Item ID],$A39)&gt;0)*($H$4&gt;0),$C$4&amp;", ",""))-2),"")</f>
        <v/>
      </c>
    </row>
    <row r="40" spans="1:19" hidden="1" x14ac:dyDescent="0.25">
      <c r="A40" s="16">
        <v>99</v>
      </c>
      <c r="B40" s="181" t="s">
        <v>279</v>
      </c>
      <c r="C40" s="181" t="s">
        <v>52</v>
      </c>
      <c r="D40" s="181" t="s">
        <v>51</v>
      </c>
      <c r="E40" s="182">
        <f>SUMPRODUCT((TableBOM[Item ID]=A40)*TableBOM[Per 1000 Units]*(1+TableBOM[Scrap %])*SUMIF($D$3:$D$4,TableBOM[Product ID],$H$3:$H$4)/1000)</f>
        <v>0</v>
      </c>
      <c r="F40" s="182">
        <f>IFERROR(INDEX(TableInventory[Store Balance],MATCH(A40,TableInventory[Item ID],0)),0)+IFERROR(INDEX(TableInventory[Work In Process],MATCH(A40,TableInventory[Item ID],0)),0)</f>
        <v>10000</v>
      </c>
      <c r="G40" s="182">
        <f t="shared" ref="G40:G71" si="2">F40-E40</f>
        <v>10000</v>
      </c>
      <c r="H40" s="208" t="str">
        <f>IFERROR(IF(SUMPRODUCT((TableBOM[Item ID]=A40)*((TableBOM[Product ID]=$D$3)*($H$3&gt;0)+(TableBOM[Product ID]=$D$4)*($H$4&gt;0)))=0,"-",ROUND(F40/((SUMPRODUCT((TableBOM[Item ID]=A40)*TableBOM[Per 1000 Units]*((TableBOM[Product ID]=$D$3)*($H$3&gt;0)+(TableBOM[Product ID]=$D$4)*($H$4&gt;0)))/SUMPRODUCT((TableBOM[Item ID]=A40)*((TableBOM[Product ID]=$D$3)*($H$3&gt;0)+(TableBOM[Product ID]=$D$4)*($H$4&gt;0))))/1000),0)),"-")</f>
        <v>-</v>
      </c>
      <c r="I40" s="184" t="str">
        <f t="shared" ref="I40:I71" si="3">IF(E40=0,"Not needed",IF(G40&lt;0,"SHORTAGE",IF(G40&lt;F40*0.1,"LOW","OK")))</f>
        <v>Not needed</v>
      </c>
      <c r="J40" s="208" t="str">
        <f>IF(LEN(IF((COUNTIFS(TableBOM[Product ID],$D$3,TableBOM[Item ID],$A40)&gt;0)*($H$3&gt;0),$C$3&amp;", ","") &amp; IF((COUNTIFS(TableBOM[Product ID],$D$4,TableBOM[Item ID],$A40)&gt;0)*($H$4&gt;0),$C$4&amp;", ",""))&gt;1,LEFT(IF((COUNTIFS(TableBOM[Product ID],$D$3,TableBOM[Item ID],$A40)&gt;0)*($H$3&gt;0),$C$3&amp;", ","") &amp; IF((COUNTIFS(TableBOM[Product ID],$D$4,TableBOM[Item ID],$A40)&gt;0)*($H$4&gt;0),$C$4&amp;", ",""),LEN(IF((COUNTIFS(TableBOM[Product ID],$D$3,TableBOM[Item ID],$A40)&gt;0)*($H$3&gt;0),$C$3&amp;", ","") &amp; IF((COUNTIFS(TableBOM[Product ID],$D$4,TableBOM[Item ID],$A40)&gt;0)*($H$4&gt;0),$C$4&amp;", ",""))-2),"")</f>
        <v/>
      </c>
      <c r="L40" s="11"/>
      <c r="M40" s="11"/>
      <c r="N40" s="11"/>
      <c r="O40" s="11"/>
      <c r="P40" s="11"/>
      <c r="Q40" s="11"/>
      <c r="R40" s="11"/>
      <c r="S40" s="2"/>
    </row>
    <row r="41" spans="1:19" hidden="1" x14ac:dyDescent="0.25">
      <c r="A41" s="16">
        <v>72</v>
      </c>
      <c r="B41" s="181" t="s">
        <v>279</v>
      </c>
      <c r="C41" s="181" t="s">
        <v>54</v>
      </c>
      <c r="D41" s="181" t="s">
        <v>51</v>
      </c>
      <c r="E41" s="182">
        <f>SUMPRODUCT((TableBOM[Item ID]=A41)*TableBOM[Per 1000 Units]*(1+TableBOM[Scrap %])*SUMIF($D$3:$D$4,TableBOM[Product ID],$H$3:$H$4)/1000)</f>
        <v>0</v>
      </c>
      <c r="F41" s="182">
        <f>IFERROR(INDEX(TableInventory[Store Balance],MATCH(A41,TableInventory[Item ID],0)),0)+IFERROR(INDEX(TableInventory[Work In Process],MATCH(A41,TableInventory[Item ID],0)),0)</f>
        <v>23741</v>
      </c>
      <c r="G41" s="182">
        <f t="shared" si="2"/>
        <v>23741</v>
      </c>
      <c r="H41" s="208" t="str">
        <f>IFERROR(IF(SUMPRODUCT((TableBOM[Item ID]=A41)*((TableBOM[Product ID]=$D$3)*($H$3&gt;0)+(TableBOM[Product ID]=$D$4)*($H$4&gt;0)))=0,"-",ROUND(F41/((SUMPRODUCT((TableBOM[Item ID]=A41)*TableBOM[Per 1000 Units]*((TableBOM[Product ID]=$D$3)*($H$3&gt;0)+(TableBOM[Product ID]=$D$4)*($H$4&gt;0)))/SUMPRODUCT((TableBOM[Item ID]=A41)*((TableBOM[Product ID]=$D$3)*($H$3&gt;0)+(TableBOM[Product ID]=$D$4)*($H$4&gt;0))))/1000),0)),"-")</f>
        <v>-</v>
      </c>
      <c r="I41" s="184" t="str">
        <f t="shared" si="3"/>
        <v>Not needed</v>
      </c>
      <c r="J41" s="208" t="str">
        <f>IF(LEN(IF((COUNTIFS(TableBOM[Product ID],$D$3,TableBOM[Item ID],$A41)&gt;0)*($H$3&gt;0),$C$3&amp;", ","") &amp; IF((COUNTIFS(TableBOM[Product ID],$D$4,TableBOM[Item ID],$A41)&gt;0)*($H$4&gt;0),$C$4&amp;", ",""))&gt;1,LEFT(IF((COUNTIFS(TableBOM[Product ID],$D$3,TableBOM[Item ID],$A41)&gt;0)*($H$3&gt;0),$C$3&amp;", ","") &amp; IF((COUNTIFS(TableBOM[Product ID],$D$4,TableBOM[Item ID],$A41)&gt;0)*($H$4&gt;0),$C$4&amp;", ",""),LEN(IF((COUNTIFS(TableBOM[Product ID],$D$3,TableBOM[Item ID],$A41)&gt;0)*($H$3&gt;0),$C$3&amp;", ","") &amp; IF((COUNTIFS(TableBOM[Product ID],$D$4,TableBOM[Item ID],$A41)&gt;0)*($H$4&gt;0),$C$4&amp;", ",""))-2),"")</f>
        <v/>
      </c>
      <c r="L41" s="11"/>
      <c r="M41" s="11"/>
      <c r="N41" s="11"/>
      <c r="O41" s="11"/>
      <c r="P41" s="11"/>
      <c r="Q41" s="11"/>
      <c r="R41" s="11"/>
      <c r="S41" s="2"/>
    </row>
    <row r="42" spans="1:19" hidden="1" x14ac:dyDescent="0.25">
      <c r="A42" s="16">
        <v>79</v>
      </c>
      <c r="B42" s="181" t="s">
        <v>279</v>
      </c>
      <c r="C42" s="181" t="s">
        <v>55</v>
      </c>
      <c r="D42" s="181" t="s">
        <v>51</v>
      </c>
      <c r="E42" s="182">
        <f>SUMPRODUCT((TableBOM[Item ID]=A42)*TableBOM[Per 1000 Units]*(1+TableBOM[Scrap %])*SUMIF($D$3:$D$4,TableBOM[Product ID],$H$3:$H$4)/1000)</f>
        <v>0</v>
      </c>
      <c r="F42" s="182">
        <f>IFERROR(INDEX(TableInventory[Store Balance],MATCH(A42,TableInventory[Item ID],0)),0)+IFERROR(INDEX(TableInventory[Work In Process],MATCH(A42,TableInventory[Item ID],0)),0)</f>
        <v>83600</v>
      </c>
      <c r="G42" s="182">
        <f t="shared" si="2"/>
        <v>83600</v>
      </c>
      <c r="H42" s="208" t="str">
        <f>IFERROR(IF(SUMPRODUCT((TableBOM[Item ID]=A42)*((TableBOM[Product ID]=$D$3)*($H$3&gt;0)+(TableBOM[Product ID]=$D$4)*($H$4&gt;0)))=0,"-",ROUND(F42/((SUMPRODUCT((TableBOM[Item ID]=A42)*TableBOM[Per 1000 Units]*((TableBOM[Product ID]=$D$3)*($H$3&gt;0)+(TableBOM[Product ID]=$D$4)*($H$4&gt;0)))/SUMPRODUCT((TableBOM[Item ID]=A42)*((TableBOM[Product ID]=$D$3)*($H$3&gt;0)+(TableBOM[Product ID]=$D$4)*($H$4&gt;0))))/1000),0)),"-")</f>
        <v>-</v>
      </c>
      <c r="I42" s="184" t="str">
        <f t="shared" si="3"/>
        <v>Not needed</v>
      </c>
      <c r="J42" s="208" t="str">
        <f>IF(LEN(IF((COUNTIFS(TableBOM[Product ID],$D$3,TableBOM[Item ID],$A42)&gt;0)*($H$3&gt;0),$C$3&amp;", ","") &amp; IF((COUNTIFS(TableBOM[Product ID],$D$4,TableBOM[Item ID],$A42)&gt;0)*($H$4&gt;0),$C$4&amp;", ",""))&gt;1,LEFT(IF((COUNTIFS(TableBOM[Product ID],$D$3,TableBOM[Item ID],$A42)&gt;0)*($H$3&gt;0),$C$3&amp;", ","") &amp; IF((COUNTIFS(TableBOM[Product ID],$D$4,TableBOM[Item ID],$A42)&gt;0)*($H$4&gt;0),$C$4&amp;", ",""),LEN(IF((COUNTIFS(TableBOM[Product ID],$D$3,TableBOM[Item ID],$A42)&gt;0)*($H$3&gt;0),$C$3&amp;", ","") &amp; IF((COUNTIFS(TableBOM[Product ID],$D$4,TableBOM[Item ID],$A42)&gt;0)*($H$4&gt;0),$C$4&amp;", ",""))-2),"")</f>
        <v/>
      </c>
      <c r="L42" s="11"/>
      <c r="M42" s="11"/>
      <c r="N42" s="11"/>
      <c r="O42" s="11"/>
      <c r="P42" s="11"/>
      <c r="Q42" s="11"/>
      <c r="R42" s="11"/>
      <c r="S42" s="2"/>
    </row>
    <row r="43" spans="1:19" hidden="1" x14ac:dyDescent="0.25">
      <c r="A43" s="16">
        <v>80</v>
      </c>
      <c r="B43" s="181" t="s">
        <v>279</v>
      </c>
      <c r="C43" s="181" t="s">
        <v>56</v>
      </c>
      <c r="D43" s="181" t="s">
        <v>51</v>
      </c>
      <c r="E43" s="182">
        <f>SUMPRODUCT((TableBOM[Item ID]=A43)*TableBOM[Per 1000 Units]*(1+TableBOM[Scrap %])*SUMIF($D$3:$D$4,TableBOM[Product ID],$H$3:$H$4)/1000)</f>
        <v>0</v>
      </c>
      <c r="F43" s="182">
        <f>IFERROR(INDEX(TableInventory[Store Balance],MATCH(A43,TableInventory[Item ID],0)),0)+IFERROR(INDEX(TableInventory[Work In Process],MATCH(A43,TableInventory[Item ID],0)),0)</f>
        <v>100000</v>
      </c>
      <c r="G43" s="182">
        <f t="shared" si="2"/>
        <v>100000</v>
      </c>
      <c r="H43" s="208" t="str">
        <f>IFERROR(IF(SUMPRODUCT((TableBOM[Item ID]=A43)*((TableBOM[Product ID]=$D$3)*($H$3&gt;0)+(TableBOM[Product ID]=$D$4)*($H$4&gt;0)))=0,"-",ROUND(F43/((SUMPRODUCT((TableBOM[Item ID]=A43)*TableBOM[Per 1000 Units]*((TableBOM[Product ID]=$D$3)*($H$3&gt;0)+(TableBOM[Product ID]=$D$4)*($H$4&gt;0)))/SUMPRODUCT((TableBOM[Item ID]=A43)*((TableBOM[Product ID]=$D$3)*($H$3&gt;0)+(TableBOM[Product ID]=$D$4)*($H$4&gt;0))))/1000),0)),"-")</f>
        <v>-</v>
      </c>
      <c r="I43" s="184" t="str">
        <f t="shared" si="3"/>
        <v>Not needed</v>
      </c>
      <c r="J43" s="208" t="str">
        <f>IF(LEN(IF((COUNTIFS(TableBOM[Product ID],$D$3,TableBOM[Item ID],$A43)&gt;0)*($H$3&gt;0),$C$3&amp;", ","") &amp; IF((COUNTIFS(TableBOM[Product ID],$D$4,TableBOM[Item ID],$A43)&gt;0)*($H$4&gt;0),$C$4&amp;", ",""))&gt;1,LEFT(IF((COUNTIFS(TableBOM[Product ID],$D$3,TableBOM[Item ID],$A43)&gt;0)*($H$3&gt;0),$C$3&amp;", ","") &amp; IF((COUNTIFS(TableBOM[Product ID],$D$4,TableBOM[Item ID],$A43)&gt;0)*($H$4&gt;0),$C$4&amp;", ",""),LEN(IF((COUNTIFS(TableBOM[Product ID],$D$3,TableBOM[Item ID],$A43)&gt;0)*($H$3&gt;0),$C$3&amp;", ","") &amp; IF((COUNTIFS(TableBOM[Product ID],$D$4,TableBOM[Item ID],$A43)&gt;0)*($H$4&gt;0),$C$4&amp;", ",""))-2),"")</f>
        <v/>
      </c>
    </row>
    <row r="44" spans="1:19" hidden="1" x14ac:dyDescent="0.25">
      <c r="A44" s="16">
        <v>81</v>
      </c>
      <c r="B44" s="181" t="s">
        <v>279</v>
      </c>
      <c r="C44" s="181" t="s">
        <v>57</v>
      </c>
      <c r="D44" s="181" t="s">
        <v>51</v>
      </c>
      <c r="E44" s="182">
        <f>SUMPRODUCT((TableBOM[Item ID]=A44)*TableBOM[Per 1000 Units]*(1+TableBOM[Scrap %])*SUMIF($D$3:$D$4,TableBOM[Product ID],$H$3:$H$4)/1000)</f>
        <v>0</v>
      </c>
      <c r="F44" s="182">
        <f>IFERROR(INDEX(TableInventory[Store Balance],MATCH(A44,TableInventory[Item ID],0)),0)+IFERROR(INDEX(TableInventory[Work In Process],MATCH(A44,TableInventory[Item ID],0)),0)</f>
        <v>553124</v>
      </c>
      <c r="G44" s="182">
        <f t="shared" si="2"/>
        <v>553124</v>
      </c>
      <c r="H44" s="208" t="str">
        <f>IFERROR(IF(SUMPRODUCT((TableBOM[Item ID]=A44)*((TableBOM[Product ID]=$D$3)*($H$3&gt;0)+(TableBOM[Product ID]=$D$4)*($H$4&gt;0)))=0,"-",ROUND(F44/((SUMPRODUCT((TableBOM[Item ID]=A44)*TableBOM[Per 1000 Units]*((TableBOM[Product ID]=$D$3)*($H$3&gt;0)+(TableBOM[Product ID]=$D$4)*($H$4&gt;0)))/SUMPRODUCT((TableBOM[Item ID]=A44)*((TableBOM[Product ID]=$D$3)*($H$3&gt;0)+(TableBOM[Product ID]=$D$4)*($H$4&gt;0))))/1000),0)),"-")</f>
        <v>-</v>
      </c>
      <c r="I44" s="184" t="str">
        <f t="shared" si="3"/>
        <v>Not needed</v>
      </c>
      <c r="J44" s="208" t="str">
        <f>IF(LEN(IF((COUNTIFS(TableBOM[Product ID],$D$3,TableBOM[Item ID],$A44)&gt;0)*($H$3&gt;0),$C$3&amp;", ","") &amp; IF((COUNTIFS(TableBOM[Product ID],$D$4,TableBOM[Item ID],$A44)&gt;0)*($H$4&gt;0),$C$4&amp;", ",""))&gt;1,LEFT(IF((COUNTIFS(TableBOM[Product ID],$D$3,TableBOM[Item ID],$A44)&gt;0)*($H$3&gt;0),$C$3&amp;", ","") &amp; IF((COUNTIFS(TableBOM[Product ID],$D$4,TableBOM[Item ID],$A44)&gt;0)*($H$4&gt;0),$C$4&amp;", ",""),LEN(IF((COUNTIFS(TableBOM[Product ID],$D$3,TableBOM[Item ID],$A44)&gt;0)*($H$3&gt;0),$C$3&amp;", ","") &amp; IF((COUNTIFS(TableBOM[Product ID],$D$4,TableBOM[Item ID],$A44)&gt;0)*($H$4&gt;0),$C$4&amp;", ",""))-2),"")</f>
        <v/>
      </c>
    </row>
    <row r="45" spans="1:19" hidden="1" x14ac:dyDescent="0.25">
      <c r="A45" s="16">
        <v>1800</v>
      </c>
      <c r="B45" s="181" t="s">
        <v>279</v>
      </c>
      <c r="C45" s="181" t="s">
        <v>58</v>
      </c>
      <c r="D45" s="181" t="s">
        <v>51</v>
      </c>
      <c r="E45" s="182">
        <f>SUMPRODUCT((TableBOM[Item ID]=A45)*TableBOM[Per 1000 Units]*(1+TableBOM[Scrap %])*SUMIF($D$3:$D$4,TableBOM[Product ID],$H$3:$H$4)/1000)</f>
        <v>0</v>
      </c>
      <c r="F45" s="182">
        <f>IFERROR(INDEX(TableInventory[Store Balance],MATCH(A45,TableInventory[Item ID],0)),0)+IFERROR(INDEX(TableInventory[Work In Process],MATCH(A45,TableInventory[Item ID],0)),0)</f>
        <v>0</v>
      </c>
      <c r="G45" s="182">
        <f t="shared" si="2"/>
        <v>0</v>
      </c>
      <c r="H45" s="208" t="str">
        <f>IFERROR(IF(SUMPRODUCT((TableBOM[Item ID]=A45)*((TableBOM[Product ID]=$D$3)*($H$3&gt;0)+(TableBOM[Product ID]=$D$4)*($H$4&gt;0)))=0,"-",ROUND(F45/((SUMPRODUCT((TableBOM[Item ID]=A45)*TableBOM[Per 1000 Units]*((TableBOM[Product ID]=$D$3)*($H$3&gt;0)+(TableBOM[Product ID]=$D$4)*($H$4&gt;0)))/SUMPRODUCT((TableBOM[Item ID]=A45)*((TableBOM[Product ID]=$D$3)*($H$3&gt;0)+(TableBOM[Product ID]=$D$4)*($H$4&gt;0))))/1000),0)),"-")</f>
        <v>-</v>
      </c>
      <c r="I45" s="184" t="str">
        <f t="shared" si="3"/>
        <v>Not needed</v>
      </c>
      <c r="J45" s="208" t="str">
        <f>IF(LEN(IF((COUNTIFS(TableBOM[Product ID],$D$3,TableBOM[Item ID],$A45)&gt;0)*($H$3&gt;0),$C$3&amp;", ","") &amp; IF((COUNTIFS(TableBOM[Product ID],$D$4,TableBOM[Item ID],$A45)&gt;0)*($H$4&gt;0),$C$4&amp;", ",""))&gt;1,LEFT(IF((COUNTIFS(TableBOM[Product ID],$D$3,TableBOM[Item ID],$A45)&gt;0)*($H$3&gt;0),$C$3&amp;", ","") &amp; IF((COUNTIFS(TableBOM[Product ID],$D$4,TableBOM[Item ID],$A45)&gt;0)*($H$4&gt;0),$C$4&amp;", ",""),LEN(IF((COUNTIFS(TableBOM[Product ID],$D$3,TableBOM[Item ID],$A45)&gt;0)*($H$3&gt;0),$C$3&amp;", ","") &amp; IF((COUNTIFS(TableBOM[Product ID],$D$4,TableBOM[Item ID],$A45)&gt;0)*($H$4&gt;0),$C$4&amp;", ",""))-2),"")</f>
        <v/>
      </c>
    </row>
    <row r="46" spans="1:19" hidden="1" x14ac:dyDescent="0.25">
      <c r="A46" s="16">
        <v>3211</v>
      </c>
      <c r="B46" s="181" t="s">
        <v>279</v>
      </c>
      <c r="C46" s="181" t="s">
        <v>59</v>
      </c>
      <c r="D46" s="181" t="s">
        <v>51</v>
      </c>
      <c r="E46" s="206">
        <f>SUMPRODUCT((TableBOM[Item ID]=A46)*TableBOM[Per 1000 Units]*(1+TableBOM[Scrap %])*SUMIF($D$3:$D$4,TableBOM[Product ID],$H$3:$H$4)/1000)</f>
        <v>0</v>
      </c>
      <c r="F46" s="206">
        <f>IFERROR(INDEX(TableInventory[Store Balance],MATCH(A46,TableInventory[Item ID],0)),0)+IFERROR(INDEX(TableInventory[Work In Process],MATCH(A46,TableInventory[Item ID],0)),0)</f>
        <v>4000</v>
      </c>
      <c r="G46" s="206">
        <f t="shared" si="2"/>
        <v>4000</v>
      </c>
      <c r="H46" s="208" t="str">
        <f>IFERROR(IF(SUMPRODUCT((TableBOM[Item ID]=A46)*((TableBOM[Product ID]=$D$3)*($H$3&gt;0)+(TableBOM[Product ID]=$D$4)*($H$4&gt;0)))=0,"-",ROUND(F46/((SUMPRODUCT((TableBOM[Item ID]=A46)*TableBOM[Per 1000 Units]*((TableBOM[Product ID]=$D$3)*($H$3&gt;0)+(TableBOM[Product ID]=$D$4)*($H$4&gt;0)))/SUMPRODUCT((TableBOM[Item ID]=A46)*((TableBOM[Product ID]=$D$3)*($H$3&gt;0)+(TableBOM[Product ID]=$D$4)*($H$4&gt;0))))/1000),0)),"-")</f>
        <v>-</v>
      </c>
      <c r="I46" s="184" t="str">
        <f t="shared" si="3"/>
        <v>Not needed</v>
      </c>
      <c r="J46" s="208" t="str">
        <f>IF(LEN(IF((COUNTIFS(TableBOM[Product ID],$D$3,TableBOM[Item ID],$A46)&gt;0)*($H$3&gt;0),$C$3&amp;", ","") &amp; IF((COUNTIFS(TableBOM[Product ID],$D$4,TableBOM[Item ID],$A46)&gt;0)*($H$4&gt;0),$C$4&amp;", ",""))&gt;1,LEFT(IF((COUNTIFS(TableBOM[Product ID],$D$3,TableBOM[Item ID],$A46)&gt;0)*($H$3&gt;0),$C$3&amp;", ","") &amp; IF((COUNTIFS(TableBOM[Product ID],$D$4,TableBOM[Item ID],$A46)&gt;0)*($H$4&gt;0),$C$4&amp;", ",""),LEN(IF((COUNTIFS(TableBOM[Product ID],$D$3,TableBOM[Item ID],$A46)&gt;0)*($H$3&gt;0),$C$3&amp;", ","") &amp; IF((COUNTIFS(TableBOM[Product ID],$D$4,TableBOM[Item ID],$A46)&gt;0)*($H$4&gt;0),$C$4&amp;", ",""))-2),"")</f>
        <v/>
      </c>
    </row>
    <row r="47" spans="1:19" hidden="1" x14ac:dyDescent="0.25">
      <c r="A47" s="16">
        <v>4015</v>
      </c>
      <c r="B47" s="181" t="s">
        <v>279</v>
      </c>
      <c r="C47" s="181" t="s">
        <v>60</v>
      </c>
      <c r="D47" s="181" t="s">
        <v>51</v>
      </c>
      <c r="E47" s="182">
        <f>SUMPRODUCT((TableBOM[Item ID]=A47)*TableBOM[Per 1000 Units]*(1+TableBOM[Scrap %])*SUMIF($D$3:$D$4,TableBOM[Product ID],$H$3:$H$4)/1000)</f>
        <v>0</v>
      </c>
      <c r="F47" s="182">
        <f>IFERROR(INDEX(TableInventory[Store Balance],MATCH(A47,TableInventory[Item ID],0)),0)+IFERROR(INDEX(TableInventory[Work In Process],MATCH(A47,TableInventory[Item ID],0)),0)</f>
        <v>475000</v>
      </c>
      <c r="G47" s="182">
        <f t="shared" si="2"/>
        <v>475000</v>
      </c>
      <c r="H47" s="208" t="str">
        <f>IFERROR(IF(SUMPRODUCT((TableBOM[Item ID]=A47)*((TableBOM[Product ID]=$D$3)*($H$3&gt;0)+(TableBOM[Product ID]=$D$4)*($H$4&gt;0)))=0,"-",ROUND(F47/((SUMPRODUCT((TableBOM[Item ID]=A47)*TableBOM[Per 1000 Units]*((TableBOM[Product ID]=$D$3)*($H$3&gt;0)+(TableBOM[Product ID]=$D$4)*($H$4&gt;0)))/SUMPRODUCT((TableBOM[Item ID]=A47)*((TableBOM[Product ID]=$D$3)*($H$3&gt;0)+(TableBOM[Product ID]=$D$4)*($H$4&gt;0))))/1000),0)),"-")</f>
        <v>-</v>
      </c>
      <c r="I47" s="184" t="str">
        <f t="shared" si="3"/>
        <v>Not needed</v>
      </c>
      <c r="J47" s="208" t="str">
        <f>IF(LEN(IF((COUNTIFS(TableBOM[Product ID],$D$3,TableBOM[Item ID],$A47)&gt;0)*($H$3&gt;0),$C$3&amp;", ","") &amp; IF((COUNTIFS(TableBOM[Product ID],$D$4,TableBOM[Item ID],$A47)&gt;0)*($H$4&gt;0),$C$4&amp;", ",""))&gt;1,LEFT(IF((COUNTIFS(TableBOM[Product ID],$D$3,TableBOM[Item ID],$A47)&gt;0)*($H$3&gt;0),$C$3&amp;", ","") &amp; IF((COUNTIFS(TableBOM[Product ID],$D$4,TableBOM[Item ID],$A47)&gt;0)*($H$4&gt;0),$C$4&amp;", ",""),LEN(IF((COUNTIFS(TableBOM[Product ID],$D$3,TableBOM[Item ID],$A47)&gt;0)*($H$3&gt;0),$C$3&amp;", ","") &amp; IF((COUNTIFS(TableBOM[Product ID],$D$4,TableBOM[Item ID],$A47)&gt;0)*($H$4&gt;0),$C$4&amp;", ",""))-2),"")</f>
        <v/>
      </c>
    </row>
    <row r="48" spans="1:19" hidden="1" x14ac:dyDescent="0.25">
      <c r="A48" s="16">
        <v>4044</v>
      </c>
      <c r="B48" s="181" t="s">
        <v>279</v>
      </c>
      <c r="C48" s="181" t="s">
        <v>61</v>
      </c>
      <c r="D48" s="181" t="s">
        <v>51</v>
      </c>
      <c r="E48" s="182">
        <f>SUMPRODUCT((TableBOM[Item ID]=A48)*TableBOM[Per 1000 Units]*(1+TableBOM[Scrap %])*SUMIF($D$3:$D$4,TableBOM[Product ID],$H$3:$H$4)/1000)</f>
        <v>0</v>
      </c>
      <c r="F48" s="182">
        <f>IFERROR(INDEX(TableInventory[Store Balance],MATCH(A48,TableInventory[Item ID],0)),0)+IFERROR(INDEX(TableInventory[Work In Process],MATCH(A48,TableInventory[Item ID],0)),0)</f>
        <v>0</v>
      </c>
      <c r="G48" s="182">
        <f t="shared" si="2"/>
        <v>0</v>
      </c>
      <c r="H48" s="208" t="str">
        <f>IFERROR(IF(SUMPRODUCT((TableBOM[Item ID]=A48)*((TableBOM[Product ID]=$D$3)*($H$3&gt;0)+(TableBOM[Product ID]=$D$4)*($H$4&gt;0)))=0,"-",ROUND(F48/((SUMPRODUCT((TableBOM[Item ID]=A48)*TableBOM[Per 1000 Units]*((TableBOM[Product ID]=$D$3)*($H$3&gt;0)+(TableBOM[Product ID]=$D$4)*($H$4&gt;0)))/SUMPRODUCT((TableBOM[Item ID]=A48)*((TableBOM[Product ID]=$D$3)*($H$3&gt;0)+(TableBOM[Product ID]=$D$4)*($H$4&gt;0))))/1000),0)),"-")</f>
        <v>-</v>
      </c>
      <c r="I48" s="184" t="str">
        <f t="shared" si="3"/>
        <v>Not needed</v>
      </c>
      <c r="J48" s="208" t="str">
        <f>IF(LEN(IF((COUNTIFS(TableBOM[Product ID],$D$3,TableBOM[Item ID],$A48)&gt;0)*($H$3&gt;0),$C$3&amp;", ","") &amp; IF((COUNTIFS(TableBOM[Product ID],$D$4,TableBOM[Item ID],$A48)&gt;0)*($H$4&gt;0),$C$4&amp;", ",""))&gt;1,LEFT(IF((COUNTIFS(TableBOM[Product ID],$D$3,TableBOM[Item ID],$A48)&gt;0)*($H$3&gt;0),$C$3&amp;", ","") &amp; IF((COUNTIFS(TableBOM[Product ID],$D$4,TableBOM[Item ID],$A48)&gt;0)*($H$4&gt;0),$C$4&amp;", ",""),LEN(IF((COUNTIFS(TableBOM[Product ID],$D$3,TableBOM[Item ID],$A48)&gt;0)*($H$3&gt;0),$C$3&amp;", ","") &amp; IF((COUNTIFS(TableBOM[Product ID],$D$4,TableBOM[Item ID],$A48)&gt;0)*($H$4&gt;0),$C$4&amp;", ",""))-2),"")</f>
        <v/>
      </c>
    </row>
    <row r="49" spans="1:10" hidden="1" x14ac:dyDescent="0.25">
      <c r="A49" s="16">
        <v>4088</v>
      </c>
      <c r="B49" s="181" t="s">
        <v>279</v>
      </c>
      <c r="C49" s="181" t="s">
        <v>62</v>
      </c>
      <c r="D49" s="181" t="s">
        <v>51</v>
      </c>
      <c r="E49" s="182">
        <f>SUMPRODUCT((TableBOM[Item ID]=A49)*TableBOM[Per 1000 Units]*(1+TableBOM[Scrap %])*SUMIF($D$3:$D$4,TableBOM[Product ID],$H$3:$H$4)/1000)</f>
        <v>0</v>
      </c>
      <c r="F49" s="182">
        <f>IFERROR(INDEX(TableInventory[Store Balance],MATCH(A49,TableInventory[Item ID],0)),0)+IFERROR(INDEX(TableInventory[Work In Process],MATCH(A49,TableInventory[Item ID],0)),0)</f>
        <v>60000</v>
      </c>
      <c r="G49" s="182">
        <f t="shared" si="2"/>
        <v>60000</v>
      </c>
      <c r="H49" s="208" t="str">
        <f>IFERROR(IF(SUMPRODUCT((TableBOM[Item ID]=A49)*((TableBOM[Product ID]=$D$3)*($H$3&gt;0)+(TableBOM[Product ID]=$D$4)*($H$4&gt;0)))=0,"-",ROUND(F49/((SUMPRODUCT((TableBOM[Item ID]=A49)*TableBOM[Per 1000 Units]*((TableBOM[Product ID]=$D$3)*($H$3&gt;0)+(TableBOM[Product ID]=$D$4)*($H$4&gt;0)))/SUMPRODUCT((TableBOM[Item ID]=A49)*((TableBOM[Product ID]=$D$3)*($H$3&gt;0)+(TableBOM[Product ID]=$D$4)*($H$4&gt;0))))/1000),0)),"-")</f>
        <v>-</v>
      </c>
      <c r="I49" s="184" t="str">
        <f t="shared" si="3"/>
        <v>Not needed</v>
      </c>
      <c r="J49" s="208" t="str">
        <f>IF(LEN(IF((COUNTIFS(TableBOM[Product ID],$D$3,TableBOM[Item ID],$A49)&gt;0)*($H$3&gt;0),$C$3&amp;", ","") &amp; IF((COUNTIFS(TableBOM[Product ID],$D$4,TableBOM[Item ID],$A49)&gt;0)*($H$4&gt;0),$C$4&amp;", ",""))&gt;1,LEFT(IF((COUNTIFS(TableBOM[Product ID],$D$3,TableBOM[Item ID],$A49)&gt;0)*($H$3&gt;0),$C$3&amp;", ","") &amp; IF((COUNTIFS(TableBOM[Product ID],$D$4,TableBOM[Item ID],$A49)&gt;0)*($H$4&gt;0),$C$4&amp;", ",""),LEN(IF((COUNTIFS(TableBOM[Product ID],$D$3,TableBOM[Item ID],$A49)&gt;0)*($H$3&gt;0),$C$3&amp;", ","") &amp; IF((COUNTIFS(TableBOM[Product ID],$D$4,TableBOM[Item ID],$A49)&gt;0)*($H$4&gt;0),$C$4&amp;", ",""))-2),"")</f>
        <v/>
      </c>
    </row>
    <row r="50" spans="1:10" hidden="1" x14ac:dyDescent="0.25">
      <c r="A50" s="16">
        <v>4143</v>
      </c>
      <c r="B50" s="181" t="s">
        <v>279</v>
      </c>
      <c r="C50" s="181" t="s">
        <v>63</v>
      </c>
      <c r="D50" s="181" t="s">
        <v>51</v>
      </c>
      <c r="E50" s="182">
        <f>SUMPRODUCT((TableBOM[Item ID]=A50)*TableBOM[Per 1000 Units]*(1+TableBOM[Scrap %])*SUMIF($D$3:$D$4,TableBOM[Product ID],$H$3:$H$4)/1000)</f>
        <v>0</v>
      </c>
      <c r="F50" s="182">
        <f>IFERROR(INDEX(TableInventory[Store Balance],MATCH(A50,TableInventory[Item ID],0)),0)+IFERROR(INDEX(TableInventory[Work In Process],MATCH(A50,TableInventory[Item ID],0)),0)</f>
        <v>65000</v>
      </c>
      <c r="G50" s="182">
        <f t="shared" si="2"/>
        <v>65000</v>
      </c>
      <c r="H50" s="208" t="str">
        <f>IFERROR(IF(SUMPRODUCT((TableBOM[Item ID]=A50)*((TableBOM[Product ID]=$D$3)*($H$3&gt;0)+(TableBOM[Product ID]=$D$4)*($H$4&gt;0)))=0,"-",ROUND(F50/((SUMPRODUCT((TableBOM[Item ID]=A50)*TableBOM[Per 1000 Units]*((TableBOM[Product ID]=$D$3)*($H$3&gt;0)+(TableBOM[Product ID]=$D$4)*($H$4&gt;0)))/SUMPRODUCT((TableBOM[Item ID]=A50)*((TableBOM[Product ID]=$D$3)*($H$3&gt;0)+(TableBOM[Product ID]=$D$4)*($H$4&gt;0))))/1000),0)),"-")</f>
        <v>-</v>
      </c>
      <c r="I50" s="184" t="str">
        <f t="shared" si="3"/>
        <v>Not needed</v>
      </c>
      <c r="J50" s="208" t="str">
        <f>IF(LEN(IF((COUNTIFS(TableBOM[Product ID],$D$3,TableBOM[Item ID],$A50)&gt;0)*($H$3&gt;0),$C$3&amp;", ","") &amp; IF((COUNTIFS(TableBOM[Product ID],$D$4,TableBOM[Item ID],$A50)&gt;0)*($H$4&gt;0),$C$4&amp;", ",""))&gt;1,LEFT(IF((COUNTIFS(TableBOM[Product ID],$D$3,TableBOM[Item ID],$A50)&gt;0)*($H$3&gt;0),$C$3&amp;", ","") &amp; IF((COUNTIFS(TableBOM[Product ID],$D$4,TableBOM[Item ID],$A50)&gt;0)*($H$4&gt;0),$C$4&amp;", ",""),LEN(IF((COUNTIFS(TableBOM[Product ID],$D$3,TableBOM[Item ID],$A50)&gt;0)*($H$3&gt;0),$C$3&amp;", ","") &amp; IF((COUNTIFS(TableBOM[Product ID],$D$4,TableBOM[Item ID],$A50)&gt;0)*($H$4&gt;0),$C$4&amp;", ",""))-2),"")</f>
        <v/>
      </c>
    </row>
    <row r="51" spans="1:10" hidden="1" x14ac:dyDescent="0.25">
      <c r="A51" s="16">
        <v>6971</v>
      </c>
      <c r="B51" s="181" t="s">
        <v>279</v>
      </c>
      <c r="C51" s="181" t="s">
        <v>64</v>
      </c>
      <c r="D51" s="181" t="s">
        <v>51</v>
      </c>
      <c r="E51" s="182">
        <f>SUMPRODUCT((TableBOM[Item ID]=A51)*TableBOM[Per 1000 Units]*(1+TableBOM[Scrap %])*SUMIF($D$3:$D$4,TableBOM[Product ID],$H$3:$H$4)/1000)</f>
        <v>0</v>
      </c>
      <c r="F51" s="182">
        <f>IFERROR(INDEX(TableInventory[Store Balance],MATCH(A51,TableInventory[Item ID],0)),0)+IFERROR(INDEX(TableInventory[Work In Process],MATCH(A51,TableInventory[Item ID],0)),0)</f>
        <v>0</v>
      </c>
      <c r="G51" s="182">
        <f t="shared" si="2"/>
        <v>0</v>
      </c>
      <c r="H51" s="208" t="str">
        <f>IFERROR(IF(SUMPRODUCT((TableBOM[Item ID]=A51)*((TableBOM[Product ID]=$D$3)*($H$3&gt;0)+(TableBOM[Product ID]=$D$4)*($H$4&gt;0)))=0,"-",ROUND(F51/((SUMPRODUCT((TableBOM[Item ID]=A51)*TableBOM[Per 1000 Units]*((TableBOM[Product ID]=$D$3)*($H$3&gt;0)+(TableBOM[Product ID]=$D$4)*($H$4&gt;0)))/SUMPRODUCT((TableBOM[Item ID]=A51)*((TableBOM[Product ID]=$D$3)*($H$3&gt;0)+(TableBOM[Product ID]=$D$4)*($H$4&gt;0))))/1000),0)),"-")</f>
        <v>-</v>
      </c>
      <c r="I51" s="184" t="str">
        <f t="shared" si="3"/>
        <v>Not needed</v>
      </c>
      <c r="J51" s="208" t="str">
        <f>IF(LEN(IF((COUNTIFS(TableBOM[Product ID],$D$3,TableBOM[Item ID],$A51)&gt;0)*($H$3&gt;0),$C$3&amp;", ","") &amp; IF((COUNTIFS(TableBOM[Product ID],$D$4,TableBOM[Item ID],$A51)&gt;0)*($H$4&gt;0),$C$4&amp;", ",""))&gt;1,LEFT(IF((COUNTIFS(TableBOM[Product ID],$D$3,TableBOM[Item ID],$A51)&gt;0)*($H$3&gt;0),$C$3&amp;", ","") &amp; IF((COUNTIFS(TableBOM[Product ID],$D$4,TableBOM[Item ID],$A51)&gt;0)*($H$4&gt;0),$C$4&amp;", ",""),LEN(IF((COUNTIFS(TableBOM[Product ID],$D$3,TableBOM[Item ID],$A51)&gt;0)*($H$3&gt;0),$C$3&amp;", ","") &amp; IF((COUNTIFS(TableBOM[Product ID],$D$4,TableBOM[Item ID],$A51)&gt;0)*($H$4&gt;0),$C$4&amp;", ",""))-2),"")</f>
        <v/>
      </c>
    </row>
    <row r="52" spans="1:10" hidden="1" x14ac:dyDescent="0.25">
      <c r="A52" s="16">
        <v>7370</v>
      </c>
      <c r="B52" s="181" t="s">
        <v>279</v>
      </c>
      <c r="C52" s="181" t="s">
        <v>65</v>
      </c>
      <c r="D52" s="181" t="s">
        <v>51</v>
      </c>
      <c r="E52" s="182">
        <f>SUMPRODUCT((TableBOM[Item ID]=A52)*TableBOM[Per 1000 Units]*(1+TableBOM[Scrap %])*SUMIF($D$3:$D$4,TableBOM[Product ID],$H$3:$H$4)/1000)</f>
        <v>0</v>
      </c>
      <c r="F52" s="182">
        <f>IFERROR(INDEX(TableInventory[Store Balance],MATCH(A52,TableInventory[Item ID],0)),0)+IFERROR(INDEX(TableInventory[Work In Process],MATCH(A52,TableInventory[Item ID],0)),0)</f>
        <v>47000</v>
      </c>
      <c r="G52" s="182">
        <f t="shared" si="2"/>
        <v>47000</v>
      </c>
      <c r="H52" s="208" t="str">
        <f>IFERROR(IF(SUMPRODUCT((TableBOM[Item ID]=A52)*((TableBOM[Product ID]=$D$3)*($H$3&gt;0)+(TableBOM[Product ID]=$D$4)*($H$4&gt;0)))=0,"-",ROUND(F52/((SUMPRODUCT((TableBOM[Item ID]=A52)*TableBOM[Per 1000 Units]*((TableBOM[Product ID]=$D$3)*($H$3&gt;0)+(TableBOM[Product ID]=$D$4)*($H$4&gt;0)))/SUMPRODUCT((TableBOM[Item ID]=A52)*((TableBOM[Product ID]=$D$3)*($H$3&gt;0)+(TableBOM[Product ID]=$D$4)*($H$4&gt;0))))/1000),0)),"-")</f>
        <v>-</v>
      </c>
      <c r="I52" s="184" t="str">
        <f t="shared" si="3"/>
        <v>Not needed</v>
      </c>
      <c r="J52" s="208" t="str">
        <f>IF(LEN(IF((COUNTIFS(TableBOM[Product ID],$D$3,TableBOM[Item ID],$A52)&gt;0)*($H$3&gt;0),$C$3&amp;", ","") &amp; IF((COUNTIFS(TableBOM[Product ID],$D$4,TableBOM[Item ID],$A52)&gt;0)*($H$4&gt;0),$C$4&amp;", ",""))&gt;1,LEFT(IF((COUNTIFS(TableBOM[Product ID],$D$3,TableBOM[Item ID],$A52)&gt;0)*($H$3&gt;0),$C$3&amp;", ","") &amp; IF((COUNTIFS(TableBOM[Product ID],$D$4,TableBOM[Item ID],$A52)&gt;0)*($H$4&gt;0),$C$4&amp;", ",""),LEN(IF((COUNTIFS(TableBOM[Product ID],$D$3,TableBOM[Item ID],$A52)&gt;0)*($H$3&gt;0),$C$3&amp;", ","") &amp; IF((COUNTIFS(TableBOM[Product ID],$D$4,TableBOM[Item ID],$A52)&gt;0)*($H$4&gt;0),$C$4&amp;", ",""))-2),"")</f>
        <v/>
      </c>
    </row>
    <row r="53" spans="1:10" x14ac:dyDescent="0.25">
      <c r="A53" s="16">
        <v>68</v>
      </c>
      <c r="B53" s="181" t="s">
        <v>279</v>
      </c>
      <c r="C53" s="181" t="s">
        <v>66</v>
      </c>
      <c r="D53" s="181" t="s">
        <v>51</v>
      </c>
      <c r="E53" s="182">
        <f>SUMPRODUCT((TableBOM[Item ID]=A53)*TableBOM[Per 1000 Units]*(1+TableBOM[Scrap %])*SUMIF($D$3:$D$4,TableBOM[Product ID],$H$3:$H$4)/1000)</f>
        <v>54684.24</v>
      </c>
      <c r="F53" s="182">
        <f>IFERROR(INDEX(TableInventory[Store Balance],MATCH(A53,TableInventory[Item ID],0)),0)+IFERROR(INDEX(TableInventory[Work In Process],MATCH(A53,TableInventory[Item ID],0)),0)</f>
        <v>200000</v>
      </c>
      <c r="G53" s="182">
        <f t="shared" si="2"/>
        <v>145315.76</v>
      </c>
      <c r="H53" s="208">
        <f>IFERROR(IF(SUMPRODUCT((TableBOM[Item ID]=A53)*((TableBOM[Product ID]=$D$3)*($H$3&gt;0)+(TableBOM[Product ID]=$D$4)*($H$4&gt;0)))=0,"-",ROUND(F53/((SUMPRODUCT((TableBOM[Item ID]=A53)*TableBOM[Per 1000 Units]*((TableBOM[Product ID]=$D$3)*($H$3&gt;0)+(TableBOM[Product ID]=$D$4)*($H$4&gt;0)))/SUMPRODUCT((TableBOM[Item ID]=A53)*((TableBOM[Product ID]=$D$3)*($H$3&gt;0)+(TableBOM[Product ID]=$D$4)*($H$4&gt;0))))/1000),0)),"-")</f>
        <v>200000</v>
      </c>
      <c r="I53" s="184" t="str">
        <f t="shared" si="3"/>
        <v>OK</v>
      </c>
      <c r="J53" s="210" t="str">
        <f>IF(LEN(IF((COUNTIFS(TableBOM[Product ID],$D$3,TableBOM[Item ID],$A53)&gt;0)*($H$3&gt;0),$C$3&amp;", ","") &amp; IF((COUNTIFS(TableBOM[Product ID],$D$4,TableBOM[Item ID],$A53)&gt;0)*($H$4&gt;0),$C$4&amp;", ",""))&gt;1,LEFT(IF((COUNTIFS(TableBOM[Product ID],$D$3,TableBOM[Item ID],$A53)&gt;0)*($H$3&gt;0),$C$3&amp;", ","") &amp; IF((COUNTIFS(TableBOM[Product ID],$D$4,TableBOM[Item ID],$A53)&gt;0)*($H$4&gt;0),$C$4&amp;", ",""),LEN(IF((COUNTIFS(TableBOM[Product ID],$D$3,TableBOM[Item ID],$A53)&gt;0)*($H$3&gt;0),$C$3&amp;", ","") &amp; IF((COUNTIFS(TableBOM[Product ID],$D$4,TableBOM[Item ID],$A53)&gt;0)*($H$4&gt;0),$C$4&amp;", ",""))-2),"")</f>
        <v>HELLO HAIR COLOR</v>
      </c>
    </row>
    <row r="54" spans="1:10" hidden="1" x14ac:dyDescent="0.25">
      <c r="A54" s="16">
        <v>102</v>
      </c>
      <c r="B54" s="181" t="s">
        <v>279</v>
      </c>
      <c r="C54" s="181" t="s">
        <v>67</v>
      </c>
      <c r="D54" s="181" t="s">
        <v>51</v>
      </c>
      <c r="E54" s="182">
        <f>SUMPRODUCT((TableBOM[Item ID]=A54)*TableBOM[Per 1000 Units]*(1+TableBOM[Scrap %])*SUMIF($D$3:$D$4,TableBOM[Product ID],$H$3:$H$4)/1000)</f>
        <v>0</v>
      </c>
      <c r="F54" s="182">
        <f>IFERROR(INDEX(TableInventory[Store Balance],MATCH(A54,TableInventory[Item ID],0)),0)+IFERROR(INDEX(TableInventory[Work In Process],MATCH(A54,TableInventory[Item ID],0)),0)</f>
        <v>30000</v>
      </c>
      <c r="G54" s="182">
        <f t="shared" si="2"/>
        <v>30000</v>
      </c>
      <c r="H54" s="208" t="str">
        <f>IFERROR(IF(SUMPRODUCT((TableBOM[Item ID]=A54)*((TableBOM[Product ID]=$D$3)*($H$3&gt;0)+(TableBOM[Product ID]=$D$4)*($H$4&gt;0)))=0,"-",ROUND(F54/((SUMPRODUCT((TableBOM[Item ID]=A54)*TableBOM[Per 1000 Units]*((TableBOM[Product ID]=$D$3)*($H$3&gt;0)+(TableBOM[Product ID]=$D$4)*($H$4&gt;0)))/SUMPRODUCT((TableBOM[Item ID]=A54)*((TableBOM[Product ID]=$D$3)*($H$3&gt;0)+(TableBOM[Product ID]=$D$4)*($H$4&gt;0))))/1000),0)),"-")</f>
        <v>-</v>
      </c>
      <c r="I54" s="184" t="str">
        <f t="shared" si="3"/>
        <v>Not needed</v>
      </c>
      <c r="J54" s="208" t="str">
        <f>IF(LEN(IF((COUNTIFS(TableBOM[Product ID],$D$3,TableBOM[Item ID],$A54)&gt;0)*($H$3&gt;0),$C$3&amp;", ","") &amp; IF((COUNTIFS(TableBOM[Product ID],$D$4,TableBOM[Item ID],$A54)&gt;0)*($H$4&gt;0),$C$4&amp;", ",""))&gt;1,LEFT(IF((COUNTIFS(TableBOM[Product ID],$D$3,TableBOM[Item ID],$A54)&gt;0)*($H$3&gt;0),$C$3&amp;", ","") &amp; IF((COUNTIFS(TableBOM[Product ID],$D$4,TableBOM[Item ID],$A54)&gt;0)*($H$4&gt;0),$C$4&amp;", ",""),LEN(IF((COUNTIFS(TableBOM[Product ID],$D$3,TableBOM[Item ID],$A54)&gt;0)*($H$3&gt;0),$C$3&amp;", ","") &amp; IF((COUNTIFS(TableBOM[Product ID],$D$4,TableBOM[Item ID],$A54)&gt;0)*($H$4&gt;0),$C$4&amp;", ",""))-2),"")</f>
        <v/>
      </c>
    </row>
    <row r="55" spans="1:10" hidden="1" x14ac:dyDescent="0.25">
      <c r="A55" s="16">
        <v>1073</v>
      </c>
      <c r="B55" s="181" t="s">
        <v>279</v>
      </c>
      <c r="C55" s="181" t="s">
        <v>68</v>
      </c>
      <c r="D55" s="181" t="s">
        <v>51</v>
      </c>
      <c r="E55" s="182">
        <f>SUMPRODUCT((TableBOM[Item ID]=A55)*TableBOM[Per 1000 Units]*(1+TableBOM[Scrap %])*SUMIF($D$3:$D$4,TableBOM[Product ID],$H$3:$H$4)/1000)</f>
        <v>0</v>
      </c>
      <c r="F55" s="182">
        <f>IFERROR(INDEX(TableInventory[Store Balance],MATCH(A55,TableInventory[Item ID],0)),0)+IFERROR(INDEX(TableInventory[Work In Process],MATCH(A55,TableInventory[Item ID],0)),0)</f>
        <v>120000</v>
      </c>
      <c r="G55" s="182">
        <f t="shared" si="2"/>
        <v>120000</v>
      </c>
      <c r="H55" s="208" t="str">
        <f>IFERROR(IF(SUMPRODUCT((TableBOM[Item ID]=A55)*((TableBOM[Product ID]=$D$3)*($H$3&gt;0)+(TableBOM[Product ID]=$D$4)*($H$4&gt;0)))=0,"-",ROUND(F55/((SUMPRODUCT((TableBOM[Item ID]=A55)*TableBOM[Per 1000 Units]*((TableBOM[Product ID]=$D$3)*($H$3&gt;0)+(TableBOM[Product ID]=$D$4)*($H$4&gt;0)))/SUMPRODUCT((TableBOM[Item ID]=A55)*((TableBOM[Product ID]=$D$3)*($H$3&gt;0)+(TableBOM[Product ID]=$D$4)*($H$4&gt;0))))/1000),0)),"-")</f>
        <v>-</v>
      </c>
      <c r="I55" s="184" t="str">
        <f t="shared" si="3"/>
        <v>Not needed</v>
      </c>
      <c r="J55" s="208" t="str">
        <f>IF(LEN(IF((COUNTIFS(TableBOM[Product ID],$D$3,TableBOM[Item ID],$A55)&gt;0)*($H$3&gt;0),$C$3&amp;", ","") &amp; IF((COUNTIFS(TableBOM[Product ID],$D$4,TableBOM[Item ID],$A55)&gt;0)*($H$4&gt;0),$C$4&amp;", ",""))&gt;1,LEFT(IF((COUNTIFS(TableBOM[Product ID],$D$3,TableBOM[Item ID],$A55)&gt;0)*($H$3&gt;0),$C$3&amp;", ","") &amp; IF((COUNTIFS(TableBOM[Product ID],$D$4,TableBOM[Item ID],$A55)&gt;0)*($H$4&gt;0),$C$4&amp;", ",""),LEN(IF((COUNTIFS(TableBOM[Product ID],$D$3,TableBOM[Item ID],$A55)&gt;0)*($H$3&gt;0),$C$3&amp;", ","") &amp; IF((COUNTIFS(TableBOM[Product ID],$D$4,TableBOM[Item ID],$A55)&gt;0)*($H$4&gt;0),$C$4&amp;", ",""))-2),"")</f>
        <v/>
      </c>
    </row>
    <row r="56" spans="1:10" hidden="1" x14ac:dyDescent="0.25">
      <c r="A56" s="16">
        <v>1285</v>
      </c>
      <c r="B56" s="181" t="s">
        <v>279</v>
      </c>
      <c r="C56" s="181" t="s">
        <v>69</v>
      </c>
      <c r="D56" s="181" t="s">
        <v>51</v>
      </c>
      <c r="E56" s="182">
        <f>SUMPRODUCT((TableBOM[Item ID]=A56)*TableBOM[Per 1000 Units]*(1+TableBOM[Scrap %])*SUMIF($D$3:$D$4,TableBOM[Product ID],$H$3:$H$4)/1000)</f>
        <v>0</v>
      </c>
      <c r="F56" s="182">
        <f>IFERROR(INDEX(TableInventory[Store Balance],MATCH(A56,TableInventory[Item ID],0)),0)+IFERROR(INDEX(TableInventory[Work In Process],MATCH(A56,TableInventory[Item ID],0)),0)</f>
        <v>208000</v>
      </c>
      <c r="G56" s="182">
        <f t="shared" si="2"/>
        <v>208000</v>
      </c>
      <c r="H56" s="208" t="str">
        <f>IFERROR(IF(SUMPRODUCT((TableBOM[Item ID]=A56)*((TableBOM[Product ID]=$D$3)*($H$3&gt;0)+(TableBOM[Product ID]=$D$4)*($H$4&gt;0)))=0,"-",ROUND(F56/((SUMPRODUCT((TableBOM[Item ID]=A56)*TableBOM[Per 1000 Units]*((TableBOM[Product ID]=$D$3)*($H$3&gt;0)+(TableBOM[Product ID]=$D$4)*($H$4&gt;0)))/SUMPRODUCT((TableBOM[Item ID]=A56)*((TableBOM[Product ID]=$D$3)*($H$3&gt;0)+(TableBOM[Product ID]=$D$4)*($H$4&gt;0))))/1000),0)),"-")</f>
        <v>-</v>
      </c>
      <c r="I56" s="184" t="str">
        <f t="shared" si="3"/>
        <v>Not needed</v>
      </c>
      <c r="J56" s="208" t="str">
        <f>IF(LEN(IF((COUNTIFS(TableBOM[Product ID],$D$3,TableBOM[Item ID],$A56)&gt;0)*($H$3&gt;0),$C$3&amp;", ","") &amp; IF((COUNTIFS(TableBOM[Product ID],$D$4,TableBOM[Item ID],$A56)&gt;0)*($H$4&gt;0),$C$4&amp;", ",""))&gt;1,LEFT(IF((COUNTIFS(TableBOM[Product ID],$D$3,TableBOM[Item ID],$A56)&gt;0)*($H$3&gt;0),$C$3&amp;", ","") &amp; IF((COUNTIFS(TableBOM[Product ID],$D$4,TableBOM[Item ID],$A56)&gt;0)*($H$4&gt;0),$C$4&amp;", ",""),LEN(IF((COUNTIFS(TableBOM[Product ID],$D$3,TableBOM[Item ID],$A56)&gt;0)*($H$3&gt;0),$C$3&amp;", ","") &amp; IF((COUNTIFS(TableBOM[Product ID],$D$4,TableBOM[Item ID],$A56)&gt;0)*($H$4&gt;0),$C$4&amp;", ",""))-2),"")</f>
        <v/>
      </c>
    </row>
    <row r="57" spans="1:10" hidden="1" x14ac:dyDescent="0.25">
      <c r="A57" s="16">
        <v>3522</v>
      </c>
      <c r="B57" s="181" t="s">
        <v>279</v>
      </c>
      <c r="C57" s="181" t="s">
        <v>70</v>
      </c>
      <c r="D57" s="181" t="s">
        <v>51</v>
      </c>
      <c r="E57" s="182">
        <f>SUMPRODUCT((TableBOM[Item ID]=A57)*TableBOM[Per 1000 Units]*(1+TableBOM[Scrap %])*SUMIF($D$3:$D$4,TableBOM[Product ID],$H$3:$H$4)/1000)</f>
        <v>0</v>
      </c>
      <c r="F57" s="182">
        <f>IFERROR(INDEX(TableInventory[Store Balance],MATCH(A57,TableInventory[Item ID],0)),0)+IFERROR(INDEX(TableInventory[Work In Process],MATCH(A57,TableInventory[Item ID],0)),0)</f>
        <v>75000</v>
      </c>
      <c r="G57" s="182">
        <f t="shared" si="2"/>
        <v>75000</v>
      </c>
      <c r="H57" s="208" t="str">
        <f>IFERROR(IF(SUMPRODUCT((TableBOM[Item ID]=A57)*((TableBOM[Product ID]=$D$3)*($H$3&gt;0)+(TableBOM[Product ID]=$D$4)*($H$4&gt;0)))=0,"-",ROUND(F57/((SUMPRODUCT((TableBOM[Item ID]=A57)*TableBOM[Per 1000 Units]*((TableBOM[Product ID]=$D$3)*($H$3&gt;0)+(TableBOM[Product ID]=$D$4)*($H$4&gt;0)))/SUMPRODUCT((TableBOM[Item ID]=A57)*((TableBOM[Product ID]=$D$3)*($H$3&gt;0)+(TableBOM[Product ID]=$D$4)*($H$4&gt;0))))/1000),0)),"-")</f>
        <v>-</v>
      </c>
      <c r="I57" s="184" t="str">
        <f t="shared" si="3"/>
        <v>Not needed</v>
      </c>
      <c r="J57" s="208" t="str">
        <f>IF(LEN(IF((COUNTIFS(TableBOM[Product ID],$D$3,TableBOM[Item ID],$A57)&gt;0)*($H$3&gt;0),$C$3&amp;", ","") &amp; IF((COUNTIFS(TableBOM[Product ID],$D$4,TableBOM[Item ID],$A57)&gt;0)*($H$4&gt;0),$C$4&amp;", ",""))&gt;1,LEFT(IF((COUNTIFS(TableBOM[Product ID],$D$3,TableBOM[Item ID],$A57)&gt;0)*($H$3&gt;0),$C$3&amp;", ","") &amp; IF((COUNTIFS(TableBOM[Product ID],$D$4,TableBOM[Item ID],$A57)&gt;0)*($H$4&gt;0),$C$4&amp;", ",""),LEN(IF((COUNTIFS(TableBOM[Product ID],$D$3,TableBOM[Item ID],$A57)&gt;0)*($H$3&gt;0),$C$3&amp;", ","") &amp; IF((COUNTIFS(TableBOM[Product ID],$D$4,TableBOM[Item ID],$A57)&gt;0)*($H$4&gt;0),$C$4&amp;", ",""))-2),"")</f>
        <v/>
      </c>
    </row>
    <row r="58" spans="1:10" hidden="1" x14ac:dyDescent="0.25">
      <c r="A58" s="16">
        <v>3866</v>
      </c>
      <c r="B58" s="181" t="s">
        <v>279</v>
      </c>
      <c r="C58" s="181" t="s">
        <v>71</v>
      </c>
      <c r="D58" s="181" t="s">
        <v>51</v>
      </c>
      <c r="E58" s="182">
        <f>SUMPRODUCT((TableBOM[Item ID]=A58)*TableBOM[Per 1000 Units]*(1+TableBOM[Scrap %])*SUMIF($D$3:$D$4,TableBOM[Product ID],$H$3:$H$4)/1000)</f>
        <v>0</v>
      </c>
      <c r="F58" s="182">
        <f>IFERROR(INDEX(TableInventory[Store Balance],MATCH(A58,TableInventory[Item ID],0)),0)+IFERROR(INDEX(TableInventory[Work In Process],MATCH(A58,TableInventory[Item ID],0)),0)</f>
        <v>0</v>
      </c>
      <c r="G58" s="182">
        <f t="shared" si="2"/>
        <v>0</v>
      </c>
      <c r="H58" s="208" t="str">
        <f>IFERROR(IF(SUMPRODUCT((TableBOM[Item ID]=A58)*((TableBOM[Product ID]=$D$3)*($H$3&gt;0)+(TableBOM[Product ID]=$D$4)*($H$4&gt;0)))=0,"-",ROUND(F58/((SUMPRODUCT((TableBOM[Item ID]=A58)*TableBOM[Per 1000 Units]*((TableBOM[Product ID]=$D$3)*($H$3&gt;0)+(TableBOM[Product ID]=$D$4)*($H$4&gt;0)))/SUMPRODUCT((TableBOM[Item ID]=A58)*((TableBOM[Product ID]=$D$3)*($H$3&gt;0)+(TableBOM[Product ID]=$D$4)*($H$4&gt;0))))/1000),0)),"-")</f>
        <v>-</v>
      </c>
      <c r="I58" s="184" t="str">
        <f t="shared" si="3"/>
        <v>Not needed</v>
      </c>
      <c r="J58" s="208" t="str">
        <f>IF(LEN(IF((COUNTIFS(TableBOM[Product ID],$D$3,TableBOM[Item ID],$A58)&gt;0)*($H$3&gt;0),$C$3&amp;", ","") &amp; IF((COUNTIFS(TableBOM[Product ID],$D$4,TableBOM[Item ID],$A58)&gt;0)*($H$4&gt;0),$C$4&amp;", ",""))&gt;1,LEFT(IF((COUNTIFS(TableBOM[Product ID],$D$3,TableBOM[Item ID],$A58)&gt;0)*($H$3&gt;0),$C$3&amp;", ","") &amp; IF((COUNTIFS(TableBOM[Product ID],$D$4,TableBOM[Item ID],$A58)&gt;0)*($H$4&gt;0),$C$4&amp;", ",""),LEN(IF((COUNTIFS(TableBOM[Product ID],$D$3,TableBOM[Item ID],$A58)&gt;0)*($H$3&gt;0),$C$3&amp;", ","") &amp; IF((COUNTIFS(TableBOM[Product ID],$D$4,TableBOM[Item ID],$A58)&gt;0)*($H$4&gt;0),$C$4&amp;", ",""))-2),"")</f>
        <v/>
      </c>
    </row>
    <row r="59" spans="1:10" x14ac:dyDescent="0.25">
      <c r="A59" s="16">
        <v>578</v>
      </c>
      <c r="B59" s="181" t="s">
        <v>279</v>
      </c>
      <c r="C59" s="181" t="s">
        <v>72</v>
      </c>
      <c r="D59" s="181" t="s">
        <v>51</v>
      </c>
      <c r="E59" s="182">
        <f>SUMPRODUCT((TableBOM[Item ID]=A59)*TableBOM[Per 1000 Units]*(1+TableBOM[Scrap %])*SUMIF($D$3:$D$4,TableBOM[Product ID],$H$3:$H$4)/1000)</f>
        <v>25500</v>
      </c>
      <c r="F59" s="182">
        <f>IFERROR(INDEX(TableInventory[Store Balance],MATCH(A59,TableInventory[Item ID],0)),0)+IFERROR(INDEX(TableInventory[Work In Process],MATCH(A59,TableInventory[Item ID],0)),0)</f>
        <v>5000</v>
      </c>
      <c r="G59" s="182">
        <f t="shared" si="2"/>
        <v>-20500</v>
      </c>
      <c r="H59" s="208">
        <f>IFERROR(IF(SUMPRODUCT((TableBOM[Item ID]=A59)*((TableBOM[Product ID]=$D$3)*($H$3&gt;0)+(TableBOM[Product ID]=$D$4)*($H$4&gt;0)))=0,"-",ROUND(F59/((SUMPRODUCT((TableBOM[Item ID]=A59)*TableBOM[Per 1000 Units]*((TableBOM[Product ID]=$D$3)*($H$3&gt;0)+(TableBOM[Product ID]=$D$4)*($H$4&gt;0)))/SUMPRODUCT((TableBOM[Item ID]=A59)*((TableBOM[Product ID]=$D$3)*($H$3&gt;0)+(TableBOM[Product ID]=$D$4)*($H$4&gt;0))))/1000),0)),"-")</f>
        <v>5000</v>
      </c>
      <c r="I59" s="184" t="str">
        <f t="shared" si="3"/>
        <v>SHORTAGE</v>
      </c>
      <c r="J59" s="210" t="str">
        <f>IF(LEN(IF((COUNTIFS(TableBOM[Product ID],$D$3,TableBOM[Item ID],$A59)&gt;0)*($H$3&gt;0),$C$3&amp;", ","") &amp; IF((COUNTIFS(TableBOM[Product ID],$D$4,TableBOM[Item ID],$A59)&gt;0)*($H$4&gt;0),$C$4&amp;", ",""))&gt;1,LEFT(IF((COUNTIFS(TableBOM[Product ID],$D$3,TableBOM[Item ID],$A59)&gt;0)*($H$3&gt;0),$C$3&amp;", ","") &amp; IF((COUNTIFS(TableBOM[Product ID],$D$4,TableBOM[Item ID],$A59)&gt;0)*($H$4&gt;0),$C$4&amp;", ",""),LEN(IF((COUNTIFS(TableBOM[Product ID],$D$3,TableBOM[Item ID],$A59)&gt;0)*($H$3&gt;0),$C$3&amp;", ","") &amp; IF((COUNTIFS(TableBOM[Product ID],$D$4,TableBOM[Item ID],$A59)&gt;0)*($H$4&gt;0),$C$4&amp;", ",""))-2),"")</f>
        <v>VINCE NURTURAL</v>
      </c>
    </row>
    <row r="60" spans="1:10" hidden="1" x14ac:dyDescent="0.25">
      <c r="A60" s="16">
        <v>9902</v>
      </c>
      <c r="B60" s="181" t="s">
        <v>279</v>
      </c>
      <c r="C60" s="181" t="s">
        <v>280</v>
      </c>
      <c r="D60" s="181" t="s">
        <v>51</v>
      </c>
      <c r="E60" s="182">
        <f>SUMPRODUCT((TableBOM[Item ID]=A60)*TableBOM[Per 1000 Units]*(1+TableBOM[Scrap %])*SUMIF($D$3:$D$4,TableBOM[Product ID],$H$3:$H$4)/1000)</f>
        <v>0</v>
      </c>
      <c r="F60" s="182">
        <f>IFERROR(INDEX(TableInventory[Store Balance],MATCH(A60,TableInventory[Item ID],0)),0)+IFERROR(INDEX(TableInventory[Work In Process],MATCH(A60,TableInventory[Item ID],0)),0)</f>
        <v>0</v>
      </c>
      <c r="G60" s="182">
        <f t="shared" si="2"/>
        <v>0</v>
      </c>
      <c r="H60" s="208" t="str">
        <f>IFERROR(IF(SUMPRODUCT((TableBOM[Item ID]=A60)*((TableBOM[Product ID]=$D$3)*($H$3&gt;0)+(TableBOM[Product ID]=$D$4)*($H$4&gt;0)))=0,"-",ROUND(F60/((SUMPRODUCT((TableBOM[Item ID]=A60)*TableBOM[Per 1000 Units]*((TableBOM[Product ID]=$D$3)*($H$3&gt;0)+(TableBOM[Product ID]=$D$4)*($H$4&gt;0)))/SUMPRODUCT((TableBOM[Item ID]=A60)*((TableBOM[Product ID]=$D$3)*($H$3&gt;0)+(TableBOM[Product ID]=$D$4)*($H$4&gt;0))))/1000),0)),"-")</f>
        <v>-</v>
      </c>
      <c r="I60" s="184" t="str">
        <f t="shared" si="3"/>
        <v>Not needed</v>
      </c>
      <c r="J60" s="208" t="str">
        <f>IF(LEN(IF((COUNTIFS(TableBOM[Product ID],$D$3,TableBOM[Item ID],$A60)&gt;0)*($H$3&gt;0),$C$3&amp;", ","") &amp; IF((COUNTIFS(TableBOM[Product ID],$D$4,TableBOM[Item ID],$A60)&gt;0)*($H$4&gt;0),$C$4&amp;", ",""))&gt;1,LEFT(IF((COUNTIFS(TableBOM[Product ID],$D$3,TableBOM[Item ID],$A60)&gt;0)*($H$3&gt;0),$C$3&amp;", ","") &amp; IF((COUNTIFS(TableBOM[Product ID],$D$4,TableBOM[Item ID],$A60)&gt;0)*($H$4&gt;0),$C$4&amp;", ",""),LEN(IF((COUNTIFS(TableBOM[Product ID],$D$3,TableBOM[Item ID],$A60)&gt;0)*($H$3&gt;0),$C$3&amp;", ","") &amp; IF((COUNTIFS(TableBOM[Product ID],$D$4,TableBOM[Item ID],$A60)&gt;0)*($H$4&gt;0),$C$4&amp;", ",""))-2),"")</f>
        <v/>
      </c>
    </row>
    <row r="61" spans="1:10" hidden="1" x14ac:dyDescent="0.25">
      <c r="A61" s="16">
        <v>9903</v>
      </c>
      <c r="B61" s="181" t="s">
        <v>281</v>
      </c>
      <c r="C61" s="181" t="s">
        <v>282</v>
      </c>
      <c r="D61" s="181" t="s">
        <v>51</v>
      </c>
      <c r="E61" s="182">
        <f>SUMPRODUCT((TableBOM[Item ID]=A61)*TableBOM[Per 1000 Units]*(1+TableBOM[Scrap %])*SUMIF($D$3:$D$4,TableBOM[Product ID],$H$3:$H$4)/1000)</f>
        <v>0</v>
      </c>
      <c r="F61" s="182">
        <f>IFERROR(INDEX(TableInventory[Store Balance],MATCH(A61,TableInventory[Item ID],0)),0)+IFERROR(INDEX(TableInventory[Work In Process],MATCH(A61,TableInventory[Item ID],0)),0)</f>
        <v>0</v>
      </c>
      <c r="G61" s="182">
        <f t="shared" si="2"/>
        <v>0</v>
      </c>
      <c r="H61" s="208" t="str">
        <f>IFERROR(IF(SUMPRODUCT((TableBOM[Item ID]=A61)*((TableBOM[Product ID]=$D$3)*($H$3&gt;0)+(TableBOM[Product ID]=$D$4)*($H$4&gt;0)))=0,"-",ROUND(F61/((SUMPRODUCT((TableBOM[Item ID]=A61)*TableBOM[Per 1000 Units]*((TableBOM[Product ID]=$D$3)*($H$3&gt;0)+(TableBOM[Product ID]=$D$4)*($H$4&gt;0)))/SUMPRODUCT((TableBOM[Item ID]=A61)*((TableBOM[Product ID]=$D$3)*($H$3&gt;0)+(TableBOM[Product ID]=$D$4)*($H$4&gt;0))))/1000),0)),"-")</f>
        <v>-</v>
      </c>
      <c r="I61" s="184" t="str">
        <f t="shared" si="3"/>
        <v>Not needed</v>
      </c>
      <c r="J61" s="208" t="str">
        <f>IF(LEN(IF((COUNTIFS(TableBOM[Product ID],$D$3,TableBOM[Item ID],$A61)&gt;0)*($H$3&gt;0),$C$3&amp;", ","") &amp; IF((COUNTIFS(TableBOM[Product ID],$D$4,TableBOM[Item ID],$A61)&gt;0)*($H$4&gt;0),$C$4&amp;", ",""))&gt;1,LEFT(IF((COUNTIFS(TableBOM[Product ID],$D$3,TableBOM[Item ID],$A61)&gt;0)*($H$3&gt;0),$C$3&amp;", ","") &amp; IF((COUNTIFS(TableBOM[Product ID],$D$4,TableBOM[Item ID],$A61)&gt;0)*($H$4&gt;0),$C$4&amp;", ",""),LEN(IF((COUNTIFS(TableBOM[Product ID],$D$3,TableBOM[Item ID],$A61)&gt;0)*($H$3&gt;0),$C$3&amp;", ","") &amp; IF((COUNTIFS(TableBOM[Product ID],$D$4,TableBOM[Item ID],$A61)&gt;0)*($H$4&gt;0),$C$4&amp;", ",""))-2),"")</f>
        <v/>
      </c>
    </row>
    <row r="62" spans="1:10" hidden="1" x14ac:dyDescent="0.25">
      <c r="A62" s="16">
        <v>36</v>
      </c>
      <c r="B62" s="181" t="s">
        <v>281</v>
      </c>
      <c r="C62" s="181" t="s">
        <v>74</v>
      </c>
      <c r="D62" s="181" t="s">
        <v>51</v>
      </c>
      <c r="E62" s="182">
        <f>SUMPRODUCT((TableBOM[Item ID]=A62)*TableBOM[Per 1000 Units]*(1+TableBOM[Scrap %])*SUMIF($D$3:$D$4,TableBOM[Product ID],$H$3:$H$4)/1000)</f>
        <v>0</v>
      </c>
      <c r="F62" s="182">
        <f>IFERROR(INDEX(TableInventory[Store Balance],MATCH(A62,TableInventory[Item ID],0)),0)+IFERROR(INDEX(TableInventory[Work In Process],MATCH(A62,TableInventory[Item ID],0)),0)</f>
        <v>0</v>
      </c>
      <c r="G62" s="182">
        <f t="shared" si="2"/>
        <v>0</v>
      </c>
      <c r="H62" s="208" t="str">
        <f>IFERROR(IF(SUMPRODUCT((TableBOM[Item ID]=A62)*((TableBOM[Product ID]=$D$3)*($H$3&gt;0)+(TableBOM[Product ID]=$D$4)*($H$4&gt;0)))=0,"-",ROUND(F62/((SUMPRODUCT((TableBOM[Item ID]=A62)*TableBOM[Per 1000 Units]*((TableBOM[Product ID]=$D$3)*($H$3&gt;0)+(TableBOM[Product ID]=$D$4)*($H$4&gt;0)))/SUMPRODUCT((TableBOM[Item ID]=A62)*((TableBOM[Product ID]=$D$3)*($H$3&gt;0)+(TableBOM[Product ID]=$D$4)*($H$4&gt;0))))/1000),0)),"-")</f>
        <v>-</v>
      </c>
      <c r="I62" s="184" t="str">
        <f t="shared" si="3"/>
        <v>Not needed</v>
      </c>
      <c r="J62" s="208" t="str">
        <f>IF(LEN(IF((COUNTIFS(TableBOM[Product ID],$D$3,TableBOM[Item ID],$A62)&gt;0)*($H$3&gt;0),$C$3&amp;", ","") &amp; IF((COUNTIFS(TableBOM[Product ID],$D$4,TableBOM[Item ID],$A62)&gt;0)*($H$4&gt;0),$C$4&amp;", ",""))&gt;1,LEFT(IF((COUNTIFS(TableBOM[Product ID],$D$3,TableBOM[Item ID],$A62)&gt;0)*($H$3&gt;0),$C$3&amp;", ","") &amp; IF((COUNTIFS(TableBOM[Product ID],$D$4,TableBOM[Item ID],$A62)&gt;0)*($H$4&gt;0),$C$4&amp;", ",""),LEN(IF((COUNTIFS(TableBOM[Product ID],$D$3,TableBOM[Item ID],$A62)&gt;0)*($H$3&gt;0),$C$3&amp;", ","") &amp; IF((COUNTIFS(TableBOM[Product ID],$D$4,TableBOM[Item ID],$A62)&gt;0)*($H$4&gt;0),$C$4&amp;", ",""))-2),"")</f>
        <v/>
      </c>
    </row>
    <row r="63" spans="1:10" hidden="1" x14ac:dyDescent="0.25">
      <c r="A63" s="16">
        <v>200</v>
      </c>
      <c r="B63" s="181" t="s">
        <v>281</v>
      </c>
      <c r="C63" s="181" t="s">
        <v>75</v>
      </c>
      <c r="D63" s="181" t="s">
        <v>51</v>
      </c>
      <c r="E63" s="182">
        <f>SUMPRODUCT((TableBOM[Item ID]=A63)*TableBOM[Per 1000 Units]*(1+TableBOM[Scrap %])*SUMIF($D$3:$D$4,TableBOM[Product ID],$H$3:$H$4)/1000)</f>
        <v>0</v>
      </c>
      <c r="F63" s="182">
        <f>IFERROR(INDEX(TableInventory[Store Balance],MATCH(A63,TableInventory[Item ID],0)),0)+IFERROR(INDEX(TableInventory[Work In Process],MATCH(A63,TableInventory[Item ID],0)),0)</f>
        <v>0</v>
      </c>
      <c r="G63" s="182">
        <f t="shared" si="2"/>
        <v>0</v>
      </c>
      <c r="H63" s="208" t="str">
        <f>IFERROR(IF(SUMPRODUCT((TableBOM[Item ID]=A63)*((TableBOM[Product ID]=$D$3)*($H$3&gt;0)+(TableBOM[Product ID]=$D$4)*($H$4&gt;0)))=0,"-",ROUND(F63/((SUMPRODUCT((TableBOM[Item ID]=A63)*TableBOM[Per 1000 Units]*((TableBOM[Product ID]=$D$3)*($H$3&gt;0)+(TableBOM[Product ID]=$D$4)*($H$4&gt;0)))/SUMPRODUCT((TableBOM[Item ID]=A63)*((TableBOM[Product ID]=$D$3)*($H$3&gt;0)+(TableBOM[Product ID]=$D$4)*($H$4&gt;0))))/1000),0)),"-")</f>
        <v>-</v>
      </c>
      <c r="I63" s="184" t="str">
        <f t="shared" si="3"/>
        <v>Not needed</v>
      </c>
      <c r="J63" s="208" t="str">
        <f>IF(LEN(IF((COUNTIFS(TableBOM[Product ID],$D$3,TableBOM[Item ID],$A63)&gt;0)*($H$3&gt;0),$C$3&amp;", ","") &amp; IF((COUNTIFS(TableBOM[Product ID],$D$4,TableBOM[Item ID],$A63)&gt;0)*($H$4&gt;0),$C$4&amp;", ",""))&gt;1,LEFT(IF((COUNTIFS(TableBOM[Product ID],$D$3,TableBOM[Item ID],$A63)&gt;0)*($H$3&gt;0),$C$3&amp;", ","") &amp; IF((COUNTIFS(TableBOM[Product ID],$D$4,TableBOM[Item ID],$A63)&gt;0)*($H$4&gt;0),$C$4&amp;", ",""),LEN(IF((COUNTIFS(TableBOM[Product ID],$D$3,TableBOM[Item ID],$A63)&gt;0)*($H$3&gt;0),$C$3&amp;", ","") &amp; IF((COUNTIFS(TableBOM[Product ID],$D$4,TableBOM[Item ID],$A63)&gt;0)*($H$4&gt;0),$C$4&amp;", ",""))-2),"")</f>
        <v/>
      </c>
    </row>
    <row r="64" spans="1:10" hidden="1" x14ac:dyDescent="0.25">
      <c r="A64" s="16">
        <v>39</v>
      </c>
      <c r="B64" s="181" t="s">
        <v>281</v>
      </c>
      <c r="C64" s="181" t="s">
        <v>76</v>
      </c>
      <c r="D64" s="181" t="s">
        <v>51</v>
      </c>
      <c r="E64" s="182">
        <f>SUMPRODUCT((TableBOM[Item ID]=A64)*TableBOM[Per 1000 Units]*(1+TableBOM[Scrap %])*SUMIF($D$3:$D$4,TableBOM[Product ID],$H$3:$H$4)/1000)</f>
        <v>0</v>
      </c>
      <c r="F64" s="182">
        <f>IFERROR(INDEX(TableInventory[Store Balance],MATCH(A64,TableInventory[Item ID],0)),0)+IFERROR(INDEX(TableInventory[Work In Process],MATCH(A64,TableInventory[Item ID],0)),0)</f>
        <v>0</v>
      </c>
      <c r="G64" s="182">
        <f t="shared" si="2"/>
        <v>0</v>
      </c>
      <c r="H64" s="208" t="str">
        <f>IFERROR(IF(SUMPRODUCT((TableBOM[Item ID]=A64)*((TableBOM[Product ID]=$D$3)*($H$3&gt;0)+(TableBOM[Product ID]=$D$4)*($H$4&gt;0)))=0,"-",ROUND(F64/((SUMPRODUCT((TableBOM[Item ID]=A64)*TableBOM[Per 1000 Units]*((TableBOM[Product ID]=$D$3)*($H$3&gt;0)+(TableBOM[Product ID]=$D$4)*($H$4&gt;0)))/SUMPRODUCT((TableBOM[Item ID]=A64)*((TableBOM[Product ID]=$D$3)*($H$3&gt;0)+(TableBOM[Product ID]=$D$4)*($H$4&gt;0))))/1000),0)),"-")</f>
        <v>-</v>
      </c>
      <c r="I64" s="184" t="str">
        <f t="shared" si="3"/>
        <v>Not needed</v>
      </c>
      <c r="J64" s="208" t="str">
        <f>IF(LEN(IF((COUNTIFS(TableBOM[Product ID],$D$3,TableBOM[Item ID],$A64)&gt;0)*($H$3&gt;0),$C$3&amp;", ","") &amp; IF((COUNTIFS(TableBOM[Product ID],$D$4,TableBOM[Item ID],$A64)&gt;0)*($H$4&gt;0),$C$4&amp;", ",""))&gt;1,LEFT(IF((COUNTIFS(TableBOM[Product ID],$D$3,TableBOM[Item ID],$A64)&gt;0)*($H$3&gt;0),$C$3&amp;", ","") &amp; IF((COUNTIFS(TableBOM[Product ID],$D$4,TableBOM[Item ID],$A64)&gt;0)*($H$4&gt;0),$C$4&amp;", ",""),LEN(IF((COUNTIFS(TableBOM[Product ID],$D$3,TableBOM[Item ID],$A64)&gt;0)*($H$3&gt;0),$C$3&amp;", ","") &amp; IF((COUNTIFS(TableBOM[Product ID],$D$4,TableBOM[Item ID],$A64)&gt;0)*($H$4&gt;0),$C$4&amp;", ",""))-2),"")</f>
        <v/>
      </c>
    </row>
    <row r="65" spans="1:19" ht="24" hidden="1" customHeight="1" x14ac:dyDescent="0.25">
      <c r="A65" s="16">
        <v>3619</v>
      </c>
      <c r="B65" s="181" t="s">
        <v>281</v>
      </c>
      <c r="C65" s="181" t="s">
        <v>77</v>
      </c>
      <c r="D65" s="181" t="s">
        <v>51</v>
      </c>
      <c r="E65" s="182">
        <f>SUMPRODUCT((TableBOM[Item ID]=A65)*TableBOM[Per 1000 Units]*(1+TableBOM[Scrap %])*SUMIF($D$3:$D$4,TableBOM[Product ID],$H$3:$H$4)/1000)</f>
        <v>0</v>
      </c>
      <c r="F65" s="182">
        <f>IFERROR(INDEX(TableInventory[Store Balance],MATCH(A65,TableInventory[Item ID],0)),0)+IFERROR(INDEX(TableInventory[Work In Process],MATCH(A65,TableInventory[Item ID],0)),0)</f>
        <v>280</v>
      </c>
      <c r="G65" s="182">
        <f t="shared" si="2"/>
        <v>280</v>
      </c>
      <c r="H65" s="208" t="str">
        <f>IFERROR(IF(SUMPRODUCT((TableBOM[Item ID]=A65)*((TableBOM[Product ID]=$D$3)*($H$3&gt;0)+(TableBOM[Product ID]=$D$4)*($H$4&gt;0)))=0,"-",ROUND(F65/((SUMPRODUCT((TableBOM[Item ID]=A65)*TableBOM[Per 1000 Units]*((TableBOM[Product ID]=$D$3)*($H$3&gt;0)+(TableBOM[Product ID]=$D$4)*($H$4&gt;0)))/SUMPRODUCT((TableBOM[Item ID]=A65)*((TableBOM[Product ID]=$D$3)*($H$3&gt;0)+(TableBOM[Product ID]=$D$4)*($H$4&gt;0))))/1000),0)),"-")</f>
        <v>-</v>
      </c>
      <c r="I65" s="184" t="str">
        <f t="shared" si="3"/>
        <v>Not needed</v>
      </c>
      <c r="J65" s="208" t="str">
        <f>IF(LEN(IF((COUNTIFS(TableBOM[Product ID],$D$3,TableBOM[Item ID],$A65)&gt;0)*($H$3&gt;0),$C$3&amp;", ","") &amp; IF((COUNTIFS(TableBOM[Product ID],$D$4,TableBOM[Item ID],$A65)&gt;0)*($H$4&gt;0),$C$4&amp;", ",""))&gt;1,LEFT(IF((COUNTIFS(TableBOM[Product ID],$D$3,TableBOM[Item ID],$A65)&gt;0)*($H$3&gt;0),$C$3&amp;", ","") &amp; IF((COUNTIFS(TableBOM[Product ID],$D$4,TableBOM[Item ID],$A65)&gt;0)*($H$4&gt;0),$C$4&amp;", ",""),LEN(IF((COUNTIFS(TableBOM[Product ID],$D$3,TableBOM[Item ID],$A65)&gt;0)*($H$3&gt;0),$C$3&amp;", ","") &amp; IF((COUNTIFS(TableBOM[Product ID],$D$4,TableBOM[Item ID],$A65)&gt;0)*($H$4&gt;0),$C$4&amp;", ",""))-2),"")</f>
        <v/>
      </c>
    </row>
    <row r="66" spans="1:19" x14ac:dyDescent="0.25">
      <c r="A66" s="16">
        <v>3598</v>
      </c>
      <c r="B66" s="181" t="s">
        <v>281</v>
      </c>
      <c r="C66" s="181" t="s">
        <v>78</v>
      </c>
      <c r="D66" s="181" t="s">
        <v>51</v>
      </c>
      <c r="E66" s="182">
        <f>SUMPRODUCT((TableBOM[Item ID]=A66)*TableBOM[Per 1000 Units]*(1+TableBOM[Scrap %])*SUMIF($D$3:$D$4,TableBOM[Product ID],$H$3:$H$4)/1000)</f>
        <v>363.33679712000003</v>
      </c>
      <c r="F66" s="182">
        <f>IFERROR(INDEX(TableInventory[Store Balance],MATCH(A66,TableInventory[Item ID],0)),0)+IFERROR(INDEX(TableInventory[Work In Process],MATCH(A66,TableInventory[Item ID],0)),0)</f>
        <v>508</v>
      </c>
      <c r="G66" s="182">
        <f t="shared" si="2"/>
        <v>144.66320287999997</v>
      </c>
      <c r="H66" s="208">
        <f>IFERROR(IF(SUMPRODUCT((TableBOM[Item ID]=A66)*((TableBOM[Product ID]=$D$3)*($H$3&gt;0)+(TableBOM[Product ID]=$D$4)*($H$4&gt;0)))=0,"-",ROUND(F66/((SUMPRODUCT((TableBOM[Item ID]=A66)*TableBOM[Per 1000 Units]*((TableBOM[Product ID]=$D$3)*($H$3&gt;0)+(TableBOM[Product ID]=$D$4)*($H$4&gt;0)))/SUMPRODUCT((TableBOM[Item ID]=A66)*((TableBOM[Product ID]=$D$3)*($H$3&gt;0)+(TableBOM[Product ID]=$D$4)*($H$4&gt;0))))/1000),0)),"-")</f>
        <v>120901</v>
      </c>
      <c r="I66" s="184" t="str">
        <f t="shared" si="3"/>
        <v>OK</v>
      </c>
      <c r="J66" s="210" t="str">
        <f>IF(LEN(IF((COUNTIFS(TableBOM[Product ID],$D$3,TableBOM[Item ID],$A66)&gt;0)*($H$3&gt;0),$C$3&amp;", ","") &amp; IF((COUNTIFS(TableBOM[Product ID],$D$4,TableBOM[Item ID],$A66)&gt;0)*($H$4&gt;0),$C$4&amp;", ",""))&gt;1,LEFT(IF((COUNTIFS(TableBOM[Product ID],$D$3,TableBOM[Item ID],$A66)&gt;0)*($H$3&gt;0),$C$3&amp;", ","") &amp; IF((COUNTIFS(TableBOM[Product ID],$D$4,TableBOM[Item ID],$A66)&gt;0)*($H$4&gt;0),$C$4&amp;", ",""),LEN(IF((COUNTIFS(TableBOM[Product ID],$D$3,TableBOM[Item ID],$A66)&gt;0)*($H$3&gt;0),$C$3&amp;", ","") &amp; IF((COUNTIFS(TableBOM[Product ID],$D$4,TableBOM[Item ID],$A66)&gt;0)*($H$4&gt;0),$C$4&amp;", ",""))-2),"")</f>
        <v>HELLO HAIR COLOR, VINCE NURTURAL</v>
      </c>
    </row>
    <row r="67" spans="1:19" hidden="1" x14ac:dyDescent="0.25">
      <c r="A67" s="16">
        <v>45</v>
      </c>
      <c r="B67" s="181" t="s">
        <v>281</v>
      </c>
      <c r="C67" s="181" t="s">
        <v>79</v>
      </c>
      <c r="D67" s="181" t="s">
        <v>51</v>
      </c>
      <c r="E67" s="182">
        <f>SUMPRODUCT((TableBOM[Item ID]=A67)*TableBOM[Per 1000 Units]*(1+TableBOM[Scrap %])*SUMIF($D$3:$D$4,TableBOM[Product ID],$H$3:$H$4)/1000)</f>
        <v>0</v>
      </c>
      <c r="F67" s="182">
        <f>IFERROR(INDEX(TableInventory[Store Balance],MATCH(A67,TableInventory[Item ID],0)),0)+IFERROR(INDEX(TableInventory[Work In Process],MATCH(A67,TableInventory[Item ID],0)),0)</f>
        <v>460</v>
      </c>
      <c r="G67" s="182">
        <f t="shared" si="2"/>
        <v>460</v>
      </c>
      <c r="H67" s="208" t="str">
        <f>IFERROR(IF(SUMPRODUCT((TableBOM[Item ID]=A67)*((TableBOM[Product ID]=$D$3)*($H$3&gt;0)+(TableBOM[Product ID]=$D$4)*($H$4&gt;0)))=0,"-",ROUND(F67/((SUMPRODUCT((TableBOM[Item ID]=A67)*TableBOM[Per 1000 Units]*((TableBOM[Product ID]=$D$3)*($H$3&gt;0)+(TableBOM[Product ID]=$D$4)*($H$4&gt;0)))/SUMPRODUCT((TableBOM[Item ID]=A67)*((TableBOM[Product ID]=$D$3)*($H$3&gt;0)+(TableBOM[Product ID]=$D$4)*($H$4&gt;0))))/1000),0)),"-")</f>
        <v>-</v>
      </c>
      <c r="I67" s="184" t="str">
        <f t="shared" si="3"/>
        <v>Not needed</v>
      </c>
      <c r="J67" s="208" t="str">
        <f>IF(LEN(IF((COUNTIFS(TableBOM[Product ID],$D$3,TableBOM[Item ID],$A67)&gt;0)*($H$3&gt;0),$C$3&amp;", ","") &amp; IF((COUNTIFS(TableBOM[Product ID],$D$4,TableBOM[Item ID],$A67)&gt;0)*($H$4&gt;0),$C$4&amp;", ",""))&gt;1,LEFT(IF((COUNTIFS(TableBOM[Product ID],$D$3,TableBOM[Item ID],$A67)&gt;0)*($H$3&gt;0),$C$3&amp;", ","") &amp; IF((COUNTIFS(TableBOM[Product ID],$D$4,TableBOM[Item ID],$A67)&gt;0)*($H$4&gt;0),$C$4&amp;", ",""),LEN(IF((COUNTIFS(TableBOM[Product ID],$D$3,TableBOM[Item ID],$A67)&gt;0)*($H$3&gt;0),$C$3&amp;", ","") &amp; IF((COUNTIFS(TableBOM[Product ID],$D$4,TableBOM[Item ID],$A67)&gt;0)*($H$4&gt;0),$C$4&amp;", ",""))-2),"")</f>
        <v/>
      </c>
    </row>
    <row r="68" spans="1:19" hidden="1" x14ac:dyDescent="0.25">
      <c r="A68" s="16">
        <v>3988</v>
      </c>
      <c r="B68" s="181" t="s">
        <v>281</v>
      </c>
      <c r="C68" s="181" t="s">
        <v>80</v>
      </c>
      <c r="D68" s="181" t="s">
        <v>51</v>
      </c>
      <c r="E68" s="182">
        <f>SUMPRODUCT((TableBOM[Item ID]=A68)*TableBOM[Per 1000 Units]*(1+TableBOM[Scrap %])*SUMIF($D$3:$D$4,TableBOM[Product ID],$H$3:$H$4)/1000)</f>
        <v>0</v>
      </c>
      <c r="F68" s="182">
        <f>IFERROR(INDEX(TableInventory[Store Balance],MATCH(A68,TableInventory[Item ID],0)),0)+IFERROR(INDEX(TableInventory[Work In Process],MATCH(A68,TableInventory[Item ID],0)),0)</f>
        <v>349</v>
      </c>
      <c r="G68" s="182">
        <f t="shared" si="2"/>
        <v>349</v>
      </c>
      <c r="H68" s="208" t="str">
        <f>IFERROR(IF(SUMPRODUCT((TableBOM[Item ID]=A68)*((TableBOM[Product ID]=$D$3)*($H$3&gt;0)+(TableBOM[Product ID]=$D$4)*($H$4&gt;0)))=0,"-",ROUND(F68/((SUMPRODUCT((TableBOM[Item ID]=A68)*TableBOM[Per 1000 Units]*((TableBOM[Product ID]=$D$3)*($H$3&gt;0)+(TableBOM[Product ID]=$D$4)*($H$4&gt;0)))/SUMPRODUCT((TableBOM[Item ID]=A68)*((TableBOM[Product ID]=$D$3)*($H$3&gt;0)+(TableBOM[Product ID]=$D$4)*($H$4&gt;0))))/1000),0)),"-")</f>
        <v>-</v>
      </c>
      <c r="I68" s="184" t="str">
        <f t="shared" si="3"/>
        <v>Not needed</v>
      </c>
      <c r="J68" s="208" t="str">
        <f>IF(LEN(IF((COUNTIFS(TableBOM[Product ID],$D$3,TableBOM[Item ID],$A68)&gt;0)*($H$3&gt;0),$C$3&amp;", ","") &amp; IF((COUNTIFS(TableBOM[Product ID],$D$4,TableBOM[Item ID],$A68)&gt;0)*($H$4&gt;0),$C$4&amp;", ",""))&gt;1,LEFT(IF((COUNTIFS(TableBOM[Product ID],$D$3,TableBOM[Item ID],$A68)&gt;0)*($H$3&gt;0),$C$3&amp;", ","") &amp; IF((COUNTIFS(TableBOM[Product ID],$D$4,TableBOM[Item ID],$A68)&gt;0)*($H$4&gt;0),$C$4&amp;", ",""),LEN(IF((COUNTIFS(TableBOM[Product ID],$D$3,TableBOM[Item ID],$A68)&gt;0)*($H$3&gt;0),$C$3&amp;", ","") &amp; IF((COUNTIFS(TableBOM[Product ID],$D$4,TableBOM[Item ID],$A68)&gt;0)*($H$4&gt;0),$C$4&amp;", ",""))-2),"")</f>
        <v/>
      </c>
    </row>
    <row r="69" spans="1:19" ht="24" hidden="1" customHeight="1" x14ac:dyDescent="0.25">
      <c r="A69" s="16">
        <v>5977</v>
      </c>
      <c r="B69" s="181" t="s">
        <v>281</v>
      </c>
      <c r="C69" s="181" t="s">
        <v>81</v>
      </c>
      <c r="D69" s="181" t="s">
        <v>51</v>
      </c>
      <c r="E69" s="182">
        <f>SUMPRODUCT((TableBOM[Item ID]=A69)*TableBOM[Per 1000 Units]*(1+TableBOM[Scrap %])*SUMIF($D$3:$D$4,TableBOM[Product ID],$H$3:$H$4)/1000)</f>
        <v>0</v>
      </c>
      <c r="F69" s="182">
        <f>IFERROR(INDEX(TableInventory[Store Balance],MATCH(A69,TableInventory[Item ID],0)),0)+IFERROR(INDEX(TableInventory[Work In Process],MATCH(A69,TableInventory[Item ID],0)),0)</f>
        <v>212</v>
      </c>
      <c r="G69" s="182">
        <f t="shared" si="2"/>
        <v>212</v>
      </c>
      <c r="H69" s="208" t="str">
        <f>IFERROR(IF(SUMPRODUCT((TableBOM[Item ID]=A69)*((TableBOM[Product ID]=$D$3)*($H$3&gt;0)+(TableBOM[Product ID]=$D$4)*($H$4&gt;0)))=0,"-",ROUND(F69/((SUMPRODUCT((TableBOM[Item ID]=A69)*TableBOM[Per 1000 Units]*((TableBOM[Product ID]=$D$3)*($H$3&gt;0)+(TableBOM[Product ID]=$D$4)*($H$4&gt;0)))/SUMPRODUCT((TableBOM[Item ID]=A69)*((TableBOM[Product ID]=$D$3)*($H$3&gt;0)+(TableBOM[Product ID]=$D$4)*($H$4&gt;0))))/1000),0)),"-")</f>
        <v>-</v>
      </c>
      <c r="I69" s="184" t="str">
        <f t="shared" si="3"/>
        <v>Not needed</v>
      </c>
      <c r="J69" s="208" t="str">
        <f>IF(LEN(IF((COUNTIFS(TableBOM[Product ID],$D$3,TableBOM[Item ID],$A69)&gt;0)*($H$3&gt;0),$C$3&amp;", ","") &amp; IF((COUNTIFS(TableBOM[Product ID],$D$4,TableBOM[Item ID],$A69)&gt;0)*($H$4&gt;0),$C$4&amp;", ",""))&gt;1,LEFT(IF((COUNTIFS(TableBOM[Product ID],$D$3,TableBOM[Item ID],$A69)&gt;0)*($H$3&gt;0),$C$3&amp;", ","") &amp; IF((COUNTIFS(TableBOM[Product ID],$D$4,TableBOM[Item ID],$A69)&gt;0)*($H$4&gt;0),$C$4&amp;", ",""),LEN(IF((COUNTIFS(TableBOM[Product ID],$D$3,TableBOM[Item ID],$A69)&gt;0)*($H$3&gt;0),$C$3&amp;", ","") &amp; IF((COUNTIFS(TableBOM[Product ID],$D$4,TableBOM[Item ID],$A69)&gt;0)*($H$4&gt;0),$C$4&amp;", ",""))-2),"")</f>
        <v/>
      </c>
    </row>
    <row r="70" spans="1:19" x14ac:dyDescent="0.25">
      <c r="A70" s="16">
        <v>194</v>
      </c>
      <c r="B70" s="181" t="s">
        <v>283</v>
      </c>
      <c r="C70" s="181" t="s">
        <v>48</v>
      </c>
      <c r="D70" s="181" t="s">
        <v>15</v>
      </c>
      <c r="E70" s="182">
        <f>SUMPRODUCT((TableBOM[Item ID]=A70)*TableBOM[Per 1000 Units]*(1+TableBOM[Scrap %])*SUMIF($D$3:$D$4,TableBOM[Product ID],$H$3:$H$4)/1000)</f>
        <v>0.49065702400000005</v>
      </c>
      <c r="F70" s="182">
        <f>IFERROR(INDEX(TableInventory[Store Balance],MATCH(A70,TableInventory[Item ID],0)),0)+IFERROR(INDEX(TableInventory[Work In Process],MATCH(A70,TableInventory[Item ID],0)),0)</f>
        <v>32.5</v>
      </c>
      <c r="G70" s="182">
        <f t="shared" si="2"/>
        <v>32.009342975999999</v>
      </c>
      <c r="H70" s="208">
        <f>IFERROR(IF(SUMPRODUCT((TableBOM[Item ID]=A70)*((TableBOM[Product ID]=$D$3)*($H$3&gt;0)+(TableBOM[Product ID]=$D$4)*($H$4&gt;0)))=0,"-",ROUND(F70/((SUMPRODUCT((TableBOM[Item ID]=A70)*TableBOM[Per 1000 Units]*((TableBOM[Product ID]=$D$3)*($H$3&gt;0)+(TableBOM[Product ID]=$D$4)*($H$4&gt;0)))/SUMPRODUCT((TableBOM[Item ID]=A70)*((TableBOM[Product ID]=$D$3)*($H$3&gt;0)+(TableBOM[Product ID]=$D$4)*($H$4&gt;0))))/1000),0)),"-")</f>
        <v>3906250</v>
      </c>
      <c r="I70" s="184" t="str">
        <f t="shared" si="3"/>
        <v>OK</v>
      </c>
      <c r="J70" s="210" t="str">
        <f>IF(LEN(IF((COUNTIFS(TableBOM[Product ID],$D$3,TableBOM[Item ID],$A70)&gt;0)*($H$3&gt;0),$C$3&amp;", ","") &amp; IF((COUNTIFS(TableBOM[Product ID],$D$4,TableBOM[Item ID],$A70)&gt;0)*($H$4&gt;0),$C$4&amp;", ",""))&gt;1,LEFT(IF((COUNTIFS(TableBOM[Product ID],$D$3,TableBOM[Item ID],$A70)&gt;0)*($H$3&gt;0),$C$3&amp;", ","") &amp; IF((COUNTIFS(TableBOM[Product ID],$D$4,TableBOM[Item ID],$A70)&gt;0)*($H$4&gt;0),$C$4&amp;", ",""),LEN(IF((COUNTIFS(TableBOM[Product ID],$D$3,TableBOM[Item ID],$A70)&gt;0)*($H$3&gt;0),$C$3&amp;", ","") &amp; IF((COUNTIFS(TableBOM[Product ID],$D$4,TableBOM[Item ID],$A70)&gt;0)*($H$4&gt;0),$C$4&amp;", ",""))-2),"")</f>
        <v>HELLO HAIR COLOR</v>
      </c>
    </row>
    <row r="71" spans="1:19" ht="36" hidden="1" customHeight="1" x14ac:dyDescent="0.25">
      <c r="A71" s="16">
        <v>4165</v>
      </c>
      <c r="B71" s="181" t="s">
        <v>283</v>
      </c>
      <c r="C71" s="181" t="s">
        <v>284</v>
      </c>
      <c r="D71" s="181" t="s">
        <v>15</v>
      </c>
      <c r="E71" s="182">
        <f>SUMPRODUCT((TableBOM[Item ID]=A71)*TableBOM[Per 1000 Units]*(1+TableBOM[Scrap %])*SUMIF($D$3:$D$4,TableBOM[Product ID],$H$3:$H$4)/1000)</f>
        <v>0</v>
      </c>
      <c r="F71" s="182">
        <f>IFERROR(INDEX(TableInventory[Store Balance],MATCH(A71,TableInventory[Item ID],0)),0)+IFERROR(INDEX(TableInventory[Work In Process],MATCH(A71,TableInventory[Item ID],0)),0)</f>
        <v>0</v>
      </c>
      <c r="G71" s="182">
        <f t="shared" si="2"/>
        <v>0</v>
      </c>
      <c r="H71" s="208" t="str">
        <f>IFERROR(IF(SUMPRODUCT((TableBOM[Item ID]=A71)*((TableBOM[Product ID]=$D$3)*($H$3&gt;0)+(TableBOM[Product ID]=$D$4)*($H$4&gt;0)))=0,"-",ROUND(F71/((SUMPRODUCT((TableBOM[Item ID]=A71)*TableBOM[Per 1000 Units]*((TableBOM[Product ID]=$D$3)*($H$3&gt;0)+(TableBOM[Product ID]=$D$4)*($H$4&gt;0)))/SUMPRODUCT((TableBOM[Item ID]=A71)*((TableBOM[Product ID]=$D$3)*($H$3&gt;0)+(TableBOM[Product ID]=$D$4)*($H$4&gt;0))))/1000),0)),"-")</f>
        <v>-</v>
      </c>
      <c r="I71" s="184" t="str">
        <f t="shared" si="3"/>
        <v>Not needed</v>
      </c>
      <c r="J71" s="208" t="str">
        <f>IF(LEN(IF((COUNTIFS(TableBOM[Product ID],$D$3,TableBOM[Item ID],$A71)&gt;0)*($H$3&gt;0),$C$3&amp;", ","") &amp; IF((COUNTIFS(TableBOM[Product ID],$D$4,TableBOM[Item ID],$A71)&gt;0)*($H$4&gt;0),$C$4&amp;", ",""))&gt;1,LEFT(IF((COUNTIFS(TableBOM[Product ID],$D$3,TableBOM[Item ID],$A71)&gt;0)*($H$3&gt;0),$C$3&amp;", ","") &amp; IF((COUNTIFS(TableBOM[Product ID],$D$4,TableBOM[Item ID],$A71)&gt;0)*($H$4&gt;0),$C$4&amp;", ",""),LEN(IF((COUNTIFS(TableBOM[Product ID],$D$3,TableBOM[Item ID],$A71)&gt;0)*($H$3&gt;0),$C$3&amp;", ","") &amp; IF((COUNTIFS(TableBOM[Product ID],$D$4,TableBOM[Item ID],$A71)&gt;0)*($H$4&gt;0),$C$4&amp;", ",""))-2),"")</f>
        <v/>
      </c>
      <c r="L71" s="11"/>
      <c r="M71" s="11"/>
      <c r="N71" s="11"/>
      <c r="O71" s="11"/>
      <c r="P71" s="11"/>
      <c r="Q71" s="11"/>
      <c r="R71" s="11"/>
      <c r="S71" s="2"/>
    </row>
    <row r="72" spans="1:19" x14ac:dyDescent="0.25">
      <c r="A72" s="16">
        <v>3635</v>
      </c>
      <c r="B72" s="181" t="s">
        <v>285</v>
      </c>
      <c r="C72" s="181" t="s">
        <v>83</v>
      </c>
      <c r="D72" s="181" t="s">
        <v>51</v>
      </c>
      <c r="E72" s="182">
        <f>SUMPRODUCT((TableBOM[Item ID]=A72)*TableBOM[Per 1000 Units]*(1+TableBOM[Scrap %])*SUMIF($D$3:$D$4,TableBOM[Product ID],$H$3:$H$4)/1000)</f>
        <v>13.489819199999999</v>
      </c>
      <c r="F72" s="182">
        <f>IFERROR(INDEX(TableInventory[Store Balance],MATCH(A72,TableInventory[Item ID],0)),0)+IFERROR(INDEX(TableInventory[Work In Process],MATCH(A72,TableInventory[Item ID],0)),0)</f>
        <v>393</v>
      </c>
      <c r="G72" s="182">
        <f t="shared" ref="G72:G103" si="4">F72-E72</f>
        <v>379.5101808</v>
      </c>
      <c r="H72" s="208">
        <f>IFERROR(IF(SUMPRODUCT((TableBOM[Item ID]=A72)*((TableBOM[Product ID]=$D$3)*($H$3&gt;0)+(TableBOM[Product ID]=$D$4)*($H$4&gt;0)))=0,"-",ROUND(F72/((SUMPRODUCT((TableBOM[Item ID]=A72)*TableBOM[Per 1000 Units]*((TableBOM[Product ID]=$D$3)*($H$3&gt;0)+(TableBOM[Product ID]=$D$4)*($H$4&gt;0)))/SUMPRODUCT((TableBOM[Item ID]=A72)*((TableBOM[Product ID]=$D$3)*($H$3&gt;0)+(TableBOM[Product ID]=$D$4)*($H$4&gt;0))))/1000),0)),"-")</f>
        <v>2519231</v>
      </c>
      <c r="I72" s="184" t="str">
        <f t="shared" ref="I72:I89" si="5">IF(E72=0,"Not needed",IF(G72&lt;0,"SHORTAGE",IF(G72&lt;F72*0.1,"LOW","OK")))</f>
        <v>OK</v>
      </c>
      <c r="J72" s="210" t="str">
        <f>IF(LEN(IF((COUNTIFS(TableBOM[Product ID],$D$3,TableBOM[Item ID],$A72)&gt;0)*($H$3&gt;0),$C$3&amp;", ","") &amp; IF((COUNTIFS(TableBOM[Product ID],$D$4,TableBOM[Item ID],$A72)&gt;0)*($H$4&gt;0),$C$4&amp;", ",""))&gt;1,LEFT(IF((COUNTIFS(TableBOM[Product ID],$D$3,TableBOM[Item ID],$A72)&gt;0)*($H$3&gt;0),$C$3&amp;", ","") &amp; IF((COUNTIFS(TableBOM[Product ID],$D$4,TableBOM[Item ID],$A72)&gt;0)*($H$4&gt;0),$C$4&amp;", ",""),LEN(IF((COUNTIFS(TableBOM[Product ID],$D$3,TableBOM[Item ID],$A72)&gt;0)*($H$3&gt;0),$C$3&amp;", ","") &amp; IF((COUNTIFS(TableBOM[Product ID],$D$4,TableBOM[Item ID],$A72)&gt;0)*($H$4&gt;0),$C$4&amp;", ",""))-2),"")</f>
        <v>HELLO HAIR COLOR, VINCE NURTURAL</v>
      </c>
    </row>
    <row r="73" spans="1:19" ht="15" hidden="1" customHeight="1" x14ac:dyDescent="0.25">
      <c r="A73" s="16">
        <v>190</v>
      </c>
      <c r="B73" s="181" t="s">
        <v>286</v>
      </c>
      <c r="C73" s="181" t="s">
        <v>85</v>
      </c>
      <c r="D73" s="181" t="s">
        <v>29</v>
      </c>
      <c r="E73" s="182">
        <f>SUMPRODUCT((TableBOM[Item ID]=A73)*TableBOM[Per 1000 Units]*(1+TableBOM[Scrap %])*SUMIF($D$3:$D$4,TableBOM[Product ID],$H$3:$H$4)/1000)</f>
        <v>0</v>
      </c>
      <c r="F73" s="182">
        <f>IFERROR(INDEX(TableInventory[Store Balance],MATCH(A73,TableInventory[Item ID],0)),0)+IFERROR(INDEX(TableInventory[Work In Process],MATCH(A73,TableInventory[Item ID],0)),0)</f>
        <v>225</v>
      </c>
      <c r="G73" s="182">
        <f t="shared" si="4"/>
        <v>225</v>
      </c>
      <c r="H73" s="208" t="str">
        <f>IFERROR(IF(SUMPRODUCT((TableBOM[Item ID]=A73)*((TableBOM[Product ID]=$D$3)*($H$3&gt;0)+(TableBOM[Product ID]=$D$4)*($H$4&gt;0)))=0,"-",ROUND(F73/((SUMPRODUCT((TableBOM[Item ID]=A73)*TableBOM[Per 1000 Units]*((TableBOM[Product ID]=$D$3)*($H$3&gt;0)+(TableBOM[Product ID]=$D$4)*($H$4&gt;0)))/SUMPRODUCT((TableBOM[Item ID]=A73)*((TableBOM[Product ID]=$D$3)*($H$3&gt;0)+(TableBOM[Product ID]=$D$4)*($H$4&gt;0))))/1000),0)),"-")</f>
        <v>-</v>
      </c>
      <c r="I73" s="184" t="str">
        <f t="shared" si="5"/>
        <v>Not needed</v>
      </c>
      <c r="J73" s="208" t="str">
        <f>IF(LEN(IF((COUNTIFS(TableBOM[Product ID],$D$3,TableBOM[Item ID],$A73)&gt;0)*($H$3&gt;0),$C$3&amp;", ","") &amp; IF((COUNTIFS(TableBOM[Product ID],$D$4,TableBOM[Item ID],$A73)&gt;0)*($H$4&gt;0),$C$4&amp;", ",""))&gt;1,LEFT(IF((COUNTIFS(TableBOM[Product ID],$D$3,TableBOM[Item ID],$A73)&gt;0)*($H$3&gt;0),$C$3&amp;", ","") &amp; IF((COUNTIFS(TableBOM[Product ID],$D$4,TableBOM[Item ID],$A73)&gt;0)*($H$4&gt;0),$C$4&amp;", ",""),LEN(IF((COUNTIFS(TableBOM[Product ID],$D$3,TableBOM[Item ID],$A73)&gt;0)*($H$3&gt;0),$C$3&amp;", ","") &amp; IF((COUNTIFS(TableBOM[Product ID],$D$4,TableBOM[Item ID],$A73)&gt;0)*($H$4&gt;0),$C$4&amp;", ",""))-2),"")</f>
        <v/>
      </c>
    </row>
    <row r="74" spans="1:19" ht="15" hidden="1" customHeight="1" x14ac:dyDescent="0.25">
      <c r="A74" s="16">
        <v>191</v>
      </c>
      <c r="B74" s="181" t="s">
        <v>286</v>
      </c>
      <c r="C74" s="181" t="s">
        <v>287</v>
      </c>
      <c r="D74" s="181" t="s">
        <v>29</v>
      </c>
      <c r="E74" s="182">
        <f>SUMPRODUCT((TableBOM[Item ID]=A74)*TableBOM[Per 1000 Units]*(1+TableBOM[Scrap %])*SUMIF($D$3:$D$4,TableBOM[Product ID],$H$3:$H$4)/1000)</f>
        <v>0</v>
      </c>
      <c r="F74" s="182">
        <f>IFERROR(INDEX(TableInventory[Store Balance],MATCH(A74,TableInventory[Item ID],0)),0)+IFERROR(INDEX(TableInventory[Work In Process],MATCH(A74,TableInventory[Item ID],0)),0)</f>
        <v>100</v>
      </c>
      <c r="G74" s="182">
        <f t="shared" si="4"/>
        <v>100</v>
      </c>
      <c r="H74" s="208" t="str">
        <f>IFERROR(IF(SUMPRODUCT((TableBOM[Item ID]=A74)*((TableBOM[Product ID]=$D$3)*($H$3&gt;0)+(TableBOM[Product ID]=$D$4)*($H$4&gt;0)))=0,"-",ROUND(F74/((SUMPRODUCT((TableBOM[Item ID]=A74)*TableBOM[Per 1000 Units]*((TableBOM[Product ID]=$D$3)*($H$3&gt;0)+(TableBOM[Product ID]=$D$4)*($H$4&gt;0)))/SUMPRODUCT((TableBOM[Item ID]=A74)*((TableBOM[Product ID]=$D$3)*($H$3&gt;0)+(TableBOM[Product ID]=$D$4)*($H$4&gt;0))))/1000),0)),"-")</f>
        <v>-</v>
      </c>
      <c r="I74" s="184" t="str">
        <f t="shared" si="5"/>
        <v>Not needed</v>
      </c>
      <c r="J74" s="208" t="str">
        <f>IF(LEN(IF((COUNTIFS(TableBOM[Product ID],$D$3,TableBOM[Item ID],$A74)&gt;0)*($H$3&gt;0),$C$3&amp;", ","") &amp; IF((COUNTIFS(TableBOM[Product ID],$D$4,TableBOM[Item ID],$A74)&gt;0)*($H$4&gt;0),$C$4&amp;", ",""))&gt;1,LEFT(IF((COUNTIFS(TableBOM[Product ID],$D$3,TableBOM[Item ID],$A74)&gt;0)*($H$3&gt;0),$C$3&amp;", ","") &amp; IF((COUNTIFS(TableBOM[Product ID],$D$4,TableBOM[Item ID],$A74)&gt;0)*($H$4&gt;0),$C$4&amp;", ",""),LEN(IF((COUNTIFS(TableBOM[Product ID],$D$3,TableBOM[Item ID],$A74)&gt;0)*($H$3&gt;0),$C$3&amp;", ","") &amp; IF((COUNTIFS(TableBOM[Product ID],$D$4,TableBOM[Item ID],$A74)&gt;0)*($H$4&gt;0),$C$4&amp;", ",""))-2),"")</f>
        <v/>
      </c>
    </row>
    <row r="75" spans="1:19" ht="15" hidden="1" customHeight="1" x14ac:dyDescent="0.25">
      <c r="A75" s="16">
        <v>2680</v>
      </c>
      <c r="B75" s="181" t="s">
        <v>288</v>
      </c>
      <c r="C75" s="181" t="s">
        <v>119</v>
      </c>
      <c r="D75" s="181" t="s">
        <v>15</v>
      </c>
      <c r="E75" s="182">
        <f>SUMPRODUCT((TableBOM[Item ID]=A75)*TableBOM[Per 1000 Units]*(1+TableBOM[Scrap %])*SUMIF($D$3:$D$4,TableBOM[Product ID],$H$3:$H$4)/1000)</f>
        <v>0</v>
      </c>
      <c r="F75" s="182">
        <f>IFERROR(INDEX(TableInventory[Store Balance],MATCH(A75,TableInventory[Item ID],0)),0)+IFERROR(INDEX(TableInventory[Work In Process],MATCH(A75,TableInventory[Item ID],0)),0)</f>
        <v>1500</v>
      </c>
      <c r="G75" s="182">
        <f t="shared" si="4"/>
        <v>1500</v>
      </c>
      <c r="H75" s="208" t="str">
        <f>IFERROR(IF(SUMPRODUCT((TableBOM[Item ID]=A75)*((TableBOM[Product ID]=$D$3)*($H$3&gt;0)+(TableBOM[Product ID]=$D$4)*($H$4&gt;0)))=0,"-",ROUND(F75/((SUMPRODUCT((TableBOM[Item ID]=A75)*TableBOM[Per 1000 Units]*((TableBOM[Product ID]=$D$3)*($H$3&gt;0)+(TableBOM[Product ID]=$D$4)*($H$4&gt;0)))/SUMPRODUCT((TableBOM[Item ID]=A75)*((TableBOM[Product ID]=$D$3)*($H$3&gt;0)+(TableBOM[Product ID]=$D$4)*($H$4&gt;0))))/1000),0)),"-")</f>
        <v>-</v>
      </c>
      <c r="I75" s="184" t="str">
        <f t="shared" si="5"/>
        <v>Not needed</v>
      </c>
      <c r="J75" s="208" t="str">
        <f>IF(LEN(IF((COUNTIFS(TableBOM[Product ID],$D$3,TableBOM[Item ID],$A75)&gt;0)*($H$3&gt;0),$C$3&amp;", ","") &amp; IF((COUNTIFS(TableBOM[Product ID],$D$4,TableBOM[Item ID],$A75)&gt;0)*($H$4&gt;0),$C$4&amp;", ",""))&gt;1,LEFT(IF((COUNTIFS(TableBOM[Product ID],$D$3,TableBOM[Item ID],$A75)&gt;0)*($H$3&gt;0),$C$3&amp;", ","") &amp; IF((COUNTIFS(TableBOM[Product ID],$D$4,TableBOM[Item ID],$A75)&gt;0)*($H$4&gt;0),$C$4&amp;", ",""),LEN(IF((COUNTIFS(TableBOM[Product ID],$D$3,TableBOM[Item ID],$A75)&gt;0)*($H$3&gt;0),$C$3&amp;", ","") &amp; IF((COUNTIFS(TableBOM[Product ID],$D$4,TableBOM[Item ID],$A75)&gt;0)*($H$4&gt;0),$C$4&amp;", ",""))-2),"")</f>
        <v/>
      </c>
    </row>
    <row r="76" spans="1:19" ht="15" hidden="1" customHeight="1" x14ac:dyDescent="0.25">
      <c r="A76" s="16">
        <v>3492</v>
      </c>
      <c r="B76" s="181" t="s">
        <v>289</v>
      </c>
      <c r="C76" s="181" t="s">
        <v>121</v>
      </c>
      <c r="D76" s="181" t="s">
        <v>15</v>
      </c>
      <c r="E76" s="182">
        <f>SUMPRODUCT((TableBOM[Item ID]=A76)*TableBOM[Per 1000 Units]*(1+TableBOM[Scrap %])*SUMIF($D$3:$D$4,TableBOM[Product ID],$H$3:$H$4)/1000)</f>
        <v>0</v>
      </c>
      <c r="F76" s="182">
        <f>IFERROR(INDEX(TableInventory[Store Balance],MATCH(A76,TableInventory[Item ID],0)),0)+IFERROR(INDEX(TableInventory[Work In Process],MATCH(A76,TableInventory[Item ID],0)),0)</f>
        <v>75</v>
      </c>
      <c r="G76" s="182">
        <f t="shared" si="4"/>
        <v>75</v>
      </c>
      <c r="H76" s="208" t="str">
        <f>IFERROR(IF(SUMPRODUCT((TableBOM[Item ID]=A76)*((TableBOM[Product ID]=$D$3)*($H$3&gt;0)+(TableBOM[Product ID]=$D$4)*($H$4&gt;0)))=0,"-",ROUND(F76/((SUMPRODUCT((TableBOM[Item ID]=A76)*TableBOM[Per 1000 Units]*((TableBOM[Product ID]=$D$3)*($H$3&gt;0)+(TableBOM[Product ID]=$D$4)*($H$4&gt;0)))/SUMPRODUCT((TableBOM[Item ID]=A76)*((TableBOM[Product ID]=$D$3)*($H$3&gt;0)+(TableBOM[Product ID]=$D$4)*($H$4&gt;0))))/1000),0)),"-")</f>
        <v>-</v>
      </c>
      <c r="I76" s="184" t="str">
        <f t="shared" si="5"/>
        <v>Not needed</v>
      </c>
      <c r="J76" s="208" t="str">
        <f>IF(LEN(IF((COUNTIFS(TableBOM[Product ID],$D$3,TableBOM[Item ID],$A76)&gt;0)*($H$3&gt;0),$C$3&amp;", ","") &amp; IF((COUNTIFS(TableBOM[Product ID],$D$4,TableBOM[Item ID],$A76)&gt;0)*($H$4&gt;0),$C$4&amp;", ",""))&gt;1,LEFT(IF((COUNTIFS(TableBOM[Product ID],$D$3,TableBOM[Item ID],$A76)&gt;0)*($H$3&gt;0),$C$3&amp;", ","") &amp; IF((COUNTIFS(TableBOM[Product ID],$D$4,TableBOM[Item ID],$A76)&gt;0)*($H$4&gt;0),$C$4&amp;", ",""),LEN(IF((COUNTIFS(TableBOM[Product ID],$D$3,TableBOM[Item ID],$A76)&gt;0)*($H$3&gt;0),$C$3&amp;", ","") &amp; IF((COUNTIFS(TableBOM[Product ID],$D$4,TableBOM[Item ID],$A76)&gt;0)*($H$4&gt;0),$C$4&amp;", ",""))-2),"")</f>
        <v/>
      </c>
    </row>
    <row r="77" spans="1:19" ht="15" hidden="1" customHeight="1" x14ac:dyDescent="0.25">
      <c r="A77" s="16">
        <v>4002</v>
      </c>
      <c r="B77" s="181" t="s">
        <v>289</v>
      </c>
      <c r="C77" s="181" t="s">
        <v>122</v>
      </c>
      <c r="D77" s="181" t="s">
        <v>15</v>
      </c>
      <c r="E77" s="182">
        <f>SUMPRODUCT((TableBOM[Item ID]=A77)*TableBOM[Per 1000 Units]*(1+TableBOM[Scrap %])*SUMIF($D$3:$D$4,TableBOM[Product ID],$H$3:$H$4)/1000)</f>
        <v>0</v>
      </c>
      <c r="F77" s="182">
        <f>IFERROR(INDEX(TableInventory[Store Balance],MATCH(A77,TableInventory[Item ID],0)),0)+IFERROR(INDEX(TableInventory[Work In Process],MATCH(A77,TableInventory[Item ID],0)),0)</f>
        <v>125</v>
      </c>
      <c r="G77" s="182">
        <f t="shared" si="4"/>
        <v>125</v>
      </c>
      <c r="H77" s="208" t="str">
        <f>IFERROR(IF(SUMPRODUCT((TableBOM[Item ID]=A77)*((TableBOM[Product ID]=$D$3)*($H$3&gt;0)+(TableBOM[Product ID]=$D$4)*($H$4&gt;0)))=0,"-",ROUND(F77/((SUMPRODUCT((TableBOM[Item ID]=A77)*TableBOM[Per 1000 Units]*((TableBOM[Product ID]=$D$3)*($H$3&gt;0)+(TableBOM[Product ID]=$D$4)*($H$4&gt;0)))/SUMPRODUCT((TableBOM[Item ID]=A77)*((TableBOM[Product ID]=$D$3)*($H$3&gt;0)+(TableBOM[Product ID]=$D$4)*($H$4&gt;0))))/1000),0)),"-")</f>
        <v>-</v>
      </c>
      <c r="I77" s="184" t="str">
        <f t="shared" si="5"/>
        <v>Not needed</v>
      </c>
      <c r="J77" s="208" t="str">
        <f>IF(LEN(IF((COUNTIFS(TableBOM[Product ID],$D$3,TableBOM[Item ID],$A77)&gt;0)*($H$3&gt;0),$C$3&amp;", ","") &amp; IF((COUNTIFS(TableBOM[Product ID],$D$4,TableBOM[Item ID],$A77)&gt;0)*($H$4&gt;0),$C$4&amp;", ",""))&gt;1,LEFT(IF((COUNTIFS(TableBOM[Product ID],$D$3,TableBOM[Item ID],$A77)&gt;0)*($H$3&gt;0),$C$3&amp;", ","") &amp; IF((COUNTIFS(TableBOM[Product ID],$D$4,TableBOM[Item ID],$A77)&gt;0)*($H$4&gt;0),$C$4&amp;", ",""),LEN(IF((COUNTIFS(TableBOM[Product ID],$D$3,TableBOM[Item ID],$A77)&gt;0)*($H$3&gt;0),$C$3&amp;", ","") &amp; IF((COUNTIFS(TableBOM[Product ID],$D$4,TableBOM[Item ID],$A77)&gt;0)*($H$4&gt;0),$C$4&amp;", ",""))-2),"")</f>
        <v/>
      </c>
    </row>
    <row r="78" spans="1:19" ht="15" hidden="1" customHeight="1" x14ac:dyDescent="0.25">
      <c r="A78" s="16">
        <v>4002</v>
      </c>
      <c r="B78" s="181" t="s">
        <v>289</v>
      </c>
      <c r="C78" s="181" t="s">
        <v>122</v>
      </c>
      <c r="D78" s="181" t="s">
        <v>15</v>
      </c>
      <c r="E78" s="182">
        <f>SUMPRODUCT((TableBOM[Item ID]=A78)*TableBOM[Per 1000 Units]*(1+TableBOM[Scrap %])*SUMIF($D$3:$D$4,TableBOM[Product ID],$H$3:$H$4)/1000)</f>
        <v>0</v>
      </c>
      <c r="F78" s="182">
        <f>IFERROR(INDEX(TableInventory[Store Balance],MATCH(A78,TableInventory[Item ID],0)),0)+IFERROR(INDEX(TableInventory[Work In Process],MATCH(A78,TableInventory[Item ID],0)),0)</f>
        <v>125</v>
      </c>
      <c r="G78" s="182">
        <f t="shared" si="4"/>
        <v>125</v>
      </c>
      <c r="H78" s="208" t="str">
        <f>IFERROR(IF(SUMPRODUCT((TableBOM[Item ID]=A78)*((TableBOM[Product ID]=$D$3)*($H$3&gt;0)+(TableBOM[Product ID]=$D$4)*($H$4&gt;0)))=0,"-",ROUND(F78/((SUMPRODUCT((TableBOM[Item ID]=A78)*TableBOM[Per 1000 Units]*((TableBOM[Product ID]=$D$3)*($H$3&gt;0)+(TableBOM[Product ID]=$D$4)*($H$4&gt;0)))/SUMPRODUCT((TableBOM[Item ID]=A78)*((TableBOM[Product ID]=$D$3)*($H$3&gt;0)+(TableBOM[Product ID]=$D$4)*($H$4&gt;0))))/1000),0)),"-")</f>
        <v>-</v>
      </c>
      <c r="I78" s="184" t="str">
        <f t="shared" si="5"/>
        <v>Not needed</v>
      </c>
      <c r="J78" s="208" t="str">
        <f>IF(LEN(IF((COUNTIFS(TableBOM[Product ID],$D$3,TableBOM[Item ID],$A78)&gt;0)*($H$3&gt;0),$C$3&amp;", ","") &amp; IF((COUNTIFS(TableBOM[Product ID],$D$4,TableBOM[Item ID],$A78)&gt;0)*($H$4&gt;0),$C$4&amp;", ",""))&gt;1,LEFT(IF((COUNTIFS(TableBOM[Product ID],$D$3,TableBOM[Item ID],$A78)&gt;0)*($H$3&gt;0),$C$3&amp;", ","") &amp; IF((COUNTIFS(TableBOM[Product ID],$D$4,TableBOM[Item ID],$A78)&gt;0)*($H$4&gt;0),$C$4&amp;", ",""),LEN(IF((COUNTIFS(TableBOM[Product ID],$D$3,TableBOM[Item ID],$A78)&gt;0)*($H$3&gt;0),$C$3&amp;", ","") &amp; IF((COUNTIFS(TableBOM[Product ID],$D$4,TableBOM[Item ID],$A78)&gt;0)*($H$4&gt;0),$C$4&amp;", ",""))-2),"")</f>
        <v/>
      </c>
    </row>
    <row r="79" spans="1:19" ht="15" hidden="1" customHeight="1" x14ac:dyDescent="0.25">
      <c r="A79" s="16">
        <v>4310</v>
      </c>
      <c r="B79" s="181" t="s">
        <v>289</v>
      </c>
      <c r="C79" s="181" t="s">
        <v>124</v>
      </c>
      <c r="D79" s="181" t="s">
        <v>15</v>
      </c>
      <c r="E79" s="182">
        <f>SUMPRODUCT((TableBOM[Item ID]=A79)*TableBOM[Per 1000 Units]*(1+TableBOM[Scrap %])*SUMIF($D$3:$D$4,TableBOM[Product ID],$H$3:$H$4)/1000)</f>
        <v>0</v>
      </c>
      <c r="F79" s="182">
        <f>IFERROR(INDEX(TableInventory[Store Balance],MATCH(A79,TableInventory[Item ID],0)),0)+IFERROR(INDEX(TableInventory[Work In Process],MATCH(A79,TableInventory[Item ID],0)),0)</f>
        <v>36.229999999999997</v>
      </c>
      <c r="G79" s="182">
        <f t="shared" si="4"/>
        <v>36.229999999999997</v>
      </c>
      <c r="H79" s="208" t="str">
        <f>IFERROR(IF(SUMPRODUCT((TableBOM[Item ID]=A79)*((TableBOM[Product ID]=$D$3)*($H$3&gt;0)+(TableBOM[Product ID]=$D$4)*($H$4&gt;0)))=0,"-",ROUND(F79/((SUMPRODUCT((TableBOM[Item ID]=A79)*TableBOM[Per 1000 Units]*((TableBOM[Product ID]=$D$3)*($H$3&gt;0)+(TableBOM[Product ID]=$D$4)*($H$4&gt;0)))/SUMPRODUCT((TableBOM[Item ID]=A79)*((TableBOM[Product ID]=$D$3)*($H$3&gt;0)+(TableBOM[Product ID]=$D$4)*($H$4&gt;0))))/1000),0)),"-")</f>
        <v>-</v>
      </c>
      <c r="I79" s="184" t="str">
        <f t="shared" si="5"/>
        <v>Not needed</v>
      </c>
      <c r="J79" s="208" t="str">
        <f>IF(LEN(IF((COUNTIFS(TableBOM[Product ID],$D$3,TableBOM[Item ID],$A79)&gt;0)*($H$3&gt;0),$C$3&amp;", ","") &amp; IF((COUNTIFS(TableBOM[Product ID],$D$4,TableBOM[Item ID],$A79)&gt;0)*($H$4&gt;0),$C$4&amp;", ",""))&gt;1,LEFT(IF((COUNTIFS(TableBOM[Product ID],$D$3,TableBOM[Item ID],$A79)&gt;0)*($H$3&gt;0),$C$3&amp;", ","") &amp; IF((COUNTIFS(TableBOM[Product ID],$D$4,TableBOM[Item ID],$A79)&gt;0)*($H$4&gt;0),$C$4&amp;", ",""),LEN(IF((COUNTIFS(TableBOM[Product ID],$D$3,TableBOM[Item ID],$A79)&gt;0)*($H$3&gt;0),$C$3&amp;", ","") &amp; IF((COUNTIFS(TableBOM[Product ID],$D$4,TableBOM[Item ID],$A79)&gt;0)*($H$4&gt;0),$C$4&amp;", ",""))-2),"")</f>
        <v/>
      </c>
    </row>
    <row r="80" spans="1:19" ht="15" hidden="1" customHeight="1" x14ac:dyDescent="0.25">
      <c r="A80" s="16">
        <v>5625</v>
      </c>
      <c r="B80" s="181" t="s">
        <v>289</v>
      </c>
      <c r="C80" s="181" t="s">
        <v>125</v>
      </c>
      <c r="D80" s="181" t="s">
        <v>15</v>
      </c>
      <c r="E80" s="182">
        <f>SUMPRODUCT((TableBOM[Item ID]=A80)*TableBOM[Per 1000 Units]*(1+TableBOM[Scrap %])*SUMIF($D$3:$D$4,TableBOM[Product ID],$H$3:$H$4)/1000)</f>
        <v>0</v>
      </c>
      <c r="F80" s="182">
        <f>IFERROR(INDEX(TableInventory[Store Balance],MATCH(A80,TableInventory[Item ID],0)),0)+IFERROR(INDEX(TableInventory[Work In Process],MATCH(A80,TableInventory[Item ID],0)),0)</f>
        <v>48.5</v>
      </c>
      <c r="G80" s="182">
        <f t="shared" si="4"/>
        <v>48.5</v>
      </c>
      <c r="H80" s="208" t="str">
        <f>IFERROR(IF(SUMPRODUCT((TableBOM[Item ID]=A80)*((TableBOM[Product ID]=$D$3)*($H$3&gt;0)+(TableBOM[Product ID]=$D$4)*($H$4&gt;0)))=0,"-",ROUND(F80/((SUMPRODUCT((TableBOM[Item ID]=A80)*TableBOM[Per 1000 Units]*((TableBOM[Product ID]=$D$3)*($H$3&gt;0)+(TableBOM[Product ID]=$D$4)*($H$4&gt;0)))/SUMPRODUCT((TableBOM[Item ID]=A80)*((TableBOM[Product ID]=$D$3)*($H$3&gt;0)+(TableBOM[Product ID]=$D$4)*($H$4&gt;0))))/1000),0)),"-")</f>
        <v>-</v>
      </c>
      <c r="I80" s="184" t="str">
        <f t="shared" si="5"/>
        <v>Not needed</v>
      </c>
      <c r="J80" s="208" t="str">
        <f>IF(LEN(IF((COUNTIFS(TableBOM[Product ID],$D$3,TableBOM[Item ID],$A80)&gt;0)*($H$3&gt;0),$C$3&amp;", ","") &amp; IF((COUNTIFS(TableBOM[Product ID],$D$4,TableBOM[Item ID],$A80)&gt;0)*($H$4&gt;0),$C$4&amp;", ",""))&gt;1,LEFT(IF((COUNTIFS(TableBOM[Product ID],$D$3,TableBOM[Item ID],$A80)&gt;0)*($H$3&gt;0),$C$3&amp;", ","") &amp; IF((COUNTIFS(TableBOM[Product ID],$D$4,TableBOM[Item ID],$A80)&gt;0)*($H$4&gt;0),$C$4&amp;", ",""),LEN(IF((COUNTIFS(TableBOM[Product ID],$D$3,TableBOM[Item ID],$A80)&gt;0)*($H$3&gt;0),$C$3&amp;", ","") &amp; IF((COUNTIFS(TableBOM[Product ID],$D$4,TableBOM[Item ID],$A80)&gt;0)*($H$4&gt;0),$C$4&amp;", ",""))-2),"")</f>
        <v/>
      </c>
    </row>
    <row r="81" spans="1:19" ht="15" hidden="1" customHeight="1" x14ac:dyDescent="0.25">
      <c r="A81" s="16">
        <v>5816</v>
      </c>
      <c r="B81" s="181" t="s">
        <v>289</v>
      </c>
      <c r="C81" s="181" t="s">
        <v>126</v>
      </c>
      <c r="D81" s="181" t="s">
        <v>15</v>
      </c>
      <c r="E81" s="182">
        <f>SUMPRODUCT((TableBOM[Item ID]=A81)*TableBOM[Per 1000 Units]*(1+TableBOM[Scrap %])*SUMIF($D$3:$D$4,TableBOM[Product ID],$H$3:$H$4)/1000)</f>
        <v>0</v>
      </c>
      <c r="F81" s="182">
        <f>IFERROR(INDEX(TableInventory[Store Balance],MATCH(A81,TableInventory[Item ID],0)),0)+IFERROR(INDEX(TableInventory[Work In Process],MATCH(A81,TableInventory[Item ID],0)),0)</f>
        <v>25</v>
      </c>
      <c r="G81" s="182">
        <f t="shared" si="4"/>
        <v>25</v>
      </c>
      <c r="H81" s="208" t="str">
        <f>IFERROR(IF(SUMPRODUCT((TableBOM[Item ID]=A81)*((TableBOM[Product ID]=$D$3)*($H$3&gt;0)+(TableBOM[Product ID]=$D$4)*($H$4&gt;0)))=0,"-",ROUND(F81/((SUMPRODUCT((TableBOM[Item ID]=A81)*TableBOM[Per 1000 Units]*((TableBOM[Product ID]=$D$3)*($H$3&gt;0)+(TableBOM[Product ID]=$D$4)*($H$4&gt;0)))/SUMPRODUCT((TableBOM[Item ID]=A81)*((TableBOM[Product ID]=$D$3)*($H$3&gt;0)+(TableBOM[Product ID]=$D$4)*($H$4&gt;0))))/1000),0)),"-")</f>
        <v>-</v>
      </c>
      <c r="I81" s="184" t="str">
        <f t="shared" si="5"/>
        <v>Not needed</v>
      </c>
      <c r="J81" s="208" t="str">
        <f>IF(LEN(IF((COUNTIFS(TableBOM[Product ID],$D$3,TableBOM[Item ID],$A81)&gt;0)*($H$3&gt;0),$C$3&amp;", ","") &amp; IF((COUNTIFS(TableBOM[Product ID],$D$4,TableBOM[Item ID],$A81)&gt;0)*($H$4&gt;0),$C$4&amp;", ",""))&gt;1,LEFT(IF((COUNTIFS(TableBOM[Product ID],$D$3,TableBOM[Item ID],$A81)&gt;0)*($H$3&gt;0),$C$3&amp;", ","") &amp; IF((COUNTIFS(TableBOM[Product ID],$D$4,TableBOM[Item ID],$A81)&gt;0)*($H$4&gt;0),$C$4&amp;", ",""),LEN(IF((COUNTIFS(TableBOM[Product ID],$D$3,TableBOM[Item ID],$A81)&gt;0)*($H$3&gt;0),$C$3&amp;", ","") &amp; IF((COUNTIFS(TableBOM[Product ID],$D$4,TableBOM[Item ID],$A81)&gt;0)*($H$4&gt;0),$C$4&amp;", ",""))-2),"")</f>
        <v/>
      </c>
    </row>
    <row r="82" spans="1:19" ht="15" hidden="1" customHeight="1" x14ac:dyDescent="0.25">
      <c r="A82" s="16">
        <v>6135</v>
      </c>
      <c r="B82" s="181" t="s">
        <v>289</v>
      </c>
      <c r="C82" s="181" t="s">
        <v>127</v>
      </c>
      <c r="D82" s="181" t="s">
        <v>15</v>
      </c>
      <c r="E82" s="182">
        <f>SUMPRODUCT((TableBOM[Item ID]=A82)*TableBOM[Per 1000 Units]*(1+TableBOM[Scrap %])*SUMIF($D$3:$D$4,TableBOM[Product ID],$H$3:$H$4)/1000)</f>
        <v>0</v>
      </c>
      <c r="F82" s="182">
        <f>IFERROR(INDEX(TableInventory[Store Balance],MATCH(A82,TableInventory[Item ID],0)),0)+IFERROR(INDEX(TableInventory[Work In Process],MATCH(A82,TableInventory[Item ID],0)),0)</f>
        <v>200</v>
      </c>
      <c r="G82" s="182">
        <f t="shared" si="4"/>
        <v>200</v>
      </c>
      <c r="H82" s="208" t="str">
        <f>IFERROR(IF(SUMPRODUCT((TableBOM[Item ID]=A82)*((TableBOM[Product ID]=$D$3)*($H$3&gt;0)+(TableBOM[Product ID]=$D$4)*($H$4&gt;0)))=0,"-",ROUND(F82/((SUMPRODUCT((TableBOM[Item ID]=A82)*TableBOM[Per 1000 Units]*((TableBOM[Product ID]=$D$3)*($H$3&gt;0)+(TableBOM[Product ID]=$D$4)*($H$4&gt;0)))/SUMPRODUCT((TableBOM[Item ID]=A82)*((TableBOM[Product ID]=$D$3)*($H$3&gt;0)+(TableBOM[Product ID]=$D$4)*($H$4&gt;0))))/1000),0)),"-")</f>
        <v>-</v>
      </c>
      <c r="I82" s="184" t="str">
        <f t="shared" si="5"/>
        <v>Not needed</v>
      </c>
      <c r="J82" s="208" t="str">
        <f>IF(LEN(IF((COUNTIFS(TableBOM[Product ID],$D$3,TableBOM[Item ID],$A82)&gt;0)*($H$3&gt;0),$C$3&amp;", ","") &amp; IF((COUNTIFS(TableBOM[Product ID],$D$4,TableBOM[Item ID],$A82)&gt;0)*($H$4&gt;0),$C$4&amp;", ",""))&gt;1,LEFT(IF((COUNTIFS(TableBOM[Product ID],$D$3,TableBOM[Item ID],$A82)&gt;0)*($H$3&gt;0),$C$3&amp;", ","") &amp; IF((COUNTIFS(TableBOM[Product ID],$D$4,TableBOM[Item ID],$A82)&gt;0)*($H$4&gt;0),$C$4&amp;", ",""),LEN(IF((COUNTIFS(TableBOM[Product ID],$D$3,TableBOM[Item ID],$A82)&gt;0)*($H$3&gt;0),$C$3&amp;", ","") &amp; IF((COUNTIFS(TableBOM[Product ID],$D$4,TableBOM[Item ID],$A82)&gt;0)*($H$4&gt;0),$C$4&amp;", ",""))-2),"")</f>
        <v/>
      </c>
    </row>
    <row r="83" spans="1:19" ht="15" hidden="1" customHeight="1" x14ac:dyDescent="0.25">
      <c r="A83" s="16">
        <v>7133</v>
      </c>
      <c r="B83" s="181" t="s">
        <v>289</v>
      </c>
      <c r="C83" s="181" t="s">
        <v>128</v>
      </c>
      <c r="D83" s="181" t="s">
        <v>15</v>
      </c>
      <c r="E83" s="182">
        <f>SUMPRODUCT((TableBOM[Item ID]=A83)*TableBOM[Per 1000 Units]*(1+TableBOM[Scrap %])*SUMIF($D$3:$D$4,TableBOM[Product ID],$H$3:$H$4)/1000)</f>
        <v>0</v>
      </c>
      <c r="F83" s="182">
        <f>IFERROR(INDEX(TableInventory[Store Balance],MATCH(A83,TableInventory[Item ID],0)),0)+IFERROR(INDEX(TableInventory[Work In Process],MATCH(A83,TableInventory[Item ID],0)),0)</f>
        <v>20</v>
      </c>
      <c r="G83" s="182">
        <f t="shared" si="4"/>
        <v>20</v>
      </c>
      <c r="H83" s="208" t="str">
        <f>IFERROR(IF(SUMPRODUCT((TableBOM[Item ID]=A83)*((TableBOM[Product ID]=$D$3)*($H$3&gt;0)+(TableBOM[Product ID]=$D$4)*($H$4&gt;0)))=0,"-",ROUND(F83/((SUMPRODUCT((TableBOM[Item ID]=A83)*TableBOM[Per 1000 Units]*((TableBOM[Product ID]=$D$3)*($H$3&gt;0)+(TableBOM[Product ID]=$D$4)*($H$4&gt;0)))/SUMPRODUCT((TableBOM[Item ID]=A83)*((TableBOM[Product ID]=$D$3)*($H$3&gt;0)+(TableBOM[Product ID]=$D$4)*($H$4&gt;0))))/1000),0)),"-")</f>
        <v>-</v>
      </c>
      <c r="I83" s="184" t="str">
        <f t="shared" si="5"/>
        <v>Not needed</v>
      </c>
      <c r="J83" s="208" t="str">
        <f>IF(LEN(IF((COUNTIFS(TableBOM[Product ID],$D$3,TableBOM[Item ID],$A83)&gt;0)*($H$3&gt;0),$C$3&amp;", ","") &amp; IF((COUNTIFS(TableBOM[Product ID],$D$4,TableBOM[Item ID],$A83)&gt;0)*($H$4&gt;0),$C$4&amp;", ",""))&gt;1,LEFT(IF((COUNTIFS(TableBOM[Product ID],$D$3,TableBOM[Item ID],$A83)&gt;0)*($H$3&gt;0),$C$3&amp;", ","") &amp; IF((COUNTIFS(TableBOM[Product ID],$D$4,TableBOM[Item ID],$A83)&gt;0)*($H$4&gt;0),$C$4&amp;", ",""),LEN(IF((COUNTIFS(TableBOM[Product ID],$D$3,TableBOM[Item ID],$A83)&gt;0)*($H$3&gt;0),$C$3&amp;", ","") &amp; IF((COUNTIFS(TableBOM[Product ID],$D$4,TableBOM[Item ID],$A83)&gt;0)*($H$4&gt;0),$C$4&amp;", ",""))-2),"")</f>
        <v/>
      </c>
    </row>
    <row r="84" spans="1:19" ht="15" hidden="1" customHeight="1" x14ac:dyDescent="0.25">
      <c r="A84" s="16">
        <v>7412</v>
      </c>
      <c r="B84" s="181" t="s">
        <v>289</v>
      </c>
      <c r="C84" s="181" t="s">
        <v>129</v>
      </c>
      <c r="D84" s="181" t="s">
        <v>15</v>
      </c>
      <c r="E84" s="182">
        <f>SUMPRODUCT((TableBOM[Item ID]=A84)*TableBOM[Per 1000 Units]*(1+TableBOM[Scrap %])*SUMIF($D$3:$D$4,TableBOM[Product ID],$H$3:$H$4)/1000)</f>
        <v>0</v>
      </c>
      <c r="F84" s="182">
        <f>IFERROR(INDEX(TableInventory[Store Balance],MATCH(A84,TableInventory[Item ID],0)),0)+IFERROR(INDEX(TableInventory[Work In Process],MATCH(A84,TableInventory[Item ID],0)),0)</f>
        <v>25</v>
      </c>
      <c r="G84" s="182">
        <f t="shared" si="4"/>
        <v>25</v>
      </c>
      <c r="H84" s="208" t="str">
        <f>IFERROR(IF(SUMPRODUCT((TableBOM[Item ID]=A84)*((TableBOM[Product ID]=$D$3)*($H$3&gt;0)+(TableBOM[Product ID]=$D$4)*($H$4&gt;0)))=0,"-",ROUND(F84/((SUMPRODUCT((TableBOM[Item ID]=A84)*TableBOM[Per 1000 Units]*((TableBOM[Product ID]=$D$3)*($H$3&gt;0)+(TableBOM[Product ID]=$D$4)*($H$4&gt;0)))/SUMPRODUCT((TableBOM[Item ID]=A84)*((TableBOM[Product ID]=$D$3)*($H$3&gt;0)+(TableBOM[Product ID]=$D$4)*($H$4&gt;0))))/1000),0)),"-")</f>
        <v>-</v>
      </c>
      <c r="I84" s="184" t="str">
        <f t="shared" si="5"/>
        <v>Not needed</v>
      </c>
      <c r="J84" s="208" t="str">
        <f>IF(LEN(IF((COUNTIFS(TableBOM[Product ID],$D$3,TableBOM[Item ID],$A84)&gt;0)*($H$3&gt;0),$C$3&amp;", ","") &amp; IF((COUNTIFS(TableBOM[Product ID],$D$4,TableBOM[Item ID],$A84)&gt;0)*($H$4&gt;0),$C$4&amp;", ",""))&gt;1,LEFT(IF((COUNTIFS(TableBOM[Product ID],$D$3,TableBOM[Item ID],$A84)&gt;0)*($H$3&gt;0),$C$3&amp;", ","") &amp; IF((COUNTIFS(TableBOM[Product ID],$D$4,TableBOM[Item ID],$A84)&gt;0)*($H$4&gt;0),$C$4&amp;", ",""),LEN(IF((COUNTIFS(TableBOM[Product ID],$D$3,TableBOM[Item ID],$A84)&gt;0)*($H$3&gt;0),$C$3&amp;", ","") &amp; IF((COUNTIFS(TableBOM[Product ID],$D$4,TableBOM[Item ID],$A84)&gt;0)*($H$4&gt;0),$C$4&amp;", ",""))-2),"")</f>
        <v/>
      </c>
    </row>
    <row r="85" spans="1:19" ht="15" hidden="1" customHeight="1" x14ac:dyDescent="0.25">
      <c r="A85" s="16">
        <v>3752</v>
      </c>
      <c r="B85" s="181" t="s">
        <v>290</v>
      </c>
      <c r="C85" s="181" t="s">
        <v>134</v>
      </c>
      <c r="D85" s="181" t="s">
        <v>15</v>
      </c>
      <c r="E85" s="182">
        <f>SUMPRODUCT((TableBOM[Item ID]=A85)*TableBOM[Per 1000 Units]*(1+TableBOM[Scrap %])*SUMIF($D$3:$D$4,TableBOM[Product ID],$H$3:$H$4)/1000)</f>
        <v>0</v>
      </c>
      <c r="F85" s="182">
        <f>IFERROR(INDEX(TableInventory[Store Balance],MATCH(A85,TableInventory[Item ID],0)),0)+IFERROR(INDEX(TableInventory[Work In Process],MATCH(A85,TableInventory[Item ID],0)),0)</f>
        <v>56</v>
      </c>
      <c r="G85" s="182">
        <f t="shared" si="4"/>
        <v>56</v>
      </c>
      <c r="H85" s="208" t="str">
        <f>IFERROR(IF(SUMPRODUCT((TableBOM[Item ID]=A85)*((TableBOM[Product ID]=$D$3)*($H$3&gt;0)+(TableBOM[Product ID]=$D$4)*($H$4&gt;0)))=0,"-",ROUND(F85/((SUMPRODUCT((TableBOM[Item ID]=A85)*TableBOM[Per 1000 Units]*((TableBOM[Product ID]=$D$3)*($H$3&gt;0)+(TableBOM[Product ID]=$D$4)*($H$4&gt;0)))/SUMPRODUCT((TableBOM[Item ID]=A85)*((TableBOM[Product ID]=$D$3)*($H$3&gt;0)+(TableBOM[Product ID]=$D$4)*($H$4&gt;0))))/1000),0)),"-")</f>
        <v>-</v>
      </c>
      <c r="I85" s="184" t="str">
        <f t="shared" si="5"/>
        <v>Not needed</v>
      </c>
      <c r="J85" s="208" t="str">
        <f>IF(LEN(IF((COUNTIFS(TableBOM[Product ID],$D$3,TableBOM[Item ID],$A85)&gt;0)*($H$3&gt;0),$C$3&amp;", ","") &amp; IF((COUNTIFS(TableBOM[Product ID],$D$4,TableBOM[Item ID],$A85)&gt;0)*($H$4&gt;0),$C$4&amp;", ",""))&gt;1,LEFT(IF((COUNTIFS(TableBOM[Product ID],$D$3,TableBOM[Item ID],$A85)&gt;0)*($H$3&gt;0),$C$3&amp;", ","") &amp; IF((COUNTIFS(TableBOM[Product ID],$D$4,TableBOM[Item ID],$A85)&gt;0)*($H$4&gt;0),$C$4&amp;", ",""),LEN(IF((COUNTIFS(TableBOM[Product ID],$D$3,TableBOM[Item ID],$A85)&gt;0)*($H$3&gt;0),$C$3&amp;", ","") &amp; IF((COUNTIFS(TableBOM[Product ID],$D$4,TableBOM[Item ID],$A85)&gt;0)*($H$4&gt;0),$C$4&amp;", ",""))-2),"")</f>
        <v/>
      </c>
    </row>
    <row r="86" spans="1:19" ht="16.5" hidden="1" customHeight="1" x14ac:dyDescent="0.25">
      <c r="A86" s="16">
        <v>4248</v>
      </c>
      <c r="B86" s="181" t="s">
        <v>290</v>
      </c>
      <c r="C86" s="181" t="s">
        <v>135</v>
      </c>
      <c r="D86" s="181" t="s">
        <v>15</v>
      </c>
      <c r="E86" s="182">
        <f>SUMPRODUCT((TableBOM[Item ID]=A86)*TableBOM[Per 1000 Units]*(1+TableBOM[Scrap %])*SUMIF($D$3:$D$4,TableBOM[Product ID],$H$3:$H$4)/1000)</f>
        <v>0</v>
      </c>
      <c r="F86" s="182">
        <f>IFERROR(INDEX(TableInventory[Store Balance],MATCH(A86,TableInventory[Item ID],0)),0)+IFERROR(INDEX(TableInventory[Work In Process],MATCH(A86,TableInventory[Item ID],0)),0)</f>
        <v>250</v>
      </c>
      <c r="G86" s="182">
        <f t="shared" si="4"/>
        <v>250</v>
      </c>
      <c r="H86" s="208" t="str">
        <f>IFERROR(IF(SUMPRODUCT((TableBOM[Item ID]=A86)*((TableBOM[Product ID]=$D$3)*($H$3&gt;0)+(TableBOM[Product ID]=$D$4)*($H$4&gt;0)))=0,"-",ROUND(F86/((SUMPRODUCT((TableBOM[Item ID]=A86)*TableBOM[Per 1000 Units]*((TableBOM[Product ID]=$D$3)*($H$3&gt;0)+(TableBOM[Product ID]=$D$4)*($H$4&gt;0)))/SUMPRODUCT((TableBOM[Item ID]=A86)*((TableBOM[Product ID]=$D$3)*($H$3&gt;0)+(TableBOM[Product ID]=$D$4)*($H$4&gt;0))))/1000),0)),"-")</f>
        <v>-</v>
      </c>
      <c r="I86" s="184" t="str">
        <f t="shared" si="5"/>
        <v>Not needed</v>
      </c>
      <c r="J86" s="208" t="str">
        <f>IF(LEN(IF((COUNTIFS(TableBOM[Product ID],$D$3,TableBOM[Item ID],$A86)&gt;0)*($H$3&gt;0),$C$3&amp;", ","") &amp; IF((COUNTIFS(TableBOM[Product ID],$D$4,TableBOM[Item ID],$A86)&gt;0)*($H$4&gt;0),$C$4&amp;", ",""))&gt;1,LEFT(IF((COUNTIFS(TableBOM[Product ID],$D$3,TableBOM[Item ID],$A86)&gt;0)*($H$3&gt;0),$C$3&amp;", ","") &amp; IF((COUNTIFS(TableBOM[Product ID],$D$4,TableBOM[Item ID],$A86)&gt;0)*($H$4&gt;0),$C$4&amp;", ",""),LEN(IF((COUNTIFS(TableBOM[Product ID],$D$3,TableBOM[Item ID],$A86)&gt;0)*($H$3&gt;0),$C$3&amp;", ","") &amp; IF((COUNTIFS(TableBOM[Product ID],$D$4,TableBOM[Item ID],$A86)&gt;0)*($H$4&gt;0),$C$4&amp;", ",""))-2),"")</f>
        <v/>
      </c>
    </row>
    <row r="87" spans="1:19" ht="15" hidden="1" customHeight="1" x14ac:dyDescent="0.25">
      <c r="A87" s="16">
        <v>6042</v>
      </c>
      <c r="B87" s="181" t="s">
        <v>290</v>
      </c>
      <c r="C87" s="181" t="s">
        <v>136</v>
      </c>
      <c r="D87" s="181" t="s">
        <v>15</v>
      </c>
      <c r="E87" s="182">
        <f>SUMPRODUCT((TableBOM[Item ID]=A87)*TableBOM[Per 1000 Units]*(1+TableBOM[Scrap %])*SUMIF($D$3:$D$4,TableBOM[Product ID],$H$3:$H$4)/1000)</f>
        <v>0</v>
      </c>
      <c r="F87" s="182">
        <f>IFERROR(INDEX(TableInventory[Store Balance],MATCH(A87,TableInventory[Item ID],0)),0)+IFERROR(INDEX(TableInventory[Work In Process],MATCH(A87,TableInventory[Item ID],0)),0)</f>
        <v>25</v>
      </c>
      <c r="G87" s="182">
        <f t="shared" si="4"/>
        <v>25</v>
      </c>
      <c r="H87" s="208" t="str">
        <f>IFERROR(IF(SUMPRODUCT((TableBOM[Item ID]=A87)*((TableBOM[Product ID]=$D$3)*($H$3&gt;0)+(TableBOM[Product ID]=$D$4)*($H$4&gt;0)))=0,"-",ROUND(F87/((SUMPRODUCT((TableBOM[Item ID]=A87)*TableBOM[Per 1000 Units]*((TableBOM[Product ID]=$D$3)*($H$3&gt;0)+(TableBOM[Product ID]=$D$4)*($H$4&gt;0)))/SUMPRODUCT((TableBOM[Item ID]=A87)*((TableBOM[Product ID]=$D$3)*($H$3&gt;0)+(TableBOM[Product ID]=$D$4)*($H$4&gt;0))))/1000),0)),"-")</f>
        <v>-</v>
      </c>
      <c r="I87" s="184" t="str">
        <f t="shared" si="5"/>
        <v>Not needed</v>
      </c>
      <c r="J87" s="208" t="str">
        <f>IF(LEN(IF((COUNTIFS(TableBOM[Product ID],$D$3,TableBOM[Item ID],$A87)&gt;0)*($H$3&gt;0),$C$3&amp;", ","") &amp; IF((COUNTIFS(TableBOM[Product ID],$D$4,TableBOM[Item ID],$A87)&gt;0)*($H$4&gt;0),$C$4&amp;", ",""))&gt;1,LEFT(IF((COUNTIFS(TableBOM[Product ID],$D$3,TableBOM[Item ID],$A87)&gt;0)*($H$3&gt;0),$C$3&amp;", ","") &amp; IF((COUNTIFS(TableBOM[Product ID],$D$4,TableBOM[Item ID],$A87)&gt;0)*($H$4&gt;0),$C$4&amp;", ",""),LEN(IF((COUNTIFS(TableBOM[Product ID],$D$3,TableBOM[Item ID],$A87)&gt;0)*($H$3&gt;0),$C$3&amp;", ","") &amp; IF((COUNTIFS(TableBOM[Product ID],$D$4,TableBOM[Item ID],$A87)&gt;0)*($H$4&gt;0),$C$4&amp;", ",""))-2),"")</f>
        <v/>
      </c>
    </row>
    <row r="88" spans="1:19" ht="15" hidden="1" customHeight="1" x14ac:dyDescent="0.25">
      <c r="A88" s="16">
        <v>2267</v>
      </c>
      <c r="B88" s="181" t="s">
        <v>291</v>
      </c>
      <c r="C88" s="181" t="s">
        <v>131</v>
      </c>
      <c r="D88" s="181" t="s">
        <v>51</v>
      </c>
      <c r="E88" s="182">
        <f>SUMPRODUCT((TableBOM[Item ID]=A88)*TableBOM[Per 1000 Units]*(1+TableBOM[Scrap %])*SUMIF($D$3:$D$4,TableBOM[Product ID],$H$3:$H$4)/1000)</f>
        <v>0</v>
      </c>
      <c r="F88" s="182">
        <f>IFERROR(INDEX(TableInventory[Store Balance],MATCH(A88,TableInventory[Item ID],0)),0)+IFERROR(INDEX(TableInventory[Work In Process],MATCH(A88,TableInventory[Item ID],0)),0)</f>
        <v>182</v>
      </c>
      <c r="G88" s="182">
        <f t="shared" si="4"/>
        <v>182</v>
      </c>
      <c r="H88" s="208" t="str">
        <f>IFERROR(IF(SUMPRODUCT((TableBOM[Item ID]=A88)*((TableBOM[Product ID]=$D$3)*($H$3&gt;0)+(TableBOM[Product ID]=$D$4)*($H$4&gt;0)))=0,"-",ROUND(F88/((SUMPRODUCT((TableBOM[Item ID]=A88)*TableBOM[Per 1000 Units]*((TableBOM[Product ID]=$D$3)*($H$3&gt;0)+(TableBOM[Product ID]=$D$4)*($H$4&gt;0)))/SUMPRODUCT((TableBOM[Item ID]=A88)*((TableBOM[Product ID]=$D$3)*($H$3&gt;0)+(TableBOM[Product ID]=$D$4)*($H$4&gt;0))))/1000),0)),"-")</f>
        <v>-</v>
      </c>
      <c r="I88" s="184" t="str">
        <f t="shared" si="5"/>
        <v>Not needed</v>
      </c>
      <c r="J88" s="208" t="str">
        <f>IF(LEN(IF((COUNTIFS(TableBOM[Product ID],$D$3,TableBOM[Item ID],$A88)&gt;0)*($H$3&gt;0),$C$3&amp;", ","") &amp; IF((COUNTIFS(TableBOM[Product ID],$D$4,TableBOM[Item ID],$A88)&gt;0)*($H$4&gt;0),$C$4&amp;", ",""))&gt;1,LEFT(IF((COUNTIFS(TableBOM[Product ID],$D$3,TableBOM[Item ID],$A88)&gt;0)*($H$3&gt;0),$C$3&amp;", ","") &amp; IF((COUNTIFS(TableBOM[Product ID],$D$4,TableBOM[Item ID],$A88)&gt;0)*($H$4&gt;0),$C$4&amp;", ",""),LEN(IF((COUNTIFS(TableBOM[Product ID],$D$3,TableBOM[Item ID],$A88)&gt;0)*($H$3&gt;0),$C$3&amp;", ","") &amp; IF((COUNTIFS(TableBOM[Product ID],$D$4,TableBOM[Item ID],$A88)&gt;0)*($H$4&gt;0),$C$4&amp;", ",""))-2),"")</f>
        <v/>
      </c>
    </row>
    <row r="89" spans="1:19" ht="15" hidden="1" customHeight="1" x14ac:dyDescent="0.25">
      <c r="A89" s="16">
        <v>3043</v>
      </c>
      <c r="B89" s="181" t="s">
        <v>292</v>
      </c>
      <c r="C89" s="181" t="s">
        <v>138</v>
      </c>
      <c r="D89" s="181" t="s">
        <v>139</v>
      </c>
      <c r="E89" s="182">
        <f>SUMPRODUCT((TableBOM[Item ID]=A89)*TableBOM[Per 1000 Units]*(1+TableBOM[Scrap %])*SUMIF($D$3:$D$4,TableBOM[Product ID],$H$3:$H$4)/1000)</f>
        <v>0</v>
      </c>
      <c r="F89" s="182">
        <f>IFERROR(INDEX(TableInventory[Store Balance],MATCH(A89,TableInventory[Item ID],0)),0)+IFERROR(INDEX(TableInventory[Work In Process],MATCH(A89,TableInventory[Item ID],0)),0)</f>
        <v>0</v>
      </c>
      <c r="G89" s="182">
        <f t="shared" si="4"/>
        <v>0</v>
      </c>
      <c r="H89" s="208" t="str">
        <f>IFERROR(IF(SUMPRODUCT((TableBOM[Item ID]=A89)*((TableBOM[Product ID]=$D$3)*($H$3&gt;0)+(TableBOM[Product ID]=$D$4)*($H$4&gt;0)))=0,"-",ROUND(F89/((SUMPRODUCT((TableBOM[Item ID]=A89)*TableBOM[Per 1000 Units]*((TableBOM[Product ID]=$D$3)*($H$3&gt;0)+(TableBOM[Product ID]=$D$4)*($H$4&gt;0)))/SUMPRODUCT((TableBOM[Item ID]=A89)*((TableBOM[Product ID]=$D$3)*($H$3&gt;0)+(TableBOM[Product ID]=$D$4)*($H$4&gt;0))))/1000),0)),"-")</f>
        <v>-</v>
      </c>
      <c r="I89" s="184" t="str">
        <f t="shared" si="5"/>
        <v>Not needed</v>
      </c>
      <c r="J89" s="208" t="str">
        <f>IF(LEN(IF((COUNTIFS(TableBOM[Product ID],$D$3,TableBOM[Item ID],$A89)&gt;0)*($H$3&gt;0),$C$3&amp;", ","") &amp; IF((COUNTIFS(TableBOM[Product ID],$D$4,TableBOM[Item ID],$A89)&gt;0)*($H$4&gt;0),$C$4&amp;", ",""))&gt;1,LEFT(IF((COUNTIFS(TableBOM[Product ID],$D$3,TableBOM[Item ID],$A89)&gt;0)*($H$3&gt;0),$C$3&amp;", ","") &amp; IF((COUNTIFS(TableBOM[Product ID],$D$4,TableBOM[Item ID],$A89)&gt;0)*($H$4&gt;0),$C$4&amp;", ",""),LEN(IF((COUNTIFS(TableBOM[Product ID],$D$3,TableBOM[Item ID],$A89)&gt;0)*($H$3&gt;0),$C$3&amp;", ","") &amp; IF((COUNTIFS(TableBOM[Product ID],$D$4,TableBOM[Item ID],$A89)&gt;0)*($H$4&gt;0),$C$4&amp;", ",""))-2),"")</f>
        <v/>
      </c>
    </row>
    <row r="90" spans="1:19" ht="15" customHeight="1" x14ac:dyDescent="0.25">
      <c r="A90" s="16"/>
      <c r="B90" s="16"/>
      <c r="C90" s="16"/>
      <c r="D90" s="16"/>
      <c r="E90" s="24"/>
      <c r="F90" s="24"/>
      <c r="G90" s="17"/>
      <c r="H90" s="22"/>
      <c r="I90" s="23"/>
    </row>
    <row r="91" spans="1:19" ht="15" customHeight="1" x14ac:dyDescent="0.25">
      <c r="A91" s="16"/>
      <c r="B91" s="16"/>
      <c r="C91" s="16"/>
      <c r="D91" s="16"/>
      <c r="E91" s="24"/>
      <c r="F91" s="24"/>
      <c r="G91" s="17"/>
      <c r="H91" s="22"/>
      <c r="I91" s="23"/>
    </row>
    <row r="92" spans="1:19" ht="15" customHeight="1" x14ac:dyDescent="0.25">
      <c r="A92" s="123" t="s">
        <v>293</v>
      </c>
      <c r="B92" s="123"/>
      <c r="C92" s="123"/>
      <c r="D92" s="123"/>
      <c r="E92" s="123"/>
      <c r="F92" s="123"/>
      <c r="G92" s="123"/>
      <c r="H92" s="123"/>
      <c r="I92" s="123"/>
    </row>
    <row r="93" spans="1:19" ht="18.75" customHeight="1" x14ac:dyDescent="0.25">
      <c r="A93" s="12" t="s">
        <v>159</v>
      </c>
      <c r="B93" s="12" t="s">
        <v>157</v>
      </c>
      <c r="C93" s="13" t="s">
        <v>158</v>
      </c>
      <c r="D93" s="13" t="s">
        <v>251</v>
      </c>
      <c r="E93" s="14" t="s">
        <v>252</v>
      </c>
      <c r="F93" s="14" t="s">
        <v>253</v>
      </c>
      <c r="G93" s="15" t="s">
        <v>254</v>
      </c>
      <c r="H93" s="12" t="s">
        <v>255</v>
      </c>
      <c r="I93" s="12" t="s">
        <v>166</v>
      </c>
      <c r="J93" s="11"/>
      <c r="K93" s="11"/>
      <c r="L93" s="11"/>
      <c r="M93" s="11"/>
      <c r="N93" s="11"/>
      <c r="O93" s="11"/>
      <c r="P93" s="11"/>
      <c r="Q93" s="11"/>
      <c r="R93" s="11"/>
      <c r="S93" s="2"/>
    </row>
    <row r="94" spans="1:19" ht="18.75" customHeight="1" x14ac:dyDescent="0.25">
      <c r="A94" s="191" t="s">
        <v>181</v>
      </c>
      <c r="B94" s="191" t="s">
        <v>168</v>
      </c>
      <c r="C94" s="192" t="s">
        <v>180</v>
      </c>
      <c r="D94" s="25">
        <v>8005</v>
      </c>
      <c r="E94" s="237" t="s">
        <v>294</v>
      </c>
      <c r="F94" s="198">
        <f>7160+30000+35000</f>
        <v>72160</v>
      </c>
      <c r="G94" s="198">
        <f>INDEX(Tubex_Dashboard!$H$11:$H$100,MATCH(MRP!D94,Tubex_Dashboard!$F$11:$F$100,0))</f>
        <v>0</v>
      </c>
      <c r="H94" s="199">
        <f t="shared" ref="H94:H99" si="6">F94-G94</f>
        <v>72160</v>
      </c>
      <c r="I94" s="175"/>
    </row>
    <row r="95" spans="1:19" ht="15" customHeight="1" x14ac:dyDescent="0.25">
      <c r="A95" s="193" t="s">
        <v>184</v>
      </c>
      <c r="B95" s="193" t="s">
        <v>175</v>
      </c>
      <c r="C95" s="254" t="s">
        <v>183</v>
      </c>
      <c r="D95" s="126">
        <v>8015</v>
      </c>
      <c r="E95" s="200">
        <v>344</v>
      </c>
      <c r="F95" s="198">
        <v>15000</v>
      </c>
      <c r="G95" s="200">
        <f>INDEX(Tubex_Dashboard!$H$11:$H$100,MATCH(MRP!D95,Tubex_Dashboard!$F$11:$F$100,0))</f>
        <v>0</v>
      </c>
      <c r="H95" s="201">
        <f t="shared" si="6"/>
        <v>15000</v>
      </c>
      <c r="I95" s="175"/>
    </row>
    <row r="96" spans="1:19" ht="19.5" customHeight="1" x14ac:dyDescent="0.25">
      <c r="A96" s="244" t="s">
        <v>184</v>
      </c>
      <c r="B96" s="244" t="s">
        <v>175</v>
      </c>
      <c r="C96" s="245" t="s">
        <v>185</v>
      </c>
      <c r="D96" s="246">
        <v>8010</v>
      </c>
      <c r="E96" s="247">
        <v>349</v>
      </c>
      <c r="F96" s="247">
        <v>25000</v>
      </c>
      <c r="G96" s="247">
        <f>INDEX(Tubex_Dashboard!$H$11:$H$100,MATCH(MRP!D96,Tubex_Dashboard!$F$11:$F$100,0))</f>
        <v>0</v>
      </c>
      <c r="H96" s="248">
        <f t="shared" si="6"/>
        <v>25000</v>
      </c>
      <c r="I96" s="249"/>
    </row>
    <row r="97" spans="1:18" ht="24" customHeight="1" x14ac:dyDescent="0.25">
      <c r="A97" s="194" t="s">
        <v>189</v>
      </c>
      <c r="B97" s="194" t="s">
        <v>187</v>
      </c>
      <c r="C97" s="195" t="s">
        <v>188</v>
      </c>
      <c r="D97" s="159">
        <v>8001</v>
      </c>
      <c r="E97" s="202" t="s">
        <v>295</v>
      </c>
      <c r="F97" s="202">
        <f>100000+116667-15410+500000</f>
        <v>701257</v>
      </c>
      <c r="G97" s="202">
        <f>INDEX(Tubex_Dashboard!$H$11:$H$100,MATCH(MRP!D97,Tubex_Dashboard!$F$11:$F$100,0))</f>
        <v>90735</v>
      </c>
      <c r="H97" s="203">
        <f t="shared" si="6"/>
        <v>610522</v>
      </c>
      <c r="I97" s="255" t="s">
        <v>296</v>
      </c>
    </row>
    <row r="98" spans="1:18" ht="19.5" customHeight="1" x14ac:dyDescent="0.25">
      <c r="A98" s="196" t="s">
        <v>189</v>
      </c>
      <c r="B98" s="196" t="s">
        <v>191</v>
      </c>
      <c r="C98" s="197" t="s">
        <v>192</v>
      </c>
      <c r="D98" s="173">
        <v>8017</v>
      </c>
      <c r="E98" s="204">
        <v>346</v>
      </c>
      <c r="F98" s="204">
        <v>13960</v>
      </c>
      <c r="G98" s="204">
        <f>INDEX(Tubex_Dashboard!$H$11:$H$100,MATCH(MRP!D98,Tubex_Dashboard!$F$11:$F$100,0))</f>
        <v>0</v>
      </c>
      <c r="H98" s="205">
        <f t="shared" si="6"/>
        <v>13960</v>
      </c>
      <c r="I98" s="175"/>
      <c r="J98" s="172"/>
      <c r="K98" s="172"/>
    </row>
    <row r="99" spans="1:18" ht="19.5" customHeight="1" x14ac:dyDescent="0.25">
      <c r="A99" s="244" t="s">
        <v>194</v>
      </c>
      <c r="B99" s="244" t="s">
        <v>168</v>
      </c>
      <c r="C99" s="245" t="s">
        <v>193</v>
      </c>
      <c r="D99" s="246">
        <v>8006</v>
      </c>
      <c r="E99" s="247">
        <v>351</v>
      </c>
      <c r="F99" s="247">
        <v>47000</v>
      </c>
      <c r="G99" s="247">
        <f>INDEX(Tubex_Dashboard!$H$11:$H$100,MATCH(MRP!D99,Tubex_Dashboard!$F$11:$F$100,0))</f>
        <v>0</v>
      </c>
      <c r="H99" s="248">
        <f t="shared" si="6"/>
        <v>47000</v>
      </c>
      <c r="I99" s="249"/>
    </row>
    <row r="100" spans="1:18" ht="19.5" customHeight="1" x14ac:dyDescent="0.25">
      <c r="A100" s="12"/>
      <c r="B100" s="12"/>
      <c r="C100" s="13"/>
      <c r="D100" s="13"/>
      <c r="E100" s="14" t="s">
        <v>257</v>
      </c>
      <c r="F100" s="114">
        <f>SUM(F94:F99)</f>
        <v>874377</v>
      </c>
      <c r="G100" s="114">
        <f>SUM(G94:G99)</f>
        <v>90735</v>
      </c>
      <c r="H100" s="114">
        <f>SUMIF(H94:H99, "&gt;0")</f>
        <v>783642</v>
      </c>
      <c r="I100" s="12"/>
      <c r="J100" s="11"/>
      <c r="K100" s="11"/>
      <c r="L100" s="11"/>
      <c r="M100" s="11"/>
      <c r="N100" s="11"/>
      <c r="O100" s="11"/>
      <c r="P100" s="11"/>
      <c r="Q100" s="11"/>
      <c r="R100" s="2"/>
    </row>
    <row r="101" spans="1:18" ht="19.5" customHeight="1" x14ac:dyDescent="0.25">
      <c r="A101" s="124" t="s">
        <v>297</v>
      </c>
      <c r="B101" s="124"/>
      <c r="C101" s="124"/>
      <c r="D101" s="124"/>
      <c r="E101" s="124"/>
      <c r="F101" s="124"/>
      <c r="G101" s="124"/>
      <c r="H101" s="124"/>
      <c r="I101" s="124"/>
    </row>
    <row r="102" spans="1:18" ht="24" customHeight="1" x14ac:dyDescent="0.25">
      <c r="A102" s="29" t="s">
        <v>2</v>
      </c>
      <c r="B102" s="29" t="s">
        <v>3</v>
      </c>
      <c r="C102" s="30" t="s">
        <v>259</v>
      </c>
      <c r="D102" s="29" t="s">
        <v>5</v>
      </c>
      <c r="E102" s="31" t="s">
        <v>253</v>
      </c>
      <c r="F102" s="15" t="s">
        <v>260</v>
      </c>
      <c r="G102" s="15" t="s">
        <v>261</v>
      </c>
      <c r="H102" s="180" t="s">
        <v>262</v>
      </c>
      <c r="I102" s="32" t="s">
        <v>263</v>
      </c>
      <c r="J102" s="209" t="s">
        <v>264</v>
      </c>
    </row>
    <row r="103" spans="1:18" ht="15" customHeight="1" x14ac:dyDescent="0.25">
      <c r="A103" s="266">
        <v>2680</v>
      </c>
      <c r="B103" s="181" t="s">
        <v>288</v>
      </c>
      <c r="C103" s="189" t="s">
        <v>119</v>
      </c>
      <c r="D103" s="16" t="s">
        <v>15</v>
      </c>
      <c r="E103" s="183">
        <f>SUMPRODUCT((TableBOM[Item ID]=A103)*TableBOM[Per 1000 Units]*(1+TableBOM[Scrap %])*SUMIF($D$94:$D$99,TableBOM[Product ID],$H$94:$H$99)/1000)</f>
        <v>19314.583499999993</v>
      </c>
      <c r="F103" s="183">
        <f>IFERROR(INDEX(TableInventory[Store Balance],MATCH(A103,TableInventory[Item ID],0)),0)+IFERROR(INDEX(TableInventory[Work In Process],MATCH(A103,TableInventory[Item ID],0)),0)</f>
        <v>1500</v>
      </c>
      <c r="G103" s="183">
        <f t="shared" ref="G103:G109" si="7">F103-E103</f>
        <v>-17814.583499999993</v>
      </c>
      <c r="H103" s="212">
        <f>IFERROR(IF(SUMPRODUCT((TableBOM[Item ID]=A103)*((SUMIF($D$94:$D$99,TableBOM[Product ID],$H$94:$H$99))&gt;0)*(SUMIF($D$94:$D$99,TableBOM[Product ID],$H$94:$H$99))*TableBOM[Per 1000 Units])=0,"-",ROUND(F103*1000*SUMPRODUCT((TableBOM[Item ID]=A103)*((SUMIF($D$94:$D$99,TableBOM[Product ID],$H$94:$H$99))&gt;0)*(SUMIF($D$94:$D$99,TableBOM[Product ID],$H$94:$H$99)))/SUMPRODUCT((TableBOM[Item ID]=A103)*((SUMIF($D$94:$D$99,TableBOM[Product ID],$H$94:$H$99))&gt;0)*(SUMIF($D$94:$D$99,TableBOM[Product ID],$H$94:$H$99))*TableBOM[Per 1000 Units]),0)),"-")</f>
        <v>69988</v>
      </c>
      <c r="I103" s="190" t="str">
        <f t="shared" ref="I103:I109" si="8">IF(E103=0,"Not needed",IF(G103&lt;0,"SHORTAGE",IF(G103&lt;F103*0.1,"LOW","OK")))</f>
        <v>SHORTAGE</v>
      </c>
      <c r="J103" s="253" t="str">
        <f>IF(LEN(IF((COUNTIFS(TableBOM[Product ID],$D$94,TableBOM[Item ID],$A103)&gt;0)*($H$94&gt;0),$C$94&amp;", ","") &amp; IF((COUNTIFS(TableBOM[Product ID],$D$95,TableBOM[Item ID],$A103)&gt;0)*($H$95&gt;0),$C$95&amp;", ","") &amp; IF((COUNTIFS(TableBOM[Product ID],$D$96,TableBOM[Item ID],$A103)&gt;0)*($H$96&gt;0),$C$96&amp;", ","") &amp; IF((COUNTIFS(TableBOM[Product ID],$D$97,TableBOM[Item ID],$A103)&gt;0)*($H$97&gt;0),$C$97&amp;", ","") &amp; IF((COUNTIFS(TableBOM[Product ID],$D$98,TableBOM[Item ID],$A103)&gt;0)*($H$98&gt;0),$C$98&amp;", ","") &amp; IF((COUNTIFS(TableBOM[Product ID],$D$99,TableBOM[Item ID],$A103)&gt;0)*($H$99&gt;0),$C$99&amp;", ",""))&gt;1,LEFT(IF((COUNTIFS(TableBOM[Product ID],$D$94,TableBOM[Item ID],$A103)&gt;0)*($H$94&gt;0),$C$94&amp;", ","") &amp; IF((COUNTIFS(TableBOM[Product ID],$D$95,TableBOM[Item ID],$A103)&gt;0)*($H$95&gt;0),$C$95&amp;", ","") &amp; IF((COUNTIFS(TableBOM[Product ID],$D$96,TableBOM[Item ID],$A103)&gt;0)*($H$96&gt;0),$C$96&amp;", ","") &amp; IF((COUNTIFS(TableBOM[Product ID],$D$97,TableBOM[Item ID],$A103)&gt;0)*($H$97&gt;0),$C$97&amp;", ","") &amp; IF((COUNTIFS(TableBOM[Product ID],$D$98,TableBOM[Item ID],$A103)&gt;0)*($H$98&gt;0),$C$98&amp;", ","") &amp; IF((COUNTIFS(TableBOM[Product ID],$D$99,TableBOM[Item ID],$A103)&gt;0)*($H$99&gt;0),$C$99&amp;", ",""),LEN(IF((COUNTIFS(TableBOM[Product ID],$D$94,TableBOM[Item ID],$A103)&gt;0)*($H$94&gt;0),$C$94&amp;", ","") &amp; IF((COUNTIFS(TableBOM[Product ID],$D$95,TableBOM[Item ID],$A103)&gt;0)*($H$95&gt;0),$C$95&amp;", ","") &amp; IF((COUNTIFS(TableBOM[Product ID],$D$96,TableBOM[Item ID],$A103)&gt;0)*($H$96&gt;0),$C$96&amp;", ","") &amp; IF((COUNTIFS(TableBOM[Product ID],$D$97,TableBOM[Item ID],$A103)&gt;0)*($H$97&gt;0),$C$97&amp;", ","") &amp; IF((COUNTIFS(TableBOM[Product ID],$D$98,TableBOM[Item ID],$A103)&gt;0)*($H$98&gt;0),$C$98&amp;", ","") &amp; IF((COUNTIFS(TableBOM[Product ID],$D$99,TableBOM[Item ID],$A103)&gt;0)*($H$99&gt;0),$C$99&amp;", ",""))-2),"")</f>
        <v>Samsol Yellow 120ml, Mablay 130ml White, Mablay 130ml TRP, Alpha 150ml TRP, Horizon 150ml TRP, Samsol Yellow 200ml</v>
      </c>
    </row>
    <row r="104" spans="1:18" x14ac:dyDescent="0.25">
      <c r="A104" s="266">
        <v>4002</v>
      </c>
      <c r="B104" s="181" t="s">
        <v>289</v>
      </c>
      <c r="C104" s="189" t="s">
        <v>122</v>
      </c>
      <c r="D104" s="16" t="s">
        <v>15</v>
      </c>
      <c r="E104" s="183">
        <f>SUMPRODUCT((TableBOM[Item ID]=A104)*TableBOM[Per 1000 Units]*(1+TableBOM[Scrap %])*SUMIF($D$94:$D$99,TableBOM[Product ID],$H$94:$H$99)/1000)</f>
        <v>142.24809999999999</v>
      </c>
      <c r="F104" s="183">
        <f>IFERROR(INDEX(TableInventory[Store Balance],MATCH(A104,TableInventory[Item ID],0)),0)+IFERROR(INDEX(TableInventory[Work In Process],MATCH(A104,TableInventory[Item ID],0)),0)</f>
        <v>125</v>
      </c>
      <c r="G104" s="183">
        <f t="shared" si="7"/>
        <v>-17.248099999999994</v>
      </c>
      <c r="H104" s="212">
        <f>IFERROR(IF(SUMPRODUCT((TableBOM[Item ID]=A104)*((SUMIF($D$94:$D$99,TableBOM[Product ID],$H$94:$H$99))&gt;0)*(SUMIF($D$94:$D$99,TableBOM[Product ID],$H$94:$H$99))*TableBOM[Per 1000 Units])=0,"-",ROUND(F104*1000*SUMPRODUCT((TableBOM[Item ID]=A104)*((SUMIF($D$94:$D$99,TableBOM[Product ID],$H$94:$H$99))&gt;0)*(SUMIF($D$94:$D$99,TableBOM[Product ID],$H$94:$H$99)))/SUMPRODUCT((TableBOM[Item ID]=A104)*((SUMIF($D$94:$D$99,TableBOM[Product ID],$H$94:$H$99))&gt;0)*(SUMIF($D$94:$D$99,TableBOM[Product ID],$H$94:$H$99))*TableBOM[Per 1000 Units]),0)),"-")</f>
        <v>120418</v>
      </c>
      <c r="I104" s="190" t="str">
        <f t="shared" si="8"/>
        <v>SHORTAGE</v>
      </c>
      <c r="J104" s="253" t="str">
        <f>IF(LEN(IF((COUNTIFS(TableBOM[Product ID],$D$94,TableBOM[Item ID],$A104)&gt;0)*($H$94&gt;0),$C$94&amp;", ","") &amp; IF((COUNTIFS(TableBOM[Product ID],$D$95,TableBOM[Item ID],$A104)&gt;0)*($H$95&gt;0),$C$95&amp;", ","") &amp; IF((COUNTIFS(TableBOM[Product ID],$D$96,TableBOM[Item ID],$A104)&gt;0)*($H$96&gt;0),$C$96&amp;", ","") &amp; IF((COUNTIFS(TableBOM[Product ID],$D$97,TableBOM[Item ID],$A104)&gt;0)*($H$97&gt;0),$C$97&amp;", ","") &amp; IF((COUNTIFS(TableBOM[Product ID],$D$98,TableBOM[Item ID],$A104)&gt;0)*($H$98&gt;0),$C$98&amp;", ","") &amp; IF((COUNTIFS(TableBOM[Product ID],$D$99,TableBOM[Item ID],$A104)&gt;0)*($H$99&gt;0),$C$99&amp;", ",""))&gt;1,LEFT(IF((COUNTIFS(TableBOM[Product ID],$D$94,TableBOM[Item ID],$A104)&gt;0)*($H$94&gt;0),$C$94&amp;", ","") &amp; IF((COUNTIFS(TableBOM[Product ID],$D$95,TableBOM[Item ID],$A104)&gt;0)*($H$95&gt;0),$C$95&amp;", ","") &amp; IF((COUNTIFS(TableBOM[Product ID],$D$96,TableBOM[Item ID],$A104)&gt;0)*($H$96&gt;0),$C$96&amp;", ","") &amp; IF((COUNTIFS(TableBOM[Product ID],$D$97,TableBOM[Item ID],$A104)&gt;0)*($H$97&gt;0),$C$97&amp;", ","") &amp; IF((COUNTIFS(TableBOM[Product ID],$D$98,TableBOM[Item ID],$A104)&gt;0)*($H$98&gt;0),$C$98&amp;", ","") &amp; IF((COUNTIFS(TableBOM[Product ID],$D$99,TableBOM[Item ID],$A104)&gt;0)*($H$99&gt;0),$C$99&amp;", ",""),LEN(IF((COUNTIFS(TableBOM[Product ID],$D$94,TableBOM[Item ID],$A104)&gt;0)*($H$94&gt;0),$C$94&amp;", ","") &amp; IF((COUNTIFS(TableBOM[Product ID],$D$95,TableBOM[Item ID],$A104)&gt;0)*($H$95&gt;0),$C$95&amp;", ","") &amp; IF((COUNTIFS(TableBOM[Product ID],$D$96,TableBOM[Item ID],$A104)&gt;0)*($H$96&gt;0),$C$96&amp;", ","") &amp; IF((COUNTIFS(TableBOM[Product ID],$D$97,TableBOM[Item ID],$A104)&gt;0)*($H$97&gt;0),$C$97&amp;", ","") &amp; IF((COUNTIFS(TableBOM[Product ID],$D$98,TableBOM[Item ID],$A104)&gt;0)*($H$98&gt;0),$C$98&amp;", ","") &amp; IF((COUNTIFS(TableBOM[Product ID],$D$99,TableBOM[Item ID],$A104)&gt;0)*($H$99&gt;0),$C$99&amp;", ",""))-2),"")</f>
        <v>Samsol Yellow 120ml, Samsol Yellow 200ml</v>
      </c>
    </row>
    <row r="105" spans="1:18" ht="15" customHeight="1" x14ac:dyDescent="0.25">
      <c r="A105" s="266">
        <v>5816</v>
      </c>
      <c r="B105" s="181" t="s">
        <v>289</v>
      </c>
      <c r="C105" s="189" t="s">
        <v>126</v>
      </c>
      <c r="D105" s="16" t="s">
        <v>15</v>
      </c>
      <c r="E105" s="183">
        <f>SUMPRODUCT((TableBOM[Item ID]=A105)*TableBOM[Per 1000 Units]*(1+TableBOM[Scrap %])*SUMIF($D$94:$D$99,TableBOM[Product ID],$H$94:$H$99)/1000)</f>
        <v>15.524999999999999</v>
      </c>
      <c r="F105" s="183">
        <f>IFERROR(INDEX(TableInventory[Store Balance],MATCH(A105,TableInventory[Item ID],0)),0)+IFERROR(INDEX(TableInventory[Work In Process],MATCH(A105,TableInventory[Item ID],0)),0)</f>
        <v>25</v>
      </c>
      <c r="G105" s="183">
        <f t="shared" si="7"/>
        <v>9.4750000000000014</v>
      </c>
      <c r="H105" s="212">
        <f>IFERROR(IF(SUMPRODUCT((TableBOM[Item ID]=A105)*((SUMIF($D$94:$D$99,TableBOM[Product ID],$H$94:$H$99))&gt;0)*(SUMIF($D$94:$D$99,TableBOM[Product ID],$H$94:$H$99))*TableBOM[Per 1000 Units])=0,"-",ROUND(F105*1000*SUMPRODUCT((TableBOM[Item ID]=A105)*((SUMIF($D$94:$D$99,TableBOM[Product ID],$H$94:$H$99))&gt;0)*(SUMIF($D$94:$D$99,TableBOM[Product ID],$H$94:$H$99)))/SUMPRODUCT((TableBOM[Item ID]=A105)*((SUMIF($D$94:$D$99,TableBOM[Product ID],$H$94:$H$99))&gt;0)*(SUMIF($D$94:$D$99,TableBOM[Product ID],$H$94:$H$99))*TableBOM[Per 1000 Units]),0)),"-")</f>
        <v>27778</v>
      </c>
      <c r="I105" s="190" t="str">
        <f t="shared" si="8"/>
        <v>OK</v>
      </c>
      <c r="J105" s="253" t="str">
        <f>IF(LEN(IF((COUNTIFS(TableBOM[Product ID],$D$94,TableBOM[Item ID],$A105)&gt;0)*($H$94&gt;0),$C$94&amp;", ","") &amp; IF((COUNTIFS(TableBOM[Product ID],$D$95,TableBOM[Item ID],$A105)&gt;0)*($H$95&gt;0),$C$95&amp;", ","") &amp; IF((COUNTIFS(TableBOM[Product ID],$D$96,TableBOM[Item ID],$A105)&gt;0)*($H$96&gt;0),$C$96&amp;", ","") &amp; IF((COUNTIFS(TableBOM[Product ID],$D$97,TableBOM[Item ID],$A105)&gt;0)*($H$97&gt;0),$C$97&amp;", ","") &amp; IF((COUNTIFS(TableBOM[Product ID],$D$98,TableBOM[Item ID],$A105)&gt;0)*($H$98&gt;0),$C$98&amp;", ","") &amp; IF((COUNTIFS(TableBOM[Product ID],$D$99,TableBOM[Item ID],$A105)&gt;0)*($H$99&gt;0),$C$99&amp;", ",""))&gt;1,LEFT(IF((COUNTIFS(TableBOM[Product ID],$D$94,TableBOM[Item ID],$A105)&gt;0)*($H$94&gt;0),$C$94&amp;", ","") &amp; IF((COUNTIFS(TableBOM[Product ID],$D$95,TableBOM[Item ID],$A105)&gt;0)*($H$95&gt;0),$C$95&amp;", ","") &amp; IF((COUNTIFS(TableBOM[Product ID],$D$96,TableBOM[Item ID],$A105)&gt;0)*($H$96&gt;0),$C$96&amp;", ","") &amp; IF((COUNTIFS(TableBOM[Product ID],$D$97,TableBOM[Item ID],$A105)&gt;0)*($H$97&gt;0),$C$97&amp;", ","") &amp; IF((COUNTIFS(TableBOM[Product ID],$D$98,TableBOM[Item ID],$A105)&gt;0)*($H$98&gt;0),$C$98&amp;", ","") &amp; IF((COUNTIFS(TableBOM[Product ID],$D$99,TableBOM[Item ID],$A105)&gt;0)*($H$99&gt;0),$C$99&amp;", ",""),LEN(IF((COUNTIFS(TableBOM[Product ID],$D$94,TableBOM[Item ID],$A105)&gt;0)*($H$94&gt;0),$C$94&amp;", ","") &amp; IF((COUNTIFS(TableBOM[Product ID],$D$95,TableBOM[Item ID],$A105)&gt;0)*($H$95&gt;0),$C$95&amp;", ","") &amp; IF((COUNTIFS(TableBOM[Product ID],$D$96,TableBOM[Item ID],$A105)&gt;0)*($H$96&gt;0),$C$96&amp;", ","") &amp; IF((COUNTIFS(TableBOM[Product ID],$D$97,TableBOM[Item ID],$A105)&gt;0)*($H$97&gt;0),$C$97&amp;", ","") &amp; IF((COUNTIFS(TableBOM[Product ID],$D$98,TableBOM[Item ID],$A105)&gt;0)*($H$98&gt;0),$C$98&amp;", ","") &amp; IF((COUNTIFS(TableBOM[Product ID],$D$99,TableBOM[Item ID],$A105)&gt;0)*($H$99&gt;0),$C$99&amp;", ",""))-2),"")</f>
        <v>Mablay 130ml White</v>
      </c>
    </row>
    <row r="106" spans="1:18" x14ac:dyDescent="0.25">
      <c r="A106" s="266">
        <v>5977</v>
      </c>
      <c r="B106" s="181" t="s">
        <v>73</v>
      </c>
      <c r="C106" s="189" t="s">
        <v>81</v>
      </c>
      <c r="D106" s="16" t="s">
        <v>51</v>
      </c>
      <c r="E106" s="183">
        <f>SUMPRODUCT((TableBOM[Item ID]=A106)*TableBOM[Per 1000 Units]*(1+TableBOM[Scrap %])*SUMIF($D$94:$D$99,TableBOM[Product ID],$H$94:$H$99)/1000)</f>
        <v>857.3157240999999</v>
      </c>
      <c r="F106" s="183">
        <f>IFERROR(INDEX(TableInventory[Store Balance],MATCH(A106,TableInventory[Item ID],0)),0)+IFERROR(INDEX(TableInventory[Work In Process],MATCH(A106,TableInventory[Item ID],0)),0)</f>
        <v>212</v>
      </c>
      <c r="G106" s="183">
        <f t="shared" si="7"/>
        <v>-645.3157240999999</v>
      </c>
      <c r="H106" s="212">
        <f>IFERROR(IF(SUMPRODUCT((TableBOM[Item ID]=A106)*((SUMIF($D$94:$D$99,TableBOM[Product ID],$H$94:$H$99))&gt;0)*(SUMIF($D$94:$D$99,TableBOM[Product ID],$H$94:$H$99))*TableBOM[Per 1000 Units])=0,"-",ROUND(F106*1000*SUMPRODUCT((TableBOM[Item ID]=A106)*((SUMIF($D$94:$D$99,TableBOM[Product ID],$H$94:$H$99))&gt;0)*(SUMIF($D$94:$D$99,TableBOM[Product ID],$H$94:$H$99)))/SUMPRODUCT((TableBOM[Item ID]=A106)*((SUMIF($D$94:$D$99,TableBOM[Product ID],$H$94:$H$99))&gt;0)*(SUMIF($D$94:$D$99,TableBOM[Product ID],$H$94:$H$99))*TableBOM[Per 1000 Units]),0)),"-")</f>
        <v>188963</v>
      </c>
      <c r="I106" s="190" t="str">
        <f t="shared" si="8"/>
        <v>SHORTAGE</v>
      </c>
      <c r="J106" s="210" t="str">
        <f>IF(LEN(IF((COUNTIFS(TableBOM[Product ID],$D$94,TableBOM[Item ID],$A106)&gt;0)*($H$94&gt;0),$C$94&amp;", ","") &amp; IF((COUNTIFS(TableBOM[Product ID],$D$95,TableBOM[Item ID],$A106)&gt;0)*($H$95&gt;0),$C$95&amp;", ","") &amp; IF((COUNTIFS(TableBOM[Product ID],$D$96,TableBOM[Item ID],$A106)&gt;0)*($H$96&gt;0),$C$96&amp;", ","") &amp; IF((COUNTIFS(TableBOM[Product ID],$D$97,TableBOM[Item ID],$A106)&gt;0)*($H$97&gt;0),$C$97&amp;", ","") &amp; IF((COUNTIFS(TableBOM[Product ID],$D$98,TableBOM[Item ID],$A106)&gt;0)*($H$98&gt;0),$C$98&amp;", ","") &amp; IF((COUNTIFS(TableBOM[Product ID],$D$99,TableBOM[Item ID],$A106)&gt;0)*($H$99&gt;0),$C$99&amp;", ",""))&gt;1,LEFT(IF((COUNTIFS(TableBOM[Product ID],$D$94,TableBOM[Item ID],$A106)&gt;0)*($H$94&gt;0),$C$94&amp;", ","") &amp; IF((COUNTIFS(TableBOM[Product ID],$D$95,TableBOM[Item ID],$A106)&gt;0)*($H$95&gt;0),$C$95&amp;", ","") &amp; IF((COUNTIFS(TableBOM[Product ID],$D$96,TableBOM[Item ID],$A106)&gt;0)*($H$96&gt;0),$C$96&amp;", ","") &amp; IF((COUNTIFS(TableBOM[Product ID],$D$97,TableBOM[Item ID],$A106)&gt;0)*($H$97&gt;0),$C$97&amp;", ","") &amp; IF((COUNTIFS(TableBOM[Product ID],$D$98,TableBOM[Item ID],$A106)&gt;0)*($H$98&gt;0),$C$98&amp;", ","") &amp; IF((COUNTIFS(TableBOM[Product ID],$D$99,TableBOM[Item ID],$A106)&gt;0)*($H$99&gt;0),$C$99&amp;", ",""),LEN(IF((COUNTIFS(TableBOM[Product ID],$D$94,TableBOM[Item ID],$A106)&gt;0)*($H$94&gt;0),$C$94&amp;", ","") &amp; IF((COUNTIFS(TableBOM[Product ID],$D$95,TableBOM[Item ID],$A106)&gt;0)*($H$95&gt;0),$C$95&amp;", ","") &amp; IF((COUNTIFS(TableBOM[Product ID],$D$96,TableBOM[Item ID],$A106)&gt;0)*($H$96&gt;0),$C$96&amp;", ","") &amp; IF((COUNTIFS(TableBOM[Product ID],$D$97,TableBOM[Item ID],$A106)&gt;0)*($H$97&gt;0),$C$97&amp;", ","") &amp; IF((COUNTIFS(TableBOM[Product ID],$D$98,TableBOM[Item ID],$A106)&gt;0)*($H$98&gt;0),$C$98&amp;", ","") &amp; IF((COUNTIFS(TableBOM[Product ID],$D$99,TableBOM[Item ID],$A106)&gt;0)*($H$99&gt;0),$C$99&amp;", ",""))-2),"")</f>
        <v>Mablay 130ml White, Mablay 130ml TRP, Alpha 150ml TRP, Horizon 150ml TRP</v>
      </c>
    </row>
    <row r="107" spans="1:18" x14ac:dyDescent="0.25">
      <c r="A107" s="266">
        <v>2267</v>
      </c>
      <c r="B107" s="181" t="s">
        <v>130</v>
      </c>
      <c r="C107" s="189" t="s">
        <v>131</v>
      </c>
      <c r="D107" s="16" t="s">
        <v>51</v>
      </c>
      <c r="E107" s="183">
        <f>SUMPRODUCT((TableBOM[Item ID]=A107)*TableBOM[Per 1000 Units]*(1+TableBOM[Scrap %])*SUMIF($D$94:$D$99,TableBOM[Product ID],$H$94:$H$99)/1000)</f>
        <v>7396.5754647999993</v>
      </c>
      <c r="F107" s="183">
        <f>IFERROR(INDEX(TableInventory[Store Balance],MATCH(A107,TableInventory[Item ID],0)),0)+IFERROR(INDEX(TableInventory[Work In Process],MATCH(A107,TableInventory[Item ID],0)),0)</f>
        <v>182</v>
      </c>
      <c r="G107" s="183">
        <f t="shared" si="7"/>
        <v>-7214.5754647999993</v>
      </c>
      <c r="H107" s="212">
        <f>IFERROR(IF(SUMPRODUCT((TableBOM[Item ID]=A107)*((SUMIF($D$94:$D$99,TableBOM[Product ID],$H$94:$H$99))&gt;0)*(SUMIF($D$94:$D$99,TableBOM[Product ID],$H$94:$H$99))*TableBOM[Per 1000 Units])=0,"-",ROUND(F107*1000*SUMPRODUCT((TableBOM[Item ID]=A107)*((SUMIF($D$94:$D$99,TableBOM[Product ID],$H$94:$H$99))&gt;0)*(SUMIF($D$94:$D$99,TableBOM[Product ID],$H$94:$H$99)))/SUMPRODUCT((TableBOM[Item ID]=A107)*((SUMIF($D$94:$D$99,TableBOM[Product ID],$H$94:$H$99))&gt;0)*(SUMIF($D$94:$D$99,TableBOM[Product ID],$H$94:$H$99))*TableBOM[Per 1000 Units]),0)),"-")</f>
        <v>20845</v>
      </c>
      <c r="I107" s="190" t="str">
        <f t="shared" si="8"/>
        <v>SHORTAGE</v>
      </c>
      <c r="J107" s="210" t="str">
        <f>IF(LEN(IF((COUNTIFS(TableBOM[Product ID],$D$94,TableBOM[Item ID],$A107)&gt;0)*($H$94&gt;0),$C$94&amp;", ","") &amp; IF((COUNTIFS(TableBOM[Product ID],$D$95,TableBOM[Item ID],$A107)&gt;0)*($H$95&gt;0),$C$95&amp;", ","") &amp; IF((COUNTIFS(TableBOM[Product ID],$D$96,TableBOM[Item ID],$A107)&gt;0)*($H$96&gt;0),$C$96&amp;", ","") &amp; IF((COUNTIFS(TableBOM[Product ID],$D$97,TableBOM[Item ID],$A107)&gt;0)*($H$97&gt;0),$C$97&amp;", ","") &amp; IF((COUNTIFS(TableBOM[Product ID],$D$98,TableBOM[Item ID],$A107)&gt;0)*($H$98&gt;0),$C$98&amp;", ","") &amp; IF((COUNTIFS(TableBOM[Product ID],$D$99,TableBOM[Item ID],$A107)&gt;0)*($H$99&gt;0),$C$99&amp;", ",""))&gt;1,LEFT(IF((COUNTIFS(TableBOM[Product ID],$D$94,TableBOM[Item ID],$A107)&gt;0)*($H$94&gt;0),$C$94&amp;", ","") &amp; IF((COUNTIFS(TableBOM[Product ID],$D$95,TableBOM[Item ID],$A107)&gt;0)*($H$95&gt;0),$C$95&amp;", ","") &amp; IF((COUNTIFS(TableBOM[Product ID],$D$96,TableBOM[Item ID],$A107)&gt;0)*($H$96&gt;0),$C$96&amp;", ","") &amp; IF((COUNTIFS(TableBOM[Product ID],$D$97,TableBOM[Item ID],$A107)&gt;0)*($H$97&gt;0),$C$97&amp;", ","") &amp; IF((COUNTIFS(TableBOM[Product ID],$D$98,TableBOM[Item ID],$A107)&gt;0)*($H$98&gt;0),$C$98&amp;", ","") &amp; IF((COUNTIFS(TableBOM[Product ID],$D$99,TableBOM[Item ID],$A107)&gt;0)*($H$99&gt;0),$C$99&amp;", ",""),LEN(IF((COUNTIFS(TableBOM[Product ID],$D$94,TableBOM[Item ID],$A107)&gt;0)*($H$94&gt;0),$C$94&amp;", ","") &amp; IF((COUNTIFS(TableBOM[Product ID],$D$95,TableBOM[Item ID],$A107)&gt;0)*($H$95&gt;0),$C$95&amp;", ","") &amp; IF((COUNTIFS(TableBOM[Product ID],$D$96,TableBOM[Item ID],$A107)&gt;0)*($H$96&gt;0),$C$96&amp;", ","") &amp; IF((COUNTIFS(TableBOM[Product ID],$D$97,TableBOM[Item ID],$A107)&gt;0)*($H$97&gt;0),$C$97&amp;", ","") &amp; IF((COUNTIFS(TableBOM[Product ID],$D$98,TableBOM[Item ID],$A107)&gt;0)*($H$98&gt;0),$C$98&amp;", ","") &amp; IF((COUNTIFS(TableBOM[Product ID],$D$99,TableBOM[Item ID],$A107)&gt;0)*($H$99&gt;0),$C$99&amp;", ",""))-2),"")</f>
        <v>Samsol Yellow 120ml, Mablay 130ml White, Mablay 130ml TRP, Alpha 150ml TRP, Horizon 150ml TRP</v>
      </c>
    </row>
    <row r="108" spans="1:18" s="252" customFormat="1" x14ac:dyDescent="0.25">
      <c r="A108" s="266">
        <v>3006</v>
      </c>
      <c r="B108" s="250" t="s">
        <v>130</v>
      </c>
      <c r="C108" s="33" t="s">
        <v>132</v>
      </c>
      <c r="D108" s="16" t="s">
        <v>51</v>
      </c>
      <c r="E108" s="17">
        <f>SUMPRODUCT((TableBOM[Item ID]=A108)*TableBOM[Per 1000 Units]*(1+TableBOM[Scrap %])*SUMIF($D$94:$D$99,TableBOM[Product ID],$H$94:$H$99)/1000)</f>
        <v>450.39865000000003</v>
      </c>
      <c r="F108" s="17">
        <f>IFERROR(INDEX(TableInventory[Store Balance],MATCH(A108,TableInventory[Item ID],0)),0)+IFERROR(INDEX(TableInventory[Work In Process],MATCH(A108,TableInventory[Item ID],0)),0)</f>
        <v>232</v>
      </c>
      <c r="G108" s="17">
        <f t="shared" si="7"/>
        <v>-218.39865000000003</v>
      </c>
      <c r="H108" s="251">
        <f>IFERROR(IF(SUMPRODUCT((TableBOM[Item ID]=A108)*((SUMIF($D$94:$D$99,TableBOM[Product ID],$H$94:$H$99))&gt;0)*(SUMIF($D$94:$D$99,TableBOM[Product ID],$H$94:$H$99))*TableBOM[Per 1000 Units])=0,"-",ROUND(F108*1000*SUMPRODUCT((TableBOM[Item ID]=A108)*((SUMIF($D$94:$D$99,TableBOM[Product ID],$H$94:$H$99))&gt;0)*(SUMIF($D$94:$D$99,TableBOM[Product ID],$H$94:$H$99)))/SUMPRODUCT((TableBOM[Item ID]=A108)*((SUMIF($D$94:$D$99,TableBOM[Product ID],$H$94:$H$99))&gt;0)*(SUMIF($D$94:$D$99,TableBOM[Product ID],$H$94:$H$99))*TableBOM[Per 1000 Units]),0)),"-")</f>
        <v>27841</v>
      </c>
      <c r="I108" s="33" t="str">
        <f t="shared" si="8"/>
        <v>SHORTAGE</v>
      </c>
      <c r="J108" s="253" t="str">
        <f>IF(LEN(IF((COUNTIFS(TableBOM[Product ID],$D$94,TableBOM[Item ID],$A108)&gt;0)*($H$94&gt;0),$C$94&amp;", ","") &amp; IF((COUNTIFS(TableBOM[Product ID],$D$95,TableBOM[Item ID],$A108)&gt;0)*($H$95&gt;0),$C$95&amp;", ","") &amp; IF((COUNTIFS(TableBOM[Product ID],$D$96,TableBOM[Item ID],$A108)&gt;0)*($H$96&gt;0),$C$96&amp;", ","") &amp; IF((COUNTIFS(TableBOM[Product ID],$D$97,TableBOM[Item ID],$A108)&gt;0)*($H$97&gt;0),$C$97&amp;", ","") &amp; IF((COUNTIFS(TableBOM[Product ID],$D$98,TableBOM[Item ID],$A108)&gt;0)*($H$98&gt;0),$C$98&amp;", ","") &amp; IF((COUNTIFS(TableBOM[Product ID],$D$99,TableBOM[Item ID],$A108)&gt;0)*($H$99&gt;0),$C$99&amp;", ",""))&gt;1,LEFT(IF((COUNTIFS(TableBOM[Product ID],$D$94,TableBOM[Item ID],$A108)&gt;0)*($H$94&gt;0),$C$94&amp;", ","") &amp; IF((COUNTIFS(TableBOM[Product ID],$D$95,TableBOM[Item ID],$A108)&gt;0)*($H$95&gt;0),$C$95&amp;", ","") &amp; IF((COUNTIFS(TableBOM[Product ID],$D$96,TableBOM[Item ID],$A108)&gt;0)*($H$96&gt;0),$C$96&amp;", ","") &amp; IF((COUNTIFS(TableBOM[Product ID],$D$97,TableBOM[Item ID],$A108)&gt;0)*($H$97&gt;0),$C$97&amp;", ","") &amp; IF((COUNTIFS(TableBOM[Product ID],$D$98,TableBOM[Item ID],$A108)&gt;0)*($H$98&gt;0),$C$98&amp;", ","") &amp; IF((COUNTIFS(TableBOM[Product ID],$D$99,TableBOM[Item ID],$A108)&gt;0)*($H$99&gt;0),$C$99&amp;", ",""),LEN(IF((COUNTIFS(TableBOM[Product ID],$D$94,TableBOM[Item ID],$A108)&gt;0)*($H$94&gt;0),$C$94&amp;", ","") &amp; IF((COUNTIFS(TableBOM[Product ID],$D$95,TableBOM[Item ID],$A108)&gt;0)*($H$95&gt;0),$C$95&amp;", ","") &amp; IF((COUNTIFS(TableBOM[Product ID],$D$96,TableBOM[Item ID],$A108)&gt;0)*($H$96&gt;0),$C$96&amp;", ","") &amp; IF((COUNTIFS(TableBOM[Product ID],$D$97,TableBOM[Item ID],$A108)&gt;0)*($H$97&gt;0),$C$97&amp;", ","") &amp; IF((COUNTIFS(TableBOM[Product ID],$D$98,TableBOM[Item ID],$A108)&gt;0)*($H$98&gt;0),$C$98&amp;", ","") &amp; IF((COUNTIFS(TableBOM[Product ID],$D$99,TableBOM[Item ID],$A108)&gt;0)*($H$99&gt;0),$C$99&amp;", ",""))-2),"")</f>
        <v>Samsol Yellow 200ml</v>
      </c>
    </row>
    <row r="109" spans="1:18" x14ac:dyDescent="0.25">
      <c r="A109" s="266">
        <v>3043</v>
      </c>
      <c r="B109" s="181" t="s">
        <v>292</v>
      </c>
      <c r="C109" s="189" t="s">
        <v>138</v>
      </c>
      <c r="D109" s="16" t="s">
        <v>139</v>
      </c>
      <c r="E109" s="183">
        <f>SUMPRODUCT((TableBOM[Item ID]=A109)*TableBOM[Per 1000 Units]*(1+TableBOM[Scrap %])*SUMIF($D$94:$D$99,TableBOM[Product ID],$H$94:$H$99)/1000)</f>
        <v>4.5059414999999987</v>
      </c>
      <c r="F109" s="183">
        <f>IFERROR(INDEX(TableInventory[Store Balance],MATCH(A109,TableInventory[Item ID],0)),0)+IFERROR(INDEX(TableInventory[Work In Process],MATCH(A109,TableInventory[Item ID],0)),0)</f>
        <v>0</v>
      </c>
      <c r="G109" s="183">
        <f t="shared" si="7"/>
        <v>-4.5059414999999987</v>
      </c>
      <c r="H109" s="212">
        <f>IFERROR(IF(SUMPRODUCT((TableBOM[Item ID]=A109)*((SUMIF($D$94:$D$99,TableBOM[Product ID],$H$94:$H$99))&gt;0)*(SUMIF($D$94:$D$99,TableBOM[Product ID],$H$94:$H$99))*TableBOM[Per 1000 Units])=0,"-",ROUND(F109*1000*SUMPRODUCT((TableBOM[Item ID]=A109)*((SUMIF($D$94:$D$99,TableBOM[Product ID],$H$94:$H$99))&gt;0)*(SUMIF($D$94:$D$99,TableBOM[Product ID],$H$94:$H$99)))/SUMPRODUCT((TableBOM[Item ID]=A109)*((SUMIF($D$94:$D$99,TableBOM[Product ID],$H$94:$H$99))&gt;0)*(SUMIF($D$94:$D$99,TableBOM[Product ID],$H$94:$H$99))*TableBOM[Per 1000 Units]),0)),"-")</f>
        <v>0</v>
      </c>
      <c r="I109" s="189" t="str">
        <f t="shared" si="8"/>
        <v>SHORTAGE</v>
      </c>
      <c r="J109" s="210" t="str">
        <f>IF(LEN(IF((COUNTIFS(TableBOM[Product ID],$D$94,TableBOM[Item ID],$A109)&gt;0)*($H$94&gt;0),$C$94&amp;", ","") &amp; IF((COUNTIFS(TableBOM[Product ID],$D$95,TableBOM[Item ID],$A109)&gt;0)*($H$95&gt;0),$C$95&amp;", ","") &amp; IF((COUNTIFS(TableBOM[Product ID],$D$96,TableBOM[Item ID],$A109)&gt;0)*($H$96&gt;0),$C$96&amp;", ","") &amp; IF((COUNTIFS(TableBOM[Product ID],$D$97,TableBOM[Item ID],$A109)&gt;0)*($H$97&gt;0),$C$97&amp;", ","") &amp; IF((COUNTIFS(TableBOM[Product ID],$D$98,TableBOM[Item ID],$A109)&gt;0)*($H$98&gt;0),$C$98&amp;", ","") &amp; IF((COUNTIFS(TableBOM[Product ID],$D$99,TableBOM[Item ID],$A109)&gt;0)*($H$99&gt;0),$C$99&amp;", ",""))&gt;1,LEFT(IF((COUNTIFS(TableBOM[Product ID],$D$94,TableBOM[Item ID],$A109)&gt;0)*($H$94&gt;0),$C$94&amp;", ","") &amp; IF((COUNTIFS(TableBOM[Product ID],$D$95,TableBOM[Item ID],$A109)&gt;0)*($H$95&gt;0),$C$95&amp;", ","") &amp; IF((COUNTIFS(TableBOM[Product ID],$D$96,TableBOM[Item ID],$A109)&gt;0)*($H$96&gt;0),$C$96&amp;", ","") &amp; IF((COUNTIFS(TableBOM[Product ID],$D$97,TableBOM[Item ID],$A109)&gt;0)*($H$97&gt;0),$C$97&amp;", ","") &amp; IF((COUNTIFS(TableBOM[Product ID],$D$98,TableBOM[Item ID],$A109)&gt;0)*($H$98&gt;0),$C$98&amp;", ","") &amp; IF((COUNTIFS(TableBOM[Product ID],$D$99,TableBOM[Item ID],$A109)&gt;0)*($H$99&gt;0),$C$99&amp;", ",""),LEN(IF((COUNTIFS(TableBOM[Product ID],$D$94,TableBOM[Item ID],$A109)&gt;0)*($H$94&gt;0),$C$94&amp;", ","") &amp; IF((COUNTIFS(TableBOM[Product ID],$D$95,TableBOM[Item ID],$A109)&gt;0)*($H$95&gt;0),$C$95&amp;", ","") &amp; IF((COUNTIFS(TableBOM[Product ID],$D$96,TableBOM[Item ID],$A109)&gt;0)*($H$96&gt;0),$C$96&amp;", ","") &amp; IF((COUNTIFS(TableBOM[Product ID],$D$97,TableBOM[Item ID],$A109)&gt;0)*($H$97&gt;0),$C$97&amp;", ","") &amp; IF((COUNTIFS(TableBOM[Product ID],$D$98,TableBOM[Item ID],$A109)&gt;0)*($H$98&gt;0),$C$98&amp;", ","") &amp; IF((COUNTIFS(TableBOM[Product ID],$D$99,TableBOM[Item ID],$A109)&gt;0)*($H$99&gt;0),$C$99&amp;", ",""))-2),"")</f>
        <v>Samsol Yellow 120ml, Mablay 130ml White, Mablay 130ml TRP, Alpha 150ml TRP, Horizon 150ml TRP, Samsol Yellow 200ml</v>
      </c>
    </row>
  </sheetData>
  <autoFilter ref="B6:J90" xr:uid="{00000000-0009-0000-0000-000001000000}">
    <filterColumn colId="3">
      <filters blank="1">
        <filter val="1"/>
        <filter val="1,166"/>
        <filter val="109,607"/>
        <filter val="23"/>
        <filter val="25,500"/>
        <filter val="36"/>
        <filter val="41"/>
        <filter val="612"/>
        <filter val="98"/>
        <filter val="Required Qty"/>
      </filters>
    </filterColumn>
  </autoFilter>
  <conditionalFormatting sqref="K3">
    <cfRule type="cellIs" dxfId="5" priority="10" operator="equal">
      <formula>"OK"</formula>
    </cfRule>
    <cfRule type="cellIs" dxfId="4" priority="11" operator="equal">
      <formula>"LOW"</formula>
    </cfRule>
    <cfRule type="cellIs" dxfId="3" priority="12" operator="equal">
      <formula>"SHORTAGE"</formula>
    </cfRule>
  </conditionalFormatting>
  <dataValidations count="3">
    <dataValidation type="list" allowBlank="1" sqref="H2:I3 I3:I5 I7 I9:I12 I15 I17:I18 I20:I22 I24:I30 I33 I92" xr:uid="{00000000-0002-0000-0100-000000000000}">
      <formula1>"Confirmed,1st Week,2nd Week,Tentative,In Process,Initial Stage,Completed,Cancelled"</formula1>
      <formula2>0</formula2>
    </dataValidation>
    <dataValidation type="list" allowBlank="1" sqref="B3:B12 C3" xr:uid="{00000000-0002-0000-0100-000001000000}">
      <formula1>"Alpha Lab,Brookes Pharma,DTM,Golden Pearl,Mabley Beauty,Mega Grey,PBS,Samsol"</formula1>
      <formula2>0</formula2>
    </dataValidation>
    <dataValidation type="list" allowBlank="1" sqref="C3:C12 D3" xr:uid="{00000000-0002-0000-0100-000002000000}">
      <formula1>"CONTRATUBEX GEL 20G,DTM DIA 25MM,EAZICOLOR PREMIUM 60ML,H.H 100GM,HELLO HAIR COLOR,M.G (Mega Grey),PHLOGIN GEL 20G,PYODINE GEL 20GM,S 43 25MM,S-43 DIA 20.5,S-45 DIA 20.5,TRANSPARENT BOTTLE 150ML,TUBES (Samsol 25),V-HC BLACK (Vince),VINCE NURTURAL (VARNISH"</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63"/>
  <sheetViews>
    <sheetView topLeftCell="A30" zoomScaleNormal="100" workbookViewId="0">
      <selection activeCell="I74" sqref="I74"/>
    </sheetView>
  </sheetViews>
  <sheetFormatPr defaultColWidth="8.7109375" defaultRowHeight="15" x14ac:dyDescent="0.25"/>
  <cols>
    <col min="1" max="1" width="20.85546875" customWidth="1"/>
    <col min="2" max="2" width="14" customWidth="1"/>
    <col min="3" max="3" width="34" style="3" customWidth="1"/>
    <col min="4" max="4" width="21.7109375" style="3" customWidth="1"/>
    <col min="5" max="6" width="12" customWidth="1"/>
    <col min="7" max="7" width="14" customWidth="1"/>
    <col min="8" max="8" width="20" customWidth="1"/>
    <col min="9" max="9" width="12.85546875" customWidth="1"/>
    <col min="10" max="10" width="10" customWidth="1"/>
    <col min="11" max="12" width="14" customWidth="1"/>
    <col min="13" max="13" width="18" customWidth="1"/>
    <col min="14" max="15" width="14" customWidth="1"/>
    <col min="16" max="16" width="18" customWidth="1"/>
    <col min="17" max="17" width="17.140625" customWidth="1"/>
    <col min="18" max="18" width="16" customWidth="1"/>
  </cols>
  <sheetData>
    <row r="1" spans="1:19" ht="15" customHeight="1" x14ac:dyDescent="0.35">
      <c r="A1" s="62" t="s">
        <v>298</v>
      </c>
      <c r="B1" s="62"/>
      <c r="C1" s="62"/>
      <c r="D1" s="62"/>
      <c r="E1" s="62"/>
      <c r="F1" s="62"/>
      <c r="G1" s="62"/>
      <c r="H1" s="62"/>
      <c r="I1" s="62"/>
      <c r="J1" s="62"/>
      <c r="K1" s="62"/>
      <c r="L1" s="62"/>
      <c r="M1" s="62"/>
      <c r="N1" s="62"/>
      <c r="O1" s="62"/>
      <c r="P1" s="62"/>
      <c r="Q1" s="2"/>
    </row>
    <row r="2" spans="1:19" ht="29.25" customHeight="1" x14ac:dyDescent="0.25">
      <c r="A2" s="63" t="s">
        <v>299</v>
      </c>
      <c r="B2" s="64" t="s">
        <v>300</v>
      </c>
      <c r="C2" s="65" t="s">
        <v>157</v>
      </c>
      <c r="D2" s="65" t="s">
        <v>158</v>
      </c>
      <c r="E2" s="64" t="s">
        <v>301</v>
      </c>
      <c r="F2" s="66" t="s">
        <v>251</v>
      </c>
      <c r="G2" s="67" t="s">
        <v>302</v>
      </c>
      <c r="H2" s="67" t="s">
        <v>303</v>
      </c>
      <c r="I2" s="67" t="s">
        <v>304</v>
      </c>
      <c r="J2" s="68" t="s">
        <v>305</v>
      </c>
      <c r="K2" s="64" t="s">
        <v>306</v>
      </c>
      <c r="L2" s="64" t="s">
        <v>307</v>
      </c>
      <c r="M2" s="64" t="s">
        <v>308</v>
      </c>
      <c r="N2" s="64" t="s">
        <v>309</v>
      </c>
      <c r="O2" s="64" t="s">
        <v>310</v>
      </c>
      <c r="P2" s="64" t="s">
        <v>311</v>
      </c>
      <c r="Q2" s="64" t="s">
        <v>312</v>
      </c>
      <c r="R2" s="64" t="s">
        <v>313</v>
      </c>
    </row>
    <row r="3" spans="1:19" ht="15" customHeight="1" x14ac:dyDescent="0.25">
      <c r="A3" s="268">
        <v>46235</v>
      </c>
      <c r="B3" s="267" t="s">
        <v>314</v>
      </c>
      <c r="C3" s="267" t="s">
        <v>173</v>
      </c>
      <c r="D3" s="267" t="s">
        <v>174</v>
      </c>
      <c r="E3" s="267">
        <v>30</v>
      </c>
      <c r="F3" s="267">
        <v>6206</v>
      </c>
      <c r="G3" s="269">
        <v>25000</v>
      </c>
      <c r="H3" s="269">
        <v>24590</v>
      </c>
      <c r="I3" s="269">
        <v>410</v>
      </c>
      <c r="J3" s="270">
        <f t="shared" ref="J3:J34" si="0">IFERROR(I3/(H3+I3),"")</f>
        <v>1.6400000000000001E-2</v>
      </c>
      <c r="K3" s="267"/>
      <c r="L3" s="267"/>
      <c r="M3" s="267"/>
      <c r="N3" s="267"/>
      <c r="O3" s="267"/>
      <c r="P3" s="267"/>
      <c r="Q3" s="267"/>
      <c r="R3" s="267"/>
      <c r="S3" s="267"/>
    </row>
    <row r="4" spans="1:19" ht="15" customHeight="1" x14ac:dyDescent="0.25">
      <c r="A4" s="268">
        <v>46235</v>
      </c>
      <c r="B4" s="267" t="s">
        <v>315</v>
      </c>
      <c r="C4" s="267" t="s">
        <v>173</v>
      </c>
      <c r="D4" s="267" t="s">
        <v>174</v>
      </c>
      <c r="E4" s="267">
        <v>30</v>
      </c>
      <c r="F4" s="267">
        <v>6206</v>
      </c>
      <c r="G4" s="269">
        <v>27132</v>
      </c>
      <c r="H4" s="269">
        <v>27112</v>
      </c>
      <c r="I4" s="269">
        <v>20</v>
      </c>
      <c r="J4" s="270">
        <f t="shared" si="0"/>
        <v>7.3713696004717674E-4</v>
      </c>
      <c r="K4" s="267"/>
      <c r="L4" s="267"/>
      <c r="M4" s="267"/>
      <c r="N4" s="267"/>
      <c r="O4" s="267"/>
      <c r="P4" s="267"/>
      <c r="Q4" s="267"/>
      <c r="R4" s="267"/>
      <c r="S4" s="267"/>
    </row>
    <row r="5" spans="1:19" ht="15" customHeight="1" x14ac:dyDescent="0.25">
      <c r="A5" s="268">
        <v>46235</v>
      </c>
      <c r="B5" s="267" t="s">
        <v>316</v>
      </c>
      <c r="C5" s="267" t="s">
        <v>187</v>
      </c>
      <c r="D5" s="267" t="s">
        <v>317</v>
      </c>
      <c r="E5" s="267" t="s">
        <v>189</v>
      </c>
      <c r="F5" s="267">
        <v>8001</v>
      </c>
      <c r="G5" s="269">
        <v>9650</v>
      </c>
      <c r="H5" s="269">
        <v>9200</v>
      </c>
      <c r="I5" s="269">
        <v>450</v>
      </c>
      <c r="J5" s="270">
        <f t="shared" si="0"/>
        <v>4.6632124352331605E-2</v>
      </c>
      <c r="K5" s="267">
        <v>120</v>
      </c>
      <c r="L5" s="267"/>
      <c r="M5" s="267"/>
      <c r="N5" s="267"/>
      <c r="O5" s="267"/>
      <c r="P5" s="267"/>
      <c r="Q5" s="267"/>
      <c r="R5" s="267"/>
      <c r="S5" s="267"/>
    </row>
    <row r="6" spans="1:19" ht="15" customHeight="1" x14ac:dyDescent="0.25">
      <c r="A6" s="268">
        <v>46235</v>
      </c>
      <c r="B6" s="267" t="s">
        <v>318</v>
      </c>
      <c r="C6" s="267" t="s">
        <v>173</v>
      </c>
      <c r="D6" s="267" t="s">
        <v>174</v>
      </c>
      <c r="E6" s="267">
        <v>30</v>
      </c>
      <c r="F6" s="267">
        <v>6206</v>
      </c>
      <c r="G6" s="269">
        <v>21000</v>
      </c>
      <c r="H6" s="269">
        <v>20850</v>
      </c>
      <c r="I6" s="269">
        <v>150</v>
      </c>
      <c r="J6" s="270">
        <f t="shared" si="0"/>
        <v>7.1428571428571426E-3</v>
      </c>
      <c r="K6" s="267"/>
      <c r="L6" s="267"/>
      <c r="M6" s="267"/>
      <c r="N6" s="267"/>
      <c r="O6" s="267"/>
      <c r="P6" s="267"/>
      <c r="Q6" s="267"/>
      <c r="R6" s="267"/>
      <c r="S6" s="267"/>
    </row>
    <row r="7" spans="1:19" ht="15" customHeight="1" x14ac:dyDescent="0.25">
      <c r="A7" s="268">
        <v>46235</v>
      </c>
      <c r="B7" s="267" t="s">
        <v>319</v>
      </c>
      <c r="C7" s="267" t="s">
        <v>173</v>
      </c>
      <c r="D7" s="267" t="s">
        <v>174</v>
      </c>
      <c r="E7" s="267">
        <v>30</v>
      </c>
      <c r="F7" s="267">
        <v>6206</v>
      </c>
      <c r="G7" s="269">
        <v>24498</v>
      </c>
      <c r="H7" s="269">
        <v>24038</v>
      </c>
      <c r="I7" s="269">
        <v>460</v>
      </c>
      <c r="J7" s="270">
        <f t="shared" si="0"/>
        <v>1.8777043023920321E-2</v>
      </c>
      <c r="K7" s="267"/>
      <c r="L7" s="267"/>
      <c r="M7" s="267"/>
      <c r="N7" s="267"/>
      <c r="O7" s="267"/>
      <c r="P7" s="267"/>
      <c r="Q7" s="267"/>
      <c r="R7" s="267"/>
      <c r="S7" s="267"/>
    </row>
    <row r="8" spans="1:19" ht="15" customHeight="1" x14ac:dyDescent="0.25">
      <c r="A8" s="268">
        <v>46237</v>
      </c>
      <c r="B8" s="267" t="s">
        <v>314</v>
      </c>
      <c r="C8" s="267" t="s">
        <v>173</v>
      </c>
      <c r="D8" s="267" t="s">
        <v>174</v>
      </c>
      <c r="E8" s="267">
        <v>30</v>
      </c>
      <c r="F8" s="267">
        <v>6206</v>
      </c>
      <c r="G8" s="269">
        <v>5000</v>
      </c>
      <c r="H8" s="269">
        <v>4890</v>
      </c>
      <c r="I8" s="269">
        <v>110</v>
      </c>
      <c r="J8" s="270">
        <f t="shared" si="0"/>
        <v>2.1999999999999999E-2</v>
      </c>
      <c r="K8" s="267"/>
      <c r="L8" s="267"/>
      <c r="M8" s="267">
        <v>240</v>
      </c>
      <c r="N8" s="267"/>
      <c r="O8" s="267"/>
      <c r="P8" s="267"/>
      <c r="Q8" s="267"/>
      <c r="R8" s="267"/>
      <c r="S8" s="267"/>
    </row>
    <row r="9" spans="1:19" ht="15" customHeight="1" x14ac:dyDescent="0.25">
      <c r="A9" s="268">
        <v>46237</v>
      </c>
      <c r="B9" s="267" t="s">
        <v>320</v>
      </c>
      <c r="C9" s="267" t="s">
        <v>168</v>
      </c>
      <c r="D9" s="267" t="s">
        <v>169</v>
      </c>
      <c r="E9" s="267">
        <v>25</v>
      </c>
      <c r="F9" s="267">
        <v>5389</v>
      </c>
      <c r="G9" s="269">
        <v>2000</v>
      </c>
      <c r="H9" s="269">
        <v>1965</v>
      </c>
      <c r="I9" s="269">
        <v>35</v>
      </c>
      <c r="J9" s="270">
        <f t="shared" si="0"/>
        <v>1.7500000000000002E-2</v>
      </c>
      <c r="K9" s="267"/>
      <c r="L9" s="267"/>
      <c r="M9" s="267"/>
      <c r="N9" s="267"/>
      <c r="O9" s="267"/>
      <c r="P9" s="267"/>
      <c r="Q9" s="267"/>
      <c r="R9" s="267"/>
      <c r="S9" s="267"/>
    </row>
    <row r="10" spans="1:19" ht="15" customHeight="1" x14ac:dyDescent="0.25">
      <c r="A10" s="268">
        <v>46237</v>
      </c>
      <c r="B10" s="267" t="s">
        <v>315</v>
      </c>
      <c r="C10" s="267" t="s">
        <v>173</v>
      </c>
      <c r="D10" s="267" t="s">
        <v>174</v>
      </c>
      <c r="E10" s="267">
        <v>30</v>
      </c>
      <c r="F10" s="267">
        <v>6206</v>
      </c>
      <c r="G10" s="269">
        <v>4760</v>
      </c>
      <c r="H10" s="269">
        <v>4755</v>
      </c>
      <c r="I10" s="269">
        <v>5</v>
      </c>
      <c r="J10" s="270">
        <f t="shared" si="0"/>
        <v>1.0504201680672268E-3</v>
      </c>
      <c r="K10" s="267"/>
      <c r="L10" s="267"/>
      <c r="M10" s="267"/>
      <c r="N10" s="267"/>
      <c r="O10" s="267">
        <v>300</v>
      </c>
      <c r="P10" s="267"/>
      <c r="Q10" s="267"/>
      <c r="R10" s="267"/>
      <c r="S10" s="267"/>
    </row>
    <row r="11" spans="1:19" ht="15" customHeight="1" x14ac:dyDescent="0.25">
      <c r="A11" s="268">
        <v>46237</v>
      </c>
      <c r="B11" s="267" t="s">
        <v>316</v>
      </c>
      <c r="C11" s="267" t="s">
        <v>187</v>
      </c>
      <c r="D11" s="267" t="s">
        <v>317</v>
      </c>
      <c r="E11" s="267" t="s">
        <v>189</v>
      </c>
      <c r="F11" s="267">
        <v>8001</v>
      </c>
      <c r="G11" s="269">
        <v>0</v>
      </c>
      <c r="H11" s="269">
        <v>0</v>
      </c>
      <c r="I11" s="269">
        <v>0</v>
      </c>
      <c r="J11" s="270" t="str">
        <f t="shared" si="0"/>
        <v/>
      </c>
      <c r="K11" s="267">
        <v>960</v>
      </c>
      <c r="L11" s="267"/>
      <c r="M11" s="267"/>
      <c r="N11" s="267"/>
      <c r="O11" s="267"/>
      <c r="P11" s="267"/>
      <c r="Q11" s="267"/>
      <c r="R11" s="267"/>
      <c r="S11" s="267"/>
    </row>
    <row r="12" spans="1:19" ht="15" customHeight="1" x14ac:dyDescent="0.25">
      <c r="A12" s="268">
        <v>46237</v>
      </c>
      <c r="B12" s="267" t="s">
        <v>318</v>
      </c>
      <c r="C12" s="267" t="s">
        <v>173</v>
      </c>
      <c r="D12" s="267" t="s">
        <v>174</v>
      </c>
      <c r="E12" s="267">
        <v>30</v>
      </c>
      <c r="F12" s="267">
        <v>6206</v>
      </c>
      <c r="G12" s="269">
        <v>3000</v>
      </c>
      <c r="H12" s="269">
        <v>2950</v>
      </c>
      <c r="I12" s="269">
        <v>50</v>
      </c>
      <c r="J12" s="270">
        <f t="shared" si="0"/>
        <v>1.6666666666666666E-2</v>
      </c>
      <c r="K12" s="267"/>
      <c r="L12" s="267"/>
      <c r="M12" s="267"/>
      <c r="N12" s="267"/>
      <c r="O12" s="267"/>
      <c r="P12" s="267"/>
      <c r="Q12" s="267"/>
      <c r="R12" s="267"/>
      <c r="S12" s="267"/>
    </row>
    <row r="13" spans="1:19" ht="15" customHeight="1" x14ac:dyDescent="0.25">
      <c r="A13" s="268">
        <v>46237</v>
      </c>
      <c r="B13" s="267" t="s">
        <v>321</v>
      </c>
      <c r="C13" s="267" t="s">
        <v>168</v>
      </c>
      <c r="D13" s="267" t="s">
        <v>169</v>
      </c>
      <c r="E13" s="267">
        <v>25</v>
      </c>
      <c r="F13" s="267">
        <v>5389</v>
      </c>
      <c r="G13" s="269">
        <v>5000</v>
      </c>
      <c r="H13" s="269">
        <v>4900</v>
      </c>
      <c r="I13" s="269">
        <v>100</v>
      </c>
      <c r="J13" s="270">
        <f t="shared" si="0"/>
        <v>0.02</v>
      </c>
      <c r="K13" s="267"/>
      <c r="L13" s="267"/>
      <c r="M13" s="267">
        <v>300</v>
      </c>
      <c r="N13" s="267"/>
      <c r="O13" s="267"/>
      <c r="P13" s="267"/>
      <c r="Q13" s="267"/>
      <c r="R13" s="267"/>
      <c r="S13" s="267"/>
    </row>
    <row r="14" spans="1:19" ht="15" customHeight="1" x14ac:dyDescent="0.25">
      <c r="A14" s="268">
        <v>46237</v>
      </c>
      <c r="B14" s="267" t="s">
        <v>322</v>
      </c>
      <c r="C14" s="267" t="s">
        <v>168</v>
      </c>
      <c r="D14" s="267" t="s">
        <v>169</v>
      </c>
      <c r="E14" s="267">
        <v>25</v>
      </c>
      <c r="F14" s="267">
        <v>5389</v>
      </c>
      <c r="G14" s="269">
        <v>5872</v>
      </c>
      <c r="H14" s="269">
        <v>5712</v>
      </c>
      <c r="I14" s="269">
        <v>160</v>
      </c>
      <c r="J14" s="270">
        <f t="shared" si="0"/>
        <v>2.7247956403269755E-2</v>
      </c>
      <c r="K14" s="267"/>
      <c r="L14" s="267"/>
      <c r="M14" s="267">
        <v>210</v>
      </c>
      <c r="N14" s="267"/>
      <c r="O14" s="267"/>
      <c r="P14" s="267"/>
      <c r="Q14" s="267"/>
      <c r="R14" s="267"/>
      <c r="S14" s="267"/>
    </row>
    <row r="15" spans="1:19" ht="15" customHeight="1" x14ac:dyDescent="0.25">
      <c r="A15" s="268">
        <v>46237</v>
      </c>
      <c r="B15" s="267" t="s">
        <v>319</v>
      </c>
      <c r="C15" s="267" t="s">
        <v>173</v>
      </c>
      <c r="D15" s="267" t="s">
        <v>174</v>
      </c>
      <c r="E15" s="267">
        <v>30</v>
      </c>
      <c r="F15" s="267">
        <v>6206</v>
      </c>
      <c r="G15" s="269">
        <v>3943</v>
      </c>
      <c r="H15" s="269">
        <v>3808</v>
      </c>
      <c r="I15" s="269">
        <v>135</v>
      </c>
      <c r="J15" s="270">
        <f t="shared" si="0"/>
        <v>3.4237889931524219E-2</v>
      </c>
      <c r="K15" s="267"/>
      <c r="L15" s="267"/>
      <c r="M15" s="267"/>
      <c r="N15" s="267"/>
      <c r="O15" s="267"/>
      <c r="P15" s="267"/>
      <c r="Q15" s="267"/>
      <c r="R15" s="267"/>
      <c r="S15" s="267"/>
    </row>
    <row r="16" spans="1:19" ht="15" customHeight="1" x14ac:dyDescent="0.25">
      <c r="A16" s="268">
        <v>46238</v>
      </c>
      <c r="B16" s="267" t="s">
        <v>314</v>
      </c>
      <c r="C16" s="267" t="s">
        <v>173</v>
      </c>
      <c r="D16" s="267" t="s">
        <v>174</v>
      </c>
      <c r="E16" s="267">
        <v>30</v>
      </c>
      <c r="F16" s="267">
        <v>6206</v>
      </c>
      <c r="G16" s="269">
        <v>15000</v>
      </c>
      <c r="H16" s="269">
        <v>14790</v>
      </c>
      <c r="I16" s="269">
        <v>210</v>
      </c>
      <c r="J16" s="270">
        <f t="shared" si="0"/>
        <v>1.4E-2</v>
      </c>
      <c r="K16" s="267"/>
      <c r="L16" s="267"/>
      <c r="M16" s="267">
        <v>60</v>
      </c>
      <c r="N16" s="267"/>
      <c r="O16" s="267"/>
      <c r="P16" s="267"/>
      <c r="Q16" s="267"/>
      <c r="R16" s="267"/>
      <c r="S16" s="267"/>
    </row>
    <row r="17" spans="1:19" ht="15" customHeight="1" x14ac:dyDescent="0.25">
      <c r="A17" s="268">
        <v>46238</v>
      </c>
      <c r="B17" s="267" t="s">
        <v>320</v>
      </c>
      <c r="C17" s="267" t="s">
        <v>168</v>
      </c>
      <c r="D17" s="267" t="s">
        <v>169</v>
      </c>
      <c r="E17" s="267">
        <v>25</v>
      </c>
      <c r="F17" s="267">
        <v>5389</v>
      </c>
      <c r="G17" s="269">
        <v>2000</v>
      </c>
      <c r="H17" s="269">
        <v>1950</v>
      </c>
      <c r="I17" s="269">
        <v>50</v>
      </c>
      <c r="J17" s="270">
        <f t="shared" si="0"/>
        <v>2.5000000000000001E-2</v>
      </c>
      <c r="K17" s="267"/>
      <c r="L17" s="267"/>
      <c r="M17" s="267"/>
      <c r="N17" s="267"/>
      <c r="O17" s="267"/>
      <c r="P17" s="267"/>
      <c r="Q17" s="267"/>
      <c r="R17" s="267"/>
      <c r="S17" s="267"/>
    </row>
    <row r="18" spans="1:19" ht="15" customHeight="1" x14ac:dyDescent="0.25">
      <c r="A18" s="268">
        <v>46238</v>
      </c>
      <c r="B18" s="267" t="s">
        <v>315</v>
      </c>
      <c r="C18" s="267" t="s">
        <v>173</v>
      </c>
      <c r="D18" s="267" t="s">
        <v>174</v>
      </c>
      <c r="E18" s="267">
        <v>30</v>
      </c>
      <c r="F18" s="267">
        <v>6206</v>
      </c>
      <c r="G18" s="269">
        <v>2856</v>
      </c>
      <c r="H18" s="269">
        <v>2851</v>
      </c>
      <c r="I18" s="269">
        <v>5</v>
      </c>
      <c r="J18" s="270">
        <f t="shared" si="0"/>
        <v>1.7507002801120449E-3</v>
      </c>
      <c r="K18" s="267"/>
      <c r="L18" s="267"/>
      <c r="M18" s="267"/>
      <c r="N18" s="267"/>
      <c r="O18" s="267">
        <v>240</v>
      </c>
      <c r="P18" s="267"/>
      <c r="Q18" s="267"/>
      <c r="R18" s="267"/>
      <c r="S18" s="267"/>
    </row>
    <row r="19" spans="1:19" ht="15" customHeight="1" x14ac:dyDescent="0.25">
      <c r="A19" s="268">
        <v>46238</v>
      </c>
      <c r="B19" s="267" t="s">
        <v>315</v>
      </c>
      <c r="C19" s="267" t="s">
        <v>235</v>
      </c>
      <c r="D19" s="267" t="s">
        <v>236</v>
      </c>
      <c r="E19" s="267">
        <v>35</v>
      </c>
      <c r="F19" s="267">
        <v>6530</v>
      </c>
      <c r="G19" s="269">
        <v>3850</v>
      </c>
      <c r="H19" s="269">
        <v>3845</v>
      </c>
      <c r="I19" s="269">
        <v>5</v>
      </c>
      <c r="J19" s="270">
        <f t="shared" si="0"/>
        <v>1.2987012987012987E-3</v>
      </c>
      <c r="K19" s="267"/>
      <c r="L19" s="267"/>
      <c r="M19" s="267"/>
      <c r="N19" s="267"/>
      <c r="O19" s="267"/>
      <c r="P19" s="267"/>
      <c r="Q19" s="267"/>
      <c r="R19" s="267"/>
      <c r="S19" s="267"/>
    </row>
    <row r="20" spans="1:19" ht="15" customHeight="1" x14ac:dyDescent="0.25">
      <c r="A20" s="268">
        <v>46238</v>
      </c>
      <c r="B20" s="267" t="s">
        <v>316</v>
      </c>
      <c r="C20" s="267" t="s">
        <v>187</v>
      </c>
      <c r="D20" s="267" t="s">
        <v>317</v>
      </c>
      <c r="E20" s="267" t="s">
        <v>189</v>
      </c>
      <c r="F20" s="267">
        <v>8001</v>
      </c>
      <c r="G20" s="269">
        <v>11030</v>
      </c>
      <c r="H20" s="269">
        <v>10350</v>
      </c>
      <c r="I20" s="269">
        <v>680</v>
      </c>
      <c r="J20" s="270">
        <f t="shared" si="0"/>
        <v>6.1650045330915684E-2</v>
      </c>
      <c r="K20" s="267">
        <v>280</v>
      </c>
      <c r="L20" s="267"/>
      <c r="M20" s="267"/>
      <c r="N20" s="267"/>
      <c r="O20" s="267"/>
      <c r="P20" s="267"/>
      <c r="Q20" s="267"/>
      <c r="R20" s="267"/>
      <c r="S20" s="267"/>
    </row>
    <row r="21" spans="1:19" ht="15" customHeight="1" x14ac:dyDescent="0.25">
      <c r="A21" s="268">
        <v>46238</v>
      </c>
      <c r="B21" s="267" t="s">
        <v>321</v>
      </c>
      <c r="C21" s="267" t="s">
        <v>168</v>
      </c>
      <c r="D21" s="267" t="s">
        <v>169</v>
      </c>
      <c r="E21" s="267">
        <v>25</v>
      </c>
      <c r="F21" s="267">
        <v>5389</v>
      </c>
      <c r="G21" s="269">
        <v>27000</v>
      </c>
      <c r="H21" s="269">
        <v>26840</v>
      </c>
      <c r="I21" s="269">
        <v>160</v>
      </c>
      <c r="J21" s="270">
        <f t="shared" si="0"/>
        <v>5.9259259259259256E-3</v>
      </c>
      <c r="K21" s="267"/>
      <c r="L21" s="267"/>
      <c r="M21" s="267"/>
      <c r="N21" s="267"/>
      <c r="O21" s="267"/>
      <c r="P21" s="267"/>
      <c r="Q21" s="267"/>
      <c r="R21" s="267"/>
      <c r="S21" s="267"/>
    </row>
    <row r="22" spans="1:19" ht="15" customHeight="1" x14ac:dyDescent="0.25">
      <c r="A22" s="268">
        <v>46238</v>
      </c>
      <c r="B22" s="267" t="s">
        <v>322</v>
      </c>
      <c r="C22" s="267" t="s">
        <v>168</v>
      </c>
      <c r="D22" s="267" t="s">
        <v>169</v>
      </c>
      <c r="E22" s="267">
        <v>25</v>
      </c>
      <c r="F22" s="267">
        <v>5389</v>
      </c>
      <c r="G22" s="269">
        <v>13053</v>
      </c>
      <c r="H22" s="269">
        <v>12768</v>
      </c>
      <c r="I22" s="269">
        <v>285</v>
      </c>
      <c r="J22" s="270">
        <f t="shared" si="0"/>
        <v>2.1834061135371178E-2</v>
      </c>
      <c r="K22" s="267"/>
      <c r="L22" s="267"/>
      <c r="M22" s="267">
        <v>120</v>
      </c>
      <c r="N22" s="267"/>
      <c r="O22" s="267"/>
      <c r="P22" s="267"/>
      <c r="Q22" s="267"/>
      <c r="R22" s="267"/>
      <c r="S22" s="267"/>
    </row>
    <row r="23" spans="1:19" ht="15" customHeight="1" x14ac:dyDescent="0.25">
      <c r="A23" s="268">
        <v>46238</v>
      </c>
      <c r="B23" s="267" t="s">
        <v>319</v>
      </c>
      <c r="C23" s="267" t="s">
        <v>173</v>
      </c>
      <c r="D23" s="267" t="s">
        <v>174</v>
      </c>
      <c r="E23" s="267">
        <v>30</v>
      </c>
      <c r="F23" s="267">
        <v>6206</v>
      </c>
      <c r="G23" s="269">
        <v>2956</v>
      </c>
      <c r="H23" s="269">
        <v>2856</v>
      </c>
      <c r="I23" s="269">
        <v>100</v>
      </c>
      <c r="J23" s="270">
        <f t="shared" si="0"/>
        <v>3.3829499323410013E-2</v>
      </c>
      <c r="K23" s="267"/>
      <c r="L23" s="267"/>
      <c r="M23" s="267"/>
      <c r="N23" s="267"/>
      <c r="O23" s="267"/>
      <c r="P23" s="267"/>
      <c r="Q23" s="267"/>
      <c r="R23" s="267"/>
      <c r="S23" s="267"/>
    </row>
    <row r="24" spans="1:19" ht="15" customHeight="1" x14ac:dyDescent="0.25">
      <c r="A24" s="268">
        <v>46239</v>
      </c>
      <c r="B24" s="267" t="s">
        <v>314</v>
      </c>
      <c r="C24" s="267" t="s">
        <v>173</v>
      </c>
      <c r="D24" s="267" t="s">
        <v>174</v>
      </c>
      <c r="E24" s="267">
        <v>30</v>
      </c>
      <c r="F24" s="267">
        <v>6206</v>
      </c>
      <c r="G24" s="269">
        <v>5000</v>
      </c>
      <c r="H24" s="269">
        <v>4900</v>
      </c>
      <c r="I24" s="269">
        <v>100</v>
      </c>
      <c r="J24" s="270">
        <f t="shared" si="0"/>
        <v>0.02</v>
      </c>
      <c r="K24" s="267"/>
      <c r="L24" s="267"/>
      <c r="M24" s="267"/>
      <c r="N24" s="267"/>
      <c r="O24" s="267"/>
      <c r="P24" s="267"/>
      <c r="Q24" s="267"/>
      <c r="R24" s="267"/>
      <c r="S24" s="267"/>
    </row>
    <row r="25" spans="1:19" ht="15" customHeight="1" x14ac:dyDescent="0.25">
      <c r="A25" s="268">
        <v>46239</v>
      </c>
      <c r="B25" s="267" t="s">
        <v>320</v>
      </c>
      <c r="C25" s="267" t="s">
        <v>168</v>
      </c>
      <c r="D25" s="267" t="s">
        <v>169</v>
      </c>
      <c r="E25" s="267">
        <v>25</v>
      </c>
      <c r="F25" s="267">
        <v>5389</v>
      </c>
      <c r="G25" s="269">
        <v>20000</v>
      </c>
      <c r="H25" s="269">
        <v>19650</v>
      </c>
      <c r="I25" s="269">
        <v>350</v>
      </c>
      <c r="J25" s="270">
        <f t="shared" si="0"/>
        <v>1.7500000000000002E-2</v>
      </c>
      <c r="K25" s="267"/>
      <c r="L25" s="267"/>
      <c r="M25" s="267"/>
      <c r="N25" s="267"/>
      <c r="O25" s="267"/>
      <c r="P25" s="267"/>
      <c r="Q25" s="267"/>
      <c r="R25" s="267"/>
      <c r="S25" s="267"/>
    </row>
    <row r="26" spans="1:19" ht="15" customHeight="1" x14ac:dyDescent="0.25">
      <c r="A26" s="268">
        <v>46239</v>
      </c>
      <c r="B26" s="267" t="s">
        <v>316</v>
      </c>
      <c r="C26" s="267" t="s">
        <v>187</v>
      </c>
      <c r="D26" s="267" t="s">
        <v>317</v>
      </c>
      <c r="E26" s="267" t="s">
        <v>189</v>
      </c>
      <c r="F26" s="267">
        <v>8001</v>
      </c>
      <c r="G26" s="269">
        <v>11475</v>
      </c>
      <c r="H26" s="269">
        <v>10925</v>
      </c>
      <c r="I26" s="269">
        <v>550</v>
      </c>
      <c r="J26" s="270">
        <f t="shared" si="0"/>
        <v>4.793028322440087E-2</v>
      </c>
      <c r="K26" s="267"/>
      <c r="L26" s="267">
        <v>30</v>
      </c>
      <c r="M26" s="267"/>
      <c r="N26" s="267"/>
      <c r="O26" s="267">
        <v>120</v>
      </c>
      <c r="P26" s="267"/>
      <c r="Q26" s="267"/>
      <c r="R26" s="267"/>
      <c r="S26" s="267"/>
    </row>
    <row r="27" spans="1:19" ht="15" customHeight="1" x14ac:dyDescent="0.25">
      <c r="A27" s="268">
        <v>46239</v>
      </c>
      <c r="B27" s="267" t="s">
        <v>318</v>
      </c>
      <c r="C27" s="267" t="s">
        <v>173</v>
      </c>
      <c r="D27" s="267" t="s">
        <v>174</v>
      </c>
      <c r="E27" s="267">
        <v>30</v>
      </c>
      <c r="F27" s="267">
        <v>6206</v>
      </c>
      <c r="G27" s="269">
        <v>10800</v>
      </c>
      <c r="H27" s="269">
        <v>10690</v>
      </c>
      <c r="I27" s="269">
        <v>110</v>
      </c>
      <c r="J27" s="270">
        <f t="shared" si="0"/>
        <v>1.0185185185185186E-2</v>
      </c>
      <c r="K27" s="267"/>
      <c r="L27" s="267"/>
      <c r="M27" s="267"/>
      <c r="N27" s="267"/>
      <c r="O27" s="267">
        <v>240</v>
      </c>
      <c r="P27" s="267"/>
      <c r="Q27" s="267"/>
      <c r="R27" s="267"/>
      <c r="S27" s="267"/>
    </row>
    <row r="28" spans="1:19" ht="15" customHeight="1" x14ac:dyDescent="0.25">
      <c r="A28" s="268">
        <v>46239</v>
      </c>
      <c r="B28" s="267" t="s">
        <v>321</v>
      </c>
      <c r="C28" s="267" t="s">
        <v>168</v>
      </c>
      <c r="D28" s="267" t="s">
        <v>169</v>
      </c>
      <c r="E28" s="267">
        <v>25</v>
      </c>
      <c r="F28" s="267">
        <v>5389</v>
      </c>
      <c r="G28" s="269">
        <v>23000</v>
      </c>
      <c r="H28" s="269">
        <v>22850</v>
      </c>
      <c r="I28" s="269">
        <v>150</v>
      </c>
      <c r="J28" s="270">
        <f t="shared" si="0"/>
        <v>6.5217391304347823E-3</v>
      </c>
      <c r="K28" s="267"/>
      <c r="L28" s="267"/>
      <c r="M28" s="267"/>
      <c r="N28" s="267"/>
      <c r="O28" s="267"/>
      <c r="P28" s="267"/>
      <c r="Q28" s="267"/>
      <c r="R28" s="267"/>
      <c r="S28" s="267"/>
    </row>
    <row r="29" spans="1:19" ht="15" customHeight="1" x14ac:dyDescent="0.25">
      <c r="A29" s="268">
        <v>46239</v>
      </c>
      <c r="B29" s="267" t="s">
        <v>322</v>
      </c>
      <c r="C29" s="267" t="s">
        <v>168</v>
      </c>
      <c r="D29" s="267" t="s">
        <v>169</v>
      </c>
      <c r="E29" s="267">
        <v>25</v>
      </c>
      <c r="F29" s="267">
        <v>5389</v>
      </c>
      <c r="G29" s="269">
        <v>20234</v>
      </c>
      <c r="H29" s="269">
        <v>19824</v>
      </c>
      <c r="I29" s="269">
        <v>410</v>
      </c>
      <c r="J29" s="270">
        <f t="shared" si="0"/>
        <v>2.0262923791637837E-2</v>
      </c>
      <c r="K29" s="267"/>
      <c r="L29" s="267"/>
      <c r="M29" s="267"/>
      <c r="N29" s="267"/>
      <c r="O29" s="267"/>
      <c r="P29" s="267"/>
      <c r="Q29" s="267"/>
      <c r="R29" s="267"/>
      <c r="S29" s="267"/>
    </row>
    <row r="30" spans="1:19" ht="15" customHeight="1" x14ac:dyDescent="0.25">
      <c r="A30" s="268">
        <v>46240</v>
      </c>
      <c r="B30" s="267" t="s">
        <v>314</v>
      </c>
      <c r="C30" s="267" t="s">
        <v>173</v>
      </c>
      <c r="D30" s="267" t="s">
        <v>174</v>
      </c>
      <c r="E30" s="267">
        <v>30</v>
      </c>
      <c r="F30" s="267">
        <v>6206</v>
      </c>
      <c r="G30" s="269">
        <v>24000</v>
      </c>
      <c r="H30" s="269">
        <v>23605</v>
      </c>
      <c r="I30" s="269">
        <v>395</v>
      </c>
      <c r="J30" s="270">
        <f t="shared" si="0"/>
        <v>1.6458333333333332E-2</v>
      </c>
      <c r="K30" s="267"/>
      <c r="L30" s="267"/>
      <c r="M30" s="267"/>
      <c r="N30" s="267"/>
      <c r="O30" s="267"/>
      <c r="P30" s="267"/>
      <c r="Q30" s="267"/>
      <c r="R30" s="267"/>
      <c r="S30" s="267"/>
    </row>
    <row r="31" spans="1:19" ht="15" customHeight="1" x14ac:dyDescent="0.25">
      <c r="A31" s="268">
        <v>46240</v>
      </c>
      <c r="B31" s="267" t="s">
        <v>315</v>
      </c>
      <c r="C31" s="267" t="s">
        <v>173</v>
      </c>
      <c r="D31" s="267" t="s">
        <v>174</v>
      </c>
      <c r="E31" s="267">
        <v>30</v>
      </c>
      <c r="F31" s="267">
        <v>6206</v>
      </c>
      <c r="G31" s="269">
        <v>13804</v>
      </c>
      <c r="H31" s="269">
        <v>13784</v>
      </c>
      <c r="I31" s="269">
        <v>20</v>
      </c>
      <c r="J31" s="270">
        <f t="shared" si="0"/>
        <v>1.4488554042306578E-3</v>
      </c>
      <c r="K31" s="267"/>
      <c r="L31" s="267"/>
      <c r="M31" s="267"/>
      <c r="N31" s="267"/>
      <c r="O31" s="267">
        <v>240</v>
      </c>
      <c r="P31" s="267"/>
      <c r="Q31" s="267"/>
      <c r="R31" s="267"/>
      <c r="S31" s="267"/>
    </row>
    <row r="32" spans="1:19" ht="15" customHeight="1" x14ac:dyDescent="0.25">
      <c r="A32" s="268">
        <v>46240</v>
      </c>
      <c r="B32" s="267" t="s">
        <v>316</v>
      </c>
      <c r="C32" s="267" t="s">
        <v>187</v>
      </c>
      <c r="D32" s="267" t="s">
        <v>317</v>
      </c>
      <c r="E32" s="267" t="s">
        <v>189</v>
      </c>
      <c r="F32" s="267">
        <v>8001</v>
      </c>
      <c r="G32" s="269">
        <v>16120</v>
      </c>
      <c r="H32" s="269">
        <v>15640</v>
      </c>
      <c r="I32" s="269">
        <v>480</v>
      </c>
      <c r="J32" s="270">
        <f t="shared" si="0"/>
        <v>2.9776674937965261E-2</v>
      </c>
      <c r="K32" s="267"/>
      <c r="L32" s="267"/>
      <c r="M32" s="267"/>
      <c r="N32" s="267"/>
      <c r="O32" s="267"/>
      <c r="P32" s="267">
        <v>80</v>
      </c>
      <c r="Q32" s="267"/>
      <c r="R32" s="267"/>
      <c r="S32" s="267"/>
    </row>
    <row r="33" spans="1:19" ht="15" customHeight="1" x14ac:dyDescent="0.25">
      <c r="A33" s="268">
        <v>46240</v>
      </c>
      <c r="B33" s="267" t="s">
        <v>318</v>
      </c>
      <c r="C33" s="267" t="s">
        <v>173</v>
      </c>
      <c r="D33" s="267" t="s">
        <v>174</v>
      </c>
      <c r="E33" s="267">
        <v>30</v>
      </c>
      <c r="F33" s="267">
        <v>6206</v>
      </c>
      <c r="G33" s="269">
        <v>23500</v>
      </c>
      <c r="H33" s="269">
        <v>23350</v>
      </c>
      <c r="I33" s="269">
        <v>150</v>
      </c>
      <c r="J33" s="270">
        <f t="shared" si="0"/>
        <v>6.382978723404255E-3</v>
      </c>
      <c r="K33" s="267"/>
      <c r="L33" s="267"/>
      <c r="M33" s="267"/>
      <c r="N33" s="267"/>
      <c r="O33" s="267"/>
      <c r="P33" s="267"/>
      <c r="Q33" s="267"/>
      <c r="R33" s="267"/>
      <c r="S33" s="267"/>
    </row>
    <row r="34" spans="1:19" ht="15" customHeight="1" x14ac:dyDescent="0.25">
      <c r="A34" s="268">
        <v>46240</v>
      </c>
      <c r="B34" s="267" t="s">
        <v>321</v>
      </c>
      <c r="C34" s="267" t="s">
        <v>168</v>
      </c>
      <c r="D34" s="267" t="s">
        <v>169</v>
      </c>
      <c r="E34" s="267">
        <v>25</v>
      </c>
      <c r="F34" s="267">
        <v>5389</v>
      </c>
      <c r="G34" s="269">
        <v>4900</v>
      </c>
      <c r="H34" s="269">
        <v>4850</v>
      </c>
      <c r="I34" s="269">
        <v>50</v>
      </c>
      <c r="J34" s="270">
        <f t="shared" si="0"/>
        <v>1.020408163265306E-2</v>
      </c>
      <c r="K34" s="267"/>
      <c r="L34" s="267"/>
      <c r="M34" s="267"/>
      <c r="N34" s="267"/>
      <c r="O34" s="267"/>
      <c r="P34" s="267"/>
      <c r="Q34" s="267"/>
      <c r="R34" s="267"/>
      <c r="S34" s="267"/>
    </row>
    <row r="35" spans="1:19" ht="15" customHeight="1" x14ac:dyDescent="0.25">
      <c r="A35" s="268">
        <v>46240</v>
      </c>
      <c r="B35" s="267" t="s">
        <v>319</v>
      </c>
      <c r="C35" s="267" t="s">
        <v>173</v>
      </c>
      <c r="D35" s="267" t="s">
        <v>174</v>
      </c>
      <c r="E35" s="267">
        <v>30</v>
      </c>
      <c r="F35" s="267">
        <v>6206</v>
      </c>
      <c r="G35" s="269">
        <v>24503</v>
      </c>
      <c r="H35" s="269">
        <v>24038</v>
      </c>
      <c r="I35" s="269">
        <v>465</v>
      </c>
      <c r="J35" s="270">
        <f t="shared" ref="J35:J66" si="1">IFERROR(I35/(H35+I35),"")</f>
        <v>1.897726808962168E-2</v>
      </c>
      <c r="K35" s="267"/>
      <c r="L35" s="267"/>
      <c r="M35" s="267"/>
      <c r="N35" s="267"/>
      <c r="O35" s="267"/>
      <c r="P35" s="267"/>
      <c r="Q35" s="267"/>
      <c r="R35" s="267"/>
      <c r="S35" s="267"/>
    </row>
    <row r="36" spans="1:19" ht="15" customHeight="1" x14ac:dyDescent="0.25">
      <c r="A36" s="268">
        <v>46241</v>
      </c>
      <c r="B36" s="267" t="s">
        <v>314</v>
      </c>
      <c r="C36" s="267" t="s">
        <v>173</v>
      </c>
      <c r="D36" s="267" t="s">
        <v>174</v>
      </c>
      <c r="E36" s="267">
        <v>30</v>
      </c>
      <c r="F36" s="267">
        <v>6206</v>
      </c>
      <c r="G36" s="269">
        <v>22000</v>
      </c>
      <c r="H36" s="269">
        <v>21630</v>
      </c>
      <c r="I36" s="269">
        <v>370</v>
      </c>
      <c r="J36" s="270">
        <f t="shared" si="1"/>
        <v>1.6818181818181819E-2</v>
      </c>
      <c r="K36" s="267"/>
      <c r="L36" s="267"/>
      <c r="M36" s="267"/>
      <c r="N36" s="267"/>
      <c r="O36" s="267"/>
      <c r="P36" s="267"/>
      <c r="Q36" s="267"/>
      <c r="R36" s="267"/>
      <c r="S36" s="267"/>
    </row>
    <row r="37" spans="1:19" ht="15" customHeight="1" x14ac:dyDescent="0.25">
      <c r="A37" s="268">
        <v>46241</v>
      </c>
      <c r="B37" s="267" t="s">
        <v>315</v>
      </c>
      <c r="C37" s="267" t="s">
        <v>173</v>
      </c>
      <c r="D37" s="267" t="s">
        <v>174</v>
      </c>
      <c r="E37" s="267">
        <v>30</v>
      </c>
      <c r="F37" s="267">
        <v>6206</v>
      </c>
      <c r="G37" s="269">
        <v>24076</v>
      </c>
      <c r="H37" s="269">
        <v>24056</v>
      </c>
      <c r="I37" s="269">
        <v>20</v>
      </c>
      <c r="J37" s="270">
        <f t="shared" si="1"/>
        <v>8.3070277454726704E-4</v>
      </c>
      <c r="K37" s="267"/>
      <c r="L37" s="267"/>
      <c r="M37" s="267"/>
      <c r="N37" s="267"/>
      <c r="O37" s="267"/>
      <c r="P37" s="267"/>
      <c r="Q37" s="267"/>
      <c r="R37" s="267"/>
      <c r="S37" s="267"/>
    </row>
    <row r="38" spans="1:19" ht="15" customHeight="1" x14ac:dyDescent="0.25">
      <c r="A38" s="268">
        <v>46241</v>
      </c>
      <c r="B38" s="267" t="s">
        <v>316</v>
      </c>
      <c r="C38" s="267" t="s">
        <v>187</v>
      </c>
      <c r="D38" s="267" t="s">
        <v>317</v>
      </c>
      <c r="E38" s="267" t="s">
        <v>189</v>
      </c>
      <c r="F38" s="267">
        <v>8001</v>
      </c>
      <c r="G38" s="269">
        <v>6220</v>
      </c>
      <c r="H38" s="269">
        <v>5520</v>
      </c>
      <c r="I38" s="269">
        <v>700</v>
      </c>
      <c r="J38" s="270">
        <f t="shared" si="1"/>
        <v>0.11254019292604502</v>
      </c>
      <c r="K38" s="267">
        <v>120</v>
      </c>
      <c r="L38" s="267"/>
      <c r="M38" s="267"/>
      <c r="N38" s="267"/>
      <c r="O38" s="267">
        <v>330</v>
      </c>
      <c r="P38" s="267"/>
      <c r="Q38" s="267"/>
      <c r="R38" s="267"/>
      <c r="S38" s="267"/>
    </row>
    <row r="39" spans="1:19" ht="15" customHeight="1" x14ac:dyDescent="0.25">
      <c r="A39" s="268">
        <v>46241</v>
      </c>
      <c r="B39" s="267" t="s">
        <v>318</v>
      </c>
      <c r="C39" s="267" t="s">
        <v>173</v>
      </c>
      <c r="D39" s="267" t="s">
        <v>174</v>
      </c>
      <c r="E39" s="267">
        <v>30</v>
      </c>
      <c r="F39" s="267">
        <v>6206</v>
      </c>
      <c r="G39" s="269">
        <v>24000</v>
      </c>
      <c r="H39" s="269">
        <v>23850</v>
      </c>
      <c r="I39" s="269">
        <v>150</v>
      </c>
      <c r="J39" s="270">
        <f t="shared" si="1"/>
        <v>6.2500000000000003E-3</v>
      </c>
      <c r="K39" s="267"/>
      <c r="L39" s="267"/>
      <c r="M39" s="267"/>
      <c r="N39" s="267"/>
      <c r="O39" s="267"/>
      <c r="P39" s="267"/>
      <c r="Q39" s="267"/>
      <c r="R39" s="267"/>
      <c r="S39" s="267"/>
    </row>
    <row r="40" spans="1:19" ht="15" customHeight="1" x14ac:dyDescent="0.25">
      <c r="A40" s="268">
        <v>46241</v>
      </c>
      <c r="B40" s="267" t="s">
        <v>319</v>
      </c>
      <c r="C40" s="267" t="s">
        <v>173</v>
      </c>
      <c r="D40" s="267" t="s">
        <v>174</v>
      </c>
      <c r="E40" s="267">
        <v>30</v>
      </c>
      <c r="F40" s="267">
        <v>6206</v>
      </c>
      <c r="G40" s="269">
        <v>19911</v>
      </c>
      <c r="H40" s="269">
        <v>19516</v>
      </c>
      <c r="I40" s="269">
        <v>395</v>
      </c>
      <c r="J40" s="270">
        <f t="shared" si="1"/>
        <v>1.9838280347546582E-2</v>
      </c>
      <c r="K40" s="267"/>
      <c r="L40" s="267"/>
      <c r="M40" s="267">
        <v>60</v>
      </c>
      <c r="N40" s="267"/>
      <c r="O40" s="267"/>
      <c r="P40" s="267"/>
      <c r="Q40" s="267"/>
      <c r="R40" s="267"/>
      <c r="S40" s="267"/>
    </row>
    <row r="41" spans="1:19" ht="15" customHeight="1" x14ac:dyDescent="0.25">
      <c r="A41" s="268">
        <v>46242</v>
      </c>
      <c r="B41" s="267" t="s">
        <v>314</v>
      </c>
      <c r="C41" s="267" t="s">
        <v>173</v>
      </c>
      <c r="D41" s="267" t="s">
        <v>174</v>
      </c>
      <c r="E41" s="267">
        <v>30</v>
      </c>
      <c r="F41" s="267">
        <v>6206</v>
      </c>
      <c r="G41" s="269">
        <v>14000</v>
      </c>
      <c r="H41" s="269">
        <v>13750</v>
      </c>
      <c r="I41" s="269">
        <v>250</v>
      </c>
      <c r="J41" s="270">
        <f t="shared" si="1"/>
        <v>1.7857142857142856E-2</v>
      </c>
      <c r="K41" s="267"/>
      <c r="L41" s="267"/>
      <c r="M41" s="267"/>
      <c r="N41" s="267"/>
      <c r="O41" s="267"/>
      <c r="P41" s="267"/>
      <c r="Q41" s="267"/>
      <c r="R41" s="267"/>
      <c r="S41" s="267"/>
    </row>
    <row r="42" spans="1:19" ht="15" customHeight="1" x14ac:dyDescent="0.25">
      <c r="A42" s="268">
        <v>46242</v>
      </c>
      <c r="B42" s="267" t="s">
        <v>320</v>
      </c>
      <c r="C42" s="267" t="s">
        <v>168</v>
      </c>
      <c r="D42" s="267" t="s">
        <v>169</v>
      </c>
      <c r="E42" s="267">
        <v>25</v>
      </c>
      <c r="F42" s="267">
        <v>5389</v>
      </c>
      <c r="G42" s="269">
        <v>8000</v>
      </c>
      <c r="H42" s="269">
        <v>7880</v>
      </c>
      <c r="I42" s="269">
        <v>120</v>
      </c>
      <c r="J42" s="270">
        <f t="shared" si="1"/>
        <v>1.4999999999999999E-2</v>
      </c>
      <c r="K42" s="267"/>
      <c r="L42" s="267"/>
      <c r="M42" s="267"/>
      <c r="N42" s="267"/>
      <c r="O42" s="267"/>
      <c r="P42" s="267"/>
      <c r="Q42" s="267"/>
      <c r="R42" s="267"/>
      <c r="S42" s="267"/>
    </row>
    <row r="43" spans="1:19" ht="15" customHeight="1" x14ac:dyDescent="0.25">
      <c r="A43" s="268">
        <v>46242</v>
      </c>
      <c r="B43" s="267" t="s">
        <v>315</v>
      </c>
      <c r="C43" s="267" t="s">
        <v>173</v>
      </c>
      <c r="D43" s="267" t="s">
        <v>174</v>
      </c>
      <c r="E43" s="267">
        <v>30</v>
      </c>
      <c r="F43" s="267">
        <v>6206</v>
      </c>
      <c r="G43" s="269">
        <v>24276</v>
      </c>
      <c r="H43" s="269">
        <v>24256</v>
      </c>
      <c r="I43" s="269">
        <v>20</v>
      </c>
      <c r="J43" s="270">
        <f t="shared" si="1"/>
        <v>8.2385895534684461E-4</v>
      </c>
      <c r="K43" s="267"/>
      <c r="L43" s="267"/>
      <c r="M43" s="267"/>
      <c r="N43" s="267"/>
      <c r="O43" s="267"/>
      <c r="P43" s="267"/>
      <c r="Q43" s="267"/>
      <c r="R43" s="267"/>
      <c r="S43" s="267"/>
    </row>
    <row r="44" spans="1:19" ht="15" customHeight="1" x14ac:dyDescent="0.25">
      <c r="A44" s="268">
        <v>46242</v>
      </c>
      <c r="B44" s="267" t="s">
        <v>316</v>
      </c>
      <c r="C44" s="267" t="s">
        <v>187</v>
      </c>
      <c r="D44" s="267" t="s">
        <v>317</v>
      </c>
      <c r="E44" s="267" t="s">
        <v>189</v>
      </c>
      <c r="F44" s="267">
        <v>8001</v>
      </c>
      <c r="G44" s="269">
        <v>0</v>
      </c>
      <c r="H44" s="269">
        <v>0</v>
      </c>
      <c r="I44" s="269">
        <v>0</v>
      </c>
      <c r="J44" s="270" t="str">
        <f t="shared" si="1"/>
        <v/>
      </c>
      <c r="K44" s="267">
        <v>960</v>
      </c>
      <c r="L44" s="267"/>
      <c r="M44" s="267"/>
      <c r="N44" s="267"/>
      <c r="O44" s="267"/>
      <c r="P44" s="267"/>
      <c r="Q44" s="267"/>
      <c r="R44" s="267"/>
      <c r="S44" s="267"/>
    </row>
    <row r="45" spans="1:19" ht="15" customHeight="1" x14ac:dyDescent="0.25">
      <c r="A45" s="268">
        <v>46242</v>
      </c>
      <c r="B45" s="267" t="s">
        <v>318</v>
      </c>
      <c r="C45" s="267" t="s">
        <v>173</v>
      </c>
      <c r="D45" s="267" t="s">
        <v>174</v>
      </c>
      <c r="E45" s="267">
        <v>30</v>
      </c>
      <c r="F45" s="267">
        <v>6206</v>
      </c>
      <c r="G45" s="269">
        <v>6800</v>
      </c>
      <c r="H45" s="269">
        <v>6720</v>
      </c>
      <c r="I45" s="269">
        <v>80</v>
      </c>
      <c r="J45" s="270">
        <f t="shared" si="1"/>
        <v>1.1764705882352941E-2</v>
      </c>
      <c r="K45" s="267"/>
      <c r="L45" s="267"/>
      <c r="M45" s="267"/>
      <c r="N45" s="267"/>
      <c r="O45" s="267"/>
      <c r="P45" s="267"/>
      <c r="Q45" s="267"/>
      <c r="R45" s="267"/>
      <c r="S45" s="267"/>
    </row>
    <row r="46" spans="1:19" ht="15" customHeight="1" x14ac:dyDescent="0.25">
      <c r="A46" s="268">
        <v>46242</v>
      </c>
      <c r="B46" s="267" t="s">
        <v>321</v>
      </c>
      <c r="C46" s="267" t="s">
        <v>168</v>
      </c>
      <c r="D46" s="267" t="s">
        <v>169</v>
      </c>
      <c r="E46" s="267">
        <v>25</v>
      </c>
      <c r="F46" s="267">
        <v>5389</v>
      </c>
      <c r="G46" s="269">
        <v>9200</v>
      </c>
      <c r="H46" s="269">
        <v>9105</v>
      </c>
      <c r="I46" s="269">
        <v>95</v>
      </c>
      <c r="J46" s="270">
        <f t="shared" si="1"/>
        <v>1.0326086956521738E-2</v>
      </c>
      <c r="K46" s="267">
        <v>120</v>
      </c>
      <c r="L46" s="267"/>
      <c r="M46" s="267"/>
      <c r="N46" s="267"/>
      <c r="O46" s="267"/>
      <c r="P46" s="267"/>
      <c r="Q46" s="267"/>
      <c r="R46" s="267"/>
      <c r="S46" s="267"/>
    </row>
    <row r="47" spans="1:19" ht="15" customHeight="1" x14ac:dyDescent="0.25">
      <c r="A47" s="268">
        <v>46242</v>
      </c>
      <c r="B47" s="267" t="s">
        <v>322</v>
      </c>
      <c r="C47" s="267" t="s">
        <v>168</v>
      </c>
      <c r="D47" s="267" t="s">
        <v>169</v>
      </c>
      <c r="E47" s="267">
        <v>25</v>
      </c>
      <c r="F47" s="267">
        <v>5389</v>
      </c>
      <c r="G47" s="269">
        <v>5200</v>
      </c>
      <c r="H47" s="269">
        <v>5040</v>
      </c>
      <c r="I47" s="269">
        <v>160</v>
      </c>
      <c r="J47" s="270">
        <f t="shared" si="1"/>
        <v>3.0769230769230771E-2</v>
      </c>
      <c r="K47" s="267"/>
      <c r="L47" s="267"/>
      <c r="M47" s="267"/>
      <c r="N47" s="267"/>
      <c r="O47" s="267"/>
      <c r="P47" s="267"/>
      <c r="Q47" s="267"/>
      <c r="R47" s="267"/>
      <c r="S47" s="267"/>
    </row>
    <row r="48" spans="1:19" ht="15" customHeight="1" x14ac:dyDescent="0.25">
      <c r="A48" s="268">
        <v>46242</v>
      </c>
      <c r="B48" s="267" t="s">
        <v>319</v>
      </c>
      <c r="C48" s="267" t="s">
        <v>173</v>
      </c>
      <c r="D48" s="267" t="s">
        <v>174</v>
      </c>
      <c r="E48" s="267">
        <v>30</v>
      </c>
      <c r="F48" s="267">
        <v>6206</v>
      </c>
      <c r="G48" s="269">
        <v>18438</v>
      </c>
      <c r="H48" s="269">
        <v>18088</v>
      </c>
      <c r="I48" s="269">
        <v>350</v>
      </c>
      <c r="J48" s="270">
        <f t="shared" si="1"/>
        <v>1.8982536066818528E-2</v>
      </c>
      <c r="K48" s="267"/>
      <c r="L48" s="267"/>
      <c r="M48" s="267"/>
      <c r="N48" s="267"/>
      <c r="O48" s="267"/>
      <c r="P48" s="267"/>
      <c r="Q48" s="267"/>
      <c r="R48" s="267"/>
      <c r="S48" s="267"/>
    </row>
    <row r="49" spans="1:19" ht="15" customHeight="1" x14ac:dyDescent="0.25">
      <c r="A49" s="268">
        <v>46244</v>
      </c>
      <c r="B49" s="267" t="s">
        <v>320</v>
      </c>
      <c r="C49" s="267" t="s">
        <v>168</v>
      </c>
      <c r="D49" s="267" t="s">
        <v>169</v>
      </c>
      <c r="E49" s="267">
        <v>25</v>
      </c>
      <c r="F49" s="267">
        <v>5389</v>
      </c>
      <c r="G49" s="269">
        <v>18000</v>
      </c>
      <c r="H49" s="269">
        <v>17720</v>
      </c>
      <c r="I49" s="269">
        <v>280</v>
      </c>
      <c r="J49" s="270">
        <f t="shared" si="1"/>
        <v>1.5555555555555555E-2</v>
      </c>
      <c r="K49" s="267"/>
      <c r="L49" s="267"/>
      <c r="M49" s="267">
        <v>60</v>
      </c>
      <c r="N49" s="267"/>
      <c r="O49" s="267"/>
      <c r="P49" s="267"/>
      <c r="Q49" s="267"/>
      <c r="R49" s="267"/>
      <c r="S49" s="267"/>
    </row>
    <row r="50" spans="1:19" ht="15" customHeight="1" x14ac:dyDescent="0.25">
      <c r="A50" s="268">
        <v>46244</v>
      </c>
      <c r="B50" s="267" t="s">
        <v>316</v>
      </c>
      <c r="C50" s="267" t="s">
        <v>187</v>
      </c>
      <c r="D50" s="267" t="s">
        <v>317</v>
      </c>
      <c r="E50" s="267" t="s">
        <v>189</v>
      </c>
      <c r="F50" s="267">
        <v>8001</v>
      </c>
      <c r="G50" s="269">
        <v>0</v>
      </c>
      <c r="H50" s="269">
        <v>0</v>
      </c>
      <c r="I50" s="269">
        <v>0</v>
      </c>
      <c r="J50" s="270" t="str">
        <f t="shared" si="1"/>
        <v/>
      </c>
      <c r="K50" s="267">
        <v>960</v>
      </c>
      <c r="L50" s="267"/>
      <c r="M50" s="267"/>
      <c r="N50" s="267"/>
      <c r="O50" s="267"/>
      <c r="P50" s="267"/>
      <c r="Q50" s="267"/>
      <c r="R50" s="267"/>
      <c r="S50" s="267"/>
    </row>
    <row r="51" spans="1:19" ht="15" customHeight="1" x14ac:dyDescent="0.25">
      <c r="A51" s="268">
        <v>46244</v>
      </c>
      <c r="B51" s="267" t="s">
        <v>318</v>
      </c>
      <c r="C51" s="267" t="s">
        <v>173</v>
      </c>
      <c r="D51" s="267" t="s">
        <v>174</v>
      </c>
      <c r="E51" s="267">
        <v>30</v>
      </c>
      <c r="F51" s="267">
        <v>6206</v>
      </c>
      <c r="G51" s="269">
        <v>8000</v>
      </c>
      <c r="H51" s="269">
        <v>7900</v>
      </c>
      <c r="I51" s="269">
        <v>100</v>
      </c>
      <c r="J51" s="270">
        <f t="shared" si="1"/>
        <v>1.2500000000000001E-2</v>
      </c>
      <c r="K51" s="267"/>
      <c r="L51" s="267"/>
      <c r="M51" s="267">
        <v>180</v>
      </c>
      <c r="N51" s="267"/>
      <c r="O51" s="267"/>
      <c r="P51" s="267"/>
      <c r="Q51" s="267"/>
      <c r="R51" s="267"/>
      <c r="S51" s="267"/>
    </row>
    <row r="52" spans="1:19" ht="15" customHeight="1" x14ac:dyDescent="0.25">
      <c r="A52" s="268">
        <v>46244</v>
      </c>
      <c r="B52" s="267" t="s">
        <v>321</v>
      </c>
      <c r="C52" s="267" t="s">
        <v>168</v>
      </c>
      <c r="D52" s="267" t="s">
        <v>169</v>
      </c>
      <c r="E52" s="267">
        <v>25</v>
      </c>
      <c r="F52" s="267">
        <v>5389</v>
      </c>
      <c r="G52" s="269">
        <v>2000</v>
      </c>
      <c r="H52" s="269">
        <v>1970</v>
      </c>
      <c r="I52" s="269">
        <v>30</v>
      </c>
      <c r="J52" s="270">
        <f t="shared" si="1"/>
        <v>1.4999999999999999E-2</v>
      </c>
      <c r="K52" s="267"/>
      <c r="L52" s="267"/>
      <c r="M52" s="267"/>
      <c r="N52" s="267"/>
      <c r="O52" s="267"/>
      <c r="P52" s="267"/>
      <c r="Q52" s="267"/>
      <c r="R52" s="267"/>
      <c r="S52" s="267"/>
    </row>
    <row r="53" spans="1:19" ht="15" customHeight="1" x14ac:dyDescent="0.25">
      <c r="A53" s="268">
        <v>46244</v>
      </c>
      <c r="B53" s="267" t="s">
        <v>322</v>
      </c>
      <c r="C53" s="267" t="s">
        <v>168</v>
      </c>
      <c r="D53" s="267" t="s">
        <v>169</v>
      </c>
      <c r="E53" s="267">
        <v>25</v>
      </c>
      <c r="F53" s="267">
        <v>5389</v>
      </c>
      <c r="G53" s="269">
        <v>17110</v>
      </c>
      <c r="H53" s="269">
        <v>16800</v>
      </c>
      <c r="I53" s="269">
        <v>310</v>
      </c>
      <c r="J53" s="270">
        <f t="shared" si="1"/>
        <v>1.8118059614260665E-2</v>
      </c>
      <c r="K53" s="267"/>
      <c r="L53" s="267"/>
      <c r="M53" s="267">
        <v>120</v>
      </c>
      <c r="N53" s="267"/>
      <c r="O53" s="267"/>
      <c r="P53" s="267"/>
      <c r="Q53" s="267"/>
      <c r="R53" s="267"/>
      <c r="S53" s="267"/>
    </row>
    <row r="54" spans="1:19" ht="15" customHeight="1" x14ac:dyDescent="0.25">
      <c r="A54" s="268">
        <v>46245</v>
      </c>
      <c r="B54" s="267" t="s">
        <v>314</v>
      </c>
      <c r="C54" s="267" t="s">
        <v>173</v>
      </c>
      <c r="D54" s="267" t="s">
        <v>174</v>
      </c>
      <c r="E54" s="267">
        <v>30</v>
      </c>
      <c r="F54" s="267">
        <v>6206</v>
      </c>
      <c r="G54" s="269">
        <v>27000</v>
      </c>
      <c r="H54" s="269">
        <v>26550</v>
      </c>
      <c r="I54" s="269">
        <v>450</v>
      </c>
      <c r="J54" s="270">
        <f t="shared" si="1"/>
        <v>1.6666666666666666E-2</v>
      </c>
      <c r="K54" s="267"/>
      <c r="L54" s="267"/>
      <c r="M54" s="267"/>
      <c r="N54" s="267"/>
      <c r="O54" s="267"/>
      <c r="P54" s="267"/>
      <c r="Q54" s="267"/>
      <c r="R54" s="267"/>
      <c r="S54" s="267"/>
    </row>
    <row r="55" spans="1:19" ht="15" customHeight="1" x14ac:dyDescent="0.25">
      <c r="A55" s="268">
        <v>46245</v>
      </c>
      <c r="B55" s="267" t="s">
        <v>315</v>
      </c>
      <c r="C55" s="267" t="s">
        <v>173</v>
      </c>
      <c r="D55" s="267" t="s">
        <v>174</v>
      </c>
      <c r="E55" s="267">
        <v>30</v>
      </c>
      <c r="F55" s="267">
        <v>6206</v>
      </c>
      <c r="G55" s="269">
        <v>11000</v>
      </c>
      <c r="H55" s="269">
        <v>10995</v>
      </c>
      <c r="I55" s="269">
        <v>5</v>
      </c>
      <c r="J55" s="270">
        <f t="shared" si="1"/>
        <v>4.5454545454545455E-4</v>
      </c>
      <c r="K55" s="267"/>
      <c r="L55" s="267"/>
      <c r="M55" s="267"/>
      <c r="N55" s="267"/>
      <c r="O55" s="267">
        <v>180</v>
      </c>
      <c r="P55" s="267"/>
      <c r="Q55" s="267"/>
      <c r="R55" s="267"/>
      <c r="S55" s="267"/>
    </row>
    <row r="56" spans="1:19" ht="15" customHeight="1" x14ac:dyDescent="0.25">
      <c r="A56" s="268">
        <v>46245</v>
      </c>
      <c r="B56" s="267" t="s">
        <v>316</v>
      </c>
      <c r="C56" s="267" t="s">
        <v>187</v>
      </c>
      <c r="D56" s="267" t="s">
        <v>317</v>
      </c>
      <c r="E56" s="267" t="s">
        <v>189</v>
      </c>
      <c r="F56" s="267">
        <v>8001</v>
      </c>
      <c r="G56" s="269">
        <v>0</v>
      </c>
      <c r="H56" s="269">
        <v>0</v>
      </c>
      <c r="I56" s="269">
        <v>0</v>
      </c>
      <c r="J56" s="270" t="str">
        <f t="shared" si="1"/>
        <v/>
      </c>
      <c r="K56" s="267">
        <v>960</v>
      </c>
      <c r="L56" s="267"/>
      <c r="M56" s="267"/>
      <c r="N56" s="267"/>
      <c r="O56" s="267"/>
      <c r="P56" s="267"/>
      <c r="Q56" s="267"/>
      <c r="R56" s="267"/>
      <c r="S56" s="267"/>
    </row>
    <row r="57" spans="1:19" ht="15" customHeight="1" x14ac:dyDescent="0.25">
      <c r="A57" s="268">
        <v>46245</v>
      </c>
      <c r="B57" s="267" t="s">
        <v>318</v>
      </c>
      <c r="C57" s="267" t="s">
        <v>173</v>
      </c>
      <c r="D57" s="267" t="s">
        <v>174</v>
      </c>
      <c r="E57" s="267">
        <v>30</v>
      </c>
      <c r="F57" s="267">
        <v>6206</v>
      </c>
      <c r="G57" s="269">
        <v>29000</v>
      </c>
      <c r="H57" s="269">
        <v>28815</v>
      </c>
      <c r="I57" s="269">
        <v>185</v>
      </c>
      <c r="J57" s="270">
        <f t="shared" si="1"/>
        <v>6.3793103448275866E-3</v>
      </c>
      <c r="K57" s="267"/>
      <c r="L57" s="267"/>
      <c r="M57" s="267"/>
      <c r="N57" s="267"/>
      <c r="O57" s="267"/>
      <c r="P57" s="267"/>
      <c r="Q57" s="267"/>
      <c r="R57" s="267"/>
      <c r="S57" s="267"/>
    </row>
    <row r="58" spans="1:19" ht="15" customHeight="1" x14ac:dyDescent="0.25">
      <c r="A58" s="268">
        <v>46245</v>
      </c>
      <c r="B58" s="267" t="s">
        <v>319</v>
      </c>
      <c r="C58" s="267" t="s">
        <v>173</v>
      </c>
      <c r="D58" s="267" t="s">
        <v>174</v>
      </c>
      <c r="E58" s="267">
        <v>30</v>
      </c>
      <c r="F58" s="267">
        <v>6206</v>
      </c>
      <c r="G58" s="269">
        <v>22594</v>
      </c>
      <c r="H58" s="269">
        <v>22134</v>
      </c>
      <c r="I58" s="269">
        <v>460</v>
      </c>
      <c r="J58" s="270">
        <f t="shared" si="1"/>
        <v>2.0359387447995043E-2</v>
      </c>
      <c r="K58" s="267"/>
      <c r="L58" s="267"/>
      <c r="M58" s="267"/>
      <c r="N58" s="267"/>
      <c r="O58" s="267"/>
      <c r="P58" s="267"/>
      <c r="Q58" s="267"/>
      <c r="R58" s="267"/>
      <c r="S58" s="267"/>
    </row>
    <row r="59" spans="1:19" ht="15" customHeight="1" x14ac:dyDescent="0.25">
      <c r="A59" s="268">
        <v>46246</v>
      </c>
      <c r="B59" s="267" t="s">
        <v>314</v>
      </c>
      <c r="C59" s="267" t="s">
        <v>173</v>
      </c>
      <c r="D59" s="267" t="s">
        <v>174</v>
      </c>
      <c r="E59" s="267">
        <v>30</v>
      </c>
      <c r="F59" s="267">
        <v>6206</v>
      </c>
      <c r="G59" s="269">
        <v>24000</v>
      </c>
      <c r="H59" s="269">
        <v>23605</v>
      </c>
      <c r="I59" s="269">
        <v>395</v>
      </c>
      <c r="J59" s="270">
        <f t="shared" si="1"/>
        <v>1.6458333333333332E-2</v>
      </c>
      <c r="K59" s="267"/>
      <c r="L59" s="267"/>
      <c r="M59" s="267"/>
      <c r="N59" s="267"/>
      <c r="O59" s="267"/>
      <c r="P59" s="267"/>
      <c r="Q59" s="267"/>
      <c r="R59" s="267"/>
      <c r="S59" s="267"/>
    </row>
    <row r="60" spans="1:19" ht="15" customHeight="1" x14ac:dyDescent="0.25">
      <c r="A60" s="268">
        <v>46246</v>
      </c>
      <c r="B60" s="267" t="s">
        <v>315</v>
      </c>
      <c r="C60" s="267" t="s">
        <v>173</v>
      </c>
      <c r="D60" s="267" t="s">
        <v>174</v>
      </c>
      <c r="E60" s="267">
        <v>30</v>
      </c>
      <c r="F60" s="267">
        <v>6206</v>
      </c>
      <c r="G60" s="269">
        <v>27370</v>
      </c>
      <c r="H60" s="269">
        <v>27350</v>
      </c>
      <c r="I60" s="269">
        <v>20</v>
      </c>
      <c r="J60" s="270">
        <f t="shared" si="1"/>
        <v>7.3072707343807086E-4</v>
      </c>
      <c r="K60" s="267"/>
      <c r="L60" s="267"/>
      <c r="M60" s="267"/>
      <c r="N60" s="267"/>
      <c r="O60" s="267"/>
      <c r="P60" s="267"/>
      <c r="Q60" s="267"/>
      <c r="R60" s="267"/>
      <c r="S60" s="267"/>
    </row>
    <row r="61" spans="1:19" ht="15" customHeight="1" x14ac:dyDescent="0.25">
      <c r="A61" s="268">
        <v>46246</v>
      </c>
      <c r="B61" s="267" t="s">
        <v>316</v>
      </c>
      <c r="C61" s="267" t="s">
        <v>187</v>
      </c>
      <c r="D61" s="267" t="s">
        <v>317</v>
      </c>
      <c r="E61" s="267" t="s">
        <v>189</v>
      </c>
      <c r="F61" s="267">
        <v>8001</v>
      </c>
      <c r="G61" s="269">
        <v>0</v>
      </c>
      <c r="H61" s="269">
        <v>0</v>
      </c>
      <c r="I61" s="269">
        <v>0</v>
      </c>
      <c r="J61" s="270" t="str">
        <f t="shared" si="1"/>
        <v/>
      </c>
      <c r="K61" s="267"/>
      <c r="L61" s="267">
        <v>960</v>
      </c>
      <c r="M61" s="267"/>
      <c r="N61" s="267"/>
      <c r="O61" s="267"/>
      <c r="P61" s="267"/>
      <c r="Q61" s="267"/>
      <c r="R61" s="267"/>
      <c r="S61" s="267"/>
    </row>
    <row r="62" spans="1:19" ht="15" customHeight="1" x14ac:dyDescent="0.25">
      <c r="A62" s="268">
        <v>46246</v>
      </c>
      <c r="B62" s="267" t="s">
        <v>318</v>
      </c>
      <c r="C62" s="267" t="s">
        <v>173</v>
      </c>
      <c r="D62" s="267" t="s">
        <v>174</v>
      </c>
      <c r="E62" s="267">
        <v>30</v>
      </c>
      <c r="F62" s="267">
        <v>6206</v>
      </c>
      <c r="G62" s="269">
        <v>17600</v>
      </c>
      <c r="H62" s="269">
        <v>17485</v>
      </c>
      <c r="I62" s="269">
        <v>115</v>
      </c>
      <c r="J62" s="270">
        <f t="shared" si="1"/>
        <v>6.5340909090909087E-3</v>
      </c>
      <c r="K62" s="267">
        <v>60</v>
      </c>
      <c r="L62" s="267"/>
      <c r="M62" s="267"/>
      <c r="N62" s="267"/>
      <c r="O62" s="267"/>
      <c r="P62" s="267"/>
      <c r="Q62" s="267"/>
      <c r="R62" s="267"/>
      <c r="S62" s="267"/>
    </row>
    <row r="63" spans="1:19" ht="15" customHeight="1" x14ac:dyDescent="0.25">
      <c r="A63" s="268">
        <v>46246</v>
      </c>
      <c r="B63" s="267" t="s">
        <v>319</v>
      </c>
      <c r="C63" s="267" t="s">
        <v>173</v>
      </c>
      <c r="D63" s="267" t="s">
        <v>174</v>
      </c>
      <c r="E63" s="267">
        <v>30</v>
      </c>
      <c r="F63" s="267">
        <v>6206</v>
      </c>
      <c r="G63" s="269">
        <v>25460</v>
      </c>
      <c r="H63" s="269">
        <v>24990</v>
      </c>
      <c r="I63" s="269">
        <v>470</v>
      </c>
      <c r="J63" s="270">
        <f t="shared" si="1"/>
        <v>1.8460329929300863E-2</v>
      </c>
      <c r="K63" s="267"/>
      <c r="L63" s="267"/>
      <c r="M63" s="267"/>
      <c r="N63" s="267"/>
      <c r="O63" s="267"/>
      <c r="P63" s="267"/>
      <c r="Q63" s="267"/>
      <c r="R63" s="267"/>
      <c r="S63" s="267"/>
    </row>
    <row r="64" spans="1:19" ht="15" customHeight="1" x14ac:dyDescent="0.25">
      <c r="A64" s="268">
        <v>46247</v>
      </c>
      <c r="B64" s="267" t="s">
        <v>314</v>
      </c>
      <c r="C64" s="267" t="s">
        <v>173</v>
      </c>
      <c r="D64" s="267" t="s">
        <v>174</v>
      </c>
      <c r="E64" s="267">
        <v>30</v>
      </c>
      <c r="F64" s="267">
        <v>6206</v>
      </c>
      <c r="G64" s="269">
        <v>10000</v>
      </c>
      <c r="H64" s="269">
        <v>9820</v>
      </c>
      <c r="I64" s="269">
        <v>180</v>
      </c>
      <c r="J64" s="270">
        <f t="shared" si="1"/>
        <v>1.7999999999999999E-2</v>
      </c>
      <c r="K64" s="267"/>
      <c r="L64" s="267"/>
      <c r="M64" s="267">
        <v>240</v>
      </c>
      <c r="N64" s="267"/>
      <c r="O64" s="267"/>
      <c r="P64" s="267"/>
      <c r="Q64" s="267"/>
      <c r="R64" s="267"/>
      <c r="S64" s="267"/>
    </row>
    <row r="65" spans="1:19" ht="15" customHeight="1" x14ac:dyDescent="0.25">
      <c r="A65" s="268">
        <v>46247</v>
      </c>
      <c r="B65" s="267" t="s">
        <v>315</v>
      </c>
      <c r="C65" s="267" t="s">
        <v>173</v>
      </c>
      <c r="D65" s="267" t="s">
        <v>174</v>
      </c>
      <c r="E65" s="267">
        <v>30</v>
      </c>
      <c r="F65" s="267">
        <v>6206</v>
      </c>
      <c r="G65" s="269">
        <v>23024</v>
      </c>
      <c r="H65" s="269">
        <v>23004</v>
      </c>
      <c r="I65" s="269">
        <v>20</v>
      </c>
      <c r="J65" s="270">
        <f t="shared" si="1"/>
        <v>8.6865879082696318E-4</v>
      </c>
      <c r="K65" s="267"/>
      <c r="L65" s="267"/>
      <c r="M65" s="267"/>
      <c r="N65" s="267"/>
      <c r="O65" s="267"/>
      <c r="P65" s="267"/>
      <c r="Q65" s="267"/>
      <c r="R65" s="267"/>
      <c r="S65" s="267"/>
    </row>
    <row r="66" spans="1:19" ht="15" customHeight="1" x14ac:dyDescent="0.25">
      <c r="A66" s="268">
        <v>46247</v>
      </c>
      <c r="B66" s="267" t="s">
        <v>316</v>
      </c>
      <c r="C66" s="267" t="s">
        <v>187</v>
      </c>
      <c r="D66" s="267" t="s">
        <v>317</v>
      </c>
      <c r="E66" s="267" t="s">
        <v>189</v>
      </c>
      <c r="F66" s="267">
        <v>8001</v>
      </c>
      <c r="G66" s="269">
        <v>0</v>
      </c>
      <c r="H66" s="269">
        <v>0</v>
      </c>
      <c r="I66" s="269">
        <v>0</v>
      </c>
      <c r="J66" s="270" t="str">
        <f t="shared" si="1"/>
        <v/>
      </c>
      <c r="K66" s="267"/>
      <c r="L66" s="267">
        <v>960</v>
      </c>
      <c r="M66" s="267"/>
      <c r="N66" s="267"/>
      <c r="O66" s="267"/>
      <c r="P66" s="267"/>
      <c r="Q66" s="267"/>
      <c r="R66" s="267"/>
      <c r="S66" s="267"/>
    </row>
    <row r="67" spans="1:19" ht="15" customHeight="1" x14ac:dyDescent="0.25">
      <c r="A67" s="268">
        <v>46247</v>
      </c>
      <c r="B67" s="267" t="s">
        <v>318</v>
      </c>
      <c r="C67" s="267" t="s">
        <v>173</v>
      </c>
      <c r="D67" s="267" t="s">
        <v>174</v>
      </c>
      <c r="E67" s="267">
        <v>30</v>
      </c>
      <c r="F67" s="267">
        <v>6206</v>
      </c>
      <c r="G67" s="269">
        <v>6950</v>
      </c>
      <c r="H67" s="269">
        <v>6900</v>
      </c>
      <c r="I67" s="269">
        <v>50</v>
      </c>
      <c r="J67" s="270">
        <f t="shared" ref="J67:J98" si="2">IFERROR(I67/(H67+I67),"")</f>
        <v>7.1942446043165471E-3</v>
      </c>
      <c r="K67" s="267"/>
      <c r="L67" s="267"/>
      <c r="M67" s="267">
        <v>180</v>
      </c>
      <c r="N67" s="267"/>
      <c r="O67" s="267"/>
      <c r="P67" s="267"/>
      <c r="Q67" s="267"/>
      <c r="R67" s="267"/>
      <c r="S67" s="267"/>
    </row>
    <row r="68" spans="1:19" ht="15" customHeight="1" x14ac:dyDescent="0.25">
      <c r="A68" s="268">
        <v>46247</v>
      </c>
      <c r="B68" s="267" t="s">
        <v>319</v>
      </c>
      <c r="C68" s="267" t="s">
        <v>173</v>
      </c>
      <c r="D68" s="267" t="s">
        <v>174</v>
      </c>
      <c r="E68" s="267">
        <v>30</v>
      </c>
      <c r="F68" s="267">
        <v>6206</v>
      </c>
      <c r="G68" s="269">
        <v>13162</v>
      </c>
      <c r="H68" s="269">
        <v>12852</v>
      </c>
      <c r="I68" s="269">
        <v>310</v>
      </c>
      <c r="J68" s="270">
        <f t="shared" si="2"/>
        <v>2.3552651572709315E-2</v>
      </c>
      <c r="K68" s="267"/>
      <c r="L68" s="267"/>
      <c r="M68" s="267">
        <v>280</v>
      </c>
      <c r="N68" s="267"/>
      <c r="O68" s="267"/>
      <c r="P68" s="267"/>
      <c r="Q68" s="267"/>
      <c r="R68" s="267"/>
      <c r="S68" s="267"/>
    </row>
    <row r="69" spans="1:19" ht="15" customHeight="1" x14ac:dyDescent="0.25">
      <c r="A69" s="268">
        <v>46249</v>
      </c>
      <c r="B69" s="267" t="s">
        <v>314</v>
      </c>
      <c r="C69" s="267" t="s">
        <v>173</v>
      </c>
      <c r="D69" s="267" t="s">
        <v>174</v>
      </c>
      <c r="E69" s="267">
        <v>30</v>
      </c>
      <c r="F69" s="267">
        <v>6206</v>
      </c>
      <c r="G69" s="269">
        <v>0</v>
      </c>
      <c r="H69" s="269">
        <v>0</v>
      </c>
      <c r="I69" s="269">
        <v>0</v>
      </c>
      <c r="J69" s="270" t="str">
        <f t="shared" si="2"/>
        <v/>
      </c>
      <c r="K69" s="267"/>
      <c r="L69" s="267"/>
      <c r="M69" s="267">
        <v>480</v>
      </c>
      <c r="N69" s="267"/>
      <c r="O69" s="267"/>
      <c r="P69" s="267"/>
      <c r="Q69" s="267"/>
      <c r="R69" s="267"/>
      <c r="S69" s="267"/>
    </row>
    <row r="70" spans="1:19" ht="15" customHeight="1" x14ac:dyDescent="0.25">
      <c r="A70" s="268">
        <v>46249</v>
      </c>
      <c r="B70" s="267" t="s">
        <v>315</v>
      </c>
      <c r="C70" s="267" t="s">
        <v>173</v>
      </c>
      <c r="D70" s="267" t="s">
        <v>174</v>
      </c>
      <c r="E70" s="267">
        <v>30</v>
      </c>
      <c r="F70" s="267">
        <v>6206</v>
      </c>
      <c r="G70" s="269">
        <v>0</v>
      </c>
      <c r="H70" s="269">
        <v>0</v>
      </c>
      <c r="I70" s="269">
        <v>0</v>
      </c>
      <c r="J70" s="270" t="str">
        <f t="shared" si="2"/>
        <v/>
      </c>
      <c r="K70" s="267"/>
      <c r="L70" s="267"/>
      <c r="M70" s="267">
        <v>480</v>
      </c>
      <c r="N70" s="267"/>
      <c r="O70" s="267"/>
      <c r="P70" s="267"/>
      <c r="Q70" s="267"/>
      <c r="R70" s="267"/>
      <c r="S70" s="267"/>
    </row>
    <row r="71" spans="1:19" ht="15" customHeight="1" x14ac:dyDescent="0.25">
      <c r="A71" s="268">
        <v>46249</v>
      </c>
      <c r="B71" s="267" t="s">
        <v>316</v>
      </c>
      <c r="C71" s="267" t="s">
        <v>187</v>
      </c>
      <c r="D71" s="267" t="s">
        <v>317</v>
      </c>
      <c r="E71" s="267" t="s">
        <v>189</v>
      </c>
      <c r="F71" s="267">
        <v>8001</v>
      </c>
      <c r="G71" s="269">
        <v>0</v>
      </c>
      <c r="H71" s="269">
        <v>0</v>
      </c>
      <c r="I71" s="269">
        <v>0</v>
      </c>
      <c r="J71" s="270" t="str">
        <f t="shared" si="2"/>
        <v/>
      </c>
      <c r="K71" s="267">
        <v>960</v>
      </c>
      <c r="L71" s="267"/>
      <c r="M71" s="267"/>
      <c r="N71" s="267"/>
      <c r="O71" s="267"/>
      <c r="P71" s="267"/>
      <c r="Q71" s="267"/>
      <c r="R71" s="267"/>
      <c r="S71" s="267"/>
    </row>
    <row r="72" spans="1:19" ht="15" customHeight="1" x14ac:dyDescent="0.25">
      <c r="A72" s="268">
        <v>46249</v>
      </c>
      <c r="B72" s="267" t="s">
        <v>318</v>
      </c>
      <c r="C72" s="267" t="s">
        <v>173</v>
      </c>
      <c r="D72" s="267" t="s">
        <v>174</v>
      </c>
      <c r="E72" s="267">
        <v>30</v>
      </c>
      <c r="F72" s="267">
        <v>6206</v>
      </c>
      <c r="G72" s="269">
        <v>0</v>
      </c>
      <c r="H72" s="269">
        <v>0</v>
      </c>
      <c r="I72" s="269">
        <v>0</v>
      </c>
      <c r="J72" s="270" t="str">
        <f t="shared" si="2"/>
        <v/>
      </c>
      <c r="K72" s="267"/>
      <c r="L72" s="267"/>
      <c r="M72" s="267">
        <v>480</v>
      </c>
      <c r="N72" s="267"/>
      <c r="O72" s="267"/>
      <c r="P72" s="267"/>
      <c r="Q72" s="267"/>
      <c r="R72" s="267"/>
      <c r="S72" s="267"/>
    </row>
    <row r="73" spans="1:19" ht="15" customHeight="1" x14ac:dyDescent="0.25">
      <c r="A73" s="268">
        <v>46249</v>
      </c>
      <c r="B73" s="267" t="s">
        <v>319</v>
      </c>
      <c r="C73" s="267" t="s">
        <v>173</v>
      </c>
      <c r="D73" s="267" t="s">
        <v>174</v>
      </c>
      <c r="E73" s="267">
        <v>30</v>
      </c>
      <c r="F73" s="267">
        <v>6206</v>
      </c>
      <c r="G73" s="269">
        <v>0</v>
      </c>
      <c r="H73" s="269">
        <v>0</v>
      </c>
      <c r="I73" s="269">
        <v>0</v>
      </c>
      <c r="J73" s="270" t="str">
        <f t="shared" si="2"/>
        <v/>
      </c>
      <c r="K73" s="267"/>
      <c r="L73" s="267"/>
      <c r="M73" s="267">
        <v>480</v>
      </c>
      <c r="N73" s="267"/>
      <c r="O73" s="267"/>
      <c r="P73" s="267"/>
      <c r="Q73" s="267"/>
      <c r="R73" s="267"/>
      <c r="S73" s="267"/>
    </row>
    <row r="74" spans="1:19" ht="15" customHeight="1" x14ac:dyDescent="0.25">
      <c r="A74" s="268">
        <v>46251</v>
      </c>
      <c r="B74" s="267" t="s">
        <v>314</v>
      </c>
      <c r="C74" s="267" t="s">
        <v>173</v>
      </c>
      <c r="D74" s="267" t="s">
        <v>174</v>
      </c>
      <c r="E74" s="267">
        <v>30</v>
      </c>
      <c r="F74" s="267">
        <v>6206</v>
      </c>
      <c r="G74" s="269">
        <v>0</v>
      </c>
      <c r="H74" s="269">
        <v>0</v>
      </c>
      <c r="I74" s="269">
        <v>0</v>
      </c>
      <c r="J74" s="270" t="str">
        <f t="shared" si="2"/>
        <v/>
      </c>
      <c r="K74" s="267"/>
      <c r="L74" s="267"/>
      <c r="M74" s="267">
        <v>480</v>
      </c>
      <c r="N74" s="267"/>
      <c r="O74" s="267"/>
      <c r="P74" s="267"/>
      <c r="Q74" s="267"/>
      <c r="R74" s="267"/>
      <c r="S74" s="267"/>
    </row>
    <row r="75" spans="1:19" ht="15" customHeight="1" x14ac:dyDescent="0.25">
      <c r="A75" s="268">
        <v>46251</v>
      </c>
      <c r="B75" s="267" t="s">
        <v>315</v>
      </c>
      <c r="C75" s="267" t="s">
        <v>173</v>
      </c>
      <c r="D75" s="267" t="s">
        <v>174</v>
      </c>
      <c r="E75" s="267">
        <v>30</v>
      </c>
      <c r="F75" s="267">
        <v>6206</v>
      </c>
      <c r="G75" s="269">
        <v>0</v>
      </c>
      <c r="H75" s="269">
        <v>0</v>
      </c>
      <c r="I75" s="269">
        <v>0</v>
      </c>
      <c r="J75" s="270" t="str">
        <f t="shared" si="2"/>
        <v/>
      </c>
      <c r="K75" s="267"/>
      <c r="L75" s="267"/>
      <c r="M75" s="267">
        <v>480</v>
      </c>
      <c r="N75" s="267"/>
      <c r="O75" s="267"/>
      <c r="P75" s="267"/>
      <c r="Q75" s="267"/>
      <c r="R75" s="267"/>
      <c r="S75" s="267"/>
    </row>
    <row r="76" spans="1:19" ht="15" customHeight="1" x14ac:dyDescent="0.25">
      <c r="A76" s="268">
        <v>46251</v>
      </c>
      <c r="B76" s="267" t="s">
        <v>316</v>
      </c>
      <c r="C76" s="267" t="s">
        <v>187</v>
      </c>
      <c r="D76" s="267" t="s">
        <v>317</v>
      </c>
      <c r="E76" s="267" t="s">
        <v>189</v>
      </c>
      <c r="F76" s="267">
        <v>8001</v>
      </c>
      <c r="G76" s="269">
        <v>0</v>
      </c>
      <c r="H76" s="269">
        <v>0</v>
      </c>
      <c r="I76" s="269">
        <v>0</v>
      </c>
      <c r="J76" s="270" t="str">
        <f t="shared" si="2"/>
        <v/>
      </c>
      <c r="K76" s="267">
        <v>960</v>
      </c>
      <c r="L76" s="267"/>
      <c r="M76" s="267"/>
      <c r="N76" s="267"/>
      <c r="O76" s="267"/>
      <c r="P76" s="267"/>
      <c r="Q76" s="267"/>
      <c r="R76" s="267"/>
      <c r="S76" s="267"/>
    </row>
    <row r="77" spans="1:19" ht="15" customHeight="1" x14ac:dyDescent="0.25">
      <c r="A77" s="268">
        <v>46251</v>
      </c>
      <c r="B77" s="267" t="s">
        <v>318</v>
      </c>
      <c r="C77" s="267" t="s">
        <v>173</v>
      </c>
      <c r="D77" s="267" t="s">
        <v>174</v>
      </c>
      <c r="E77" s="267">
        <v>30</v>
      </c>
      <c r="F77" s="267">
        <v>6206</v>
      </c>
      <c r="G77" s="269">
        <v>0</v>
      </c>
      <c r="H77" s="269">
        <v>0</v>
      </c>
      <c r="I77" s="269">
        <v>0</v>
      </c>
      <c r="J77" s="270" t="str">
        <f t="shared" si="2"/>
        <v/>
      </c>
      <c r="K77" s="267"/>
      <c r="L77" s="267"/>
      <c r="M77" s="267">
        <v>480</v>
      </c>
      <c r="N77" s="267"/>
      <c r="O77" s="267"/>
      <c r="P77" s="267"/>
      <c r="Q77" s="267"/>
      <c r="R77" s="267"/>
      <c r="S77" s="267"/>
    </row>
    <row r="78" spans="1:19" ht="15" customHeight="1" x14ac:dyDescent="0.25">
      <c r="A78" s="268">
        <v>46251</v>
      </c>
      <c r="B78" s="267" t="s">
        <v>319</v>
      </c>
      <c r="C78" s="267" t="s">
        <v>173</v>
      </c>
      <c r="D78" s="267" t="s">
        <v>174</v>
      </c>
      <c r="E78" s="267">
        <v>30</v>
      </c>
      <c r="F78" s="267">
        <v>6206</v>
      </c>
      <c r="G78" s="269">
        <v>0</v>
      </c>
      <c r="H78" s="269">
        <v>0</v>
      </c>
      <c r="I78" s="269">
        <v>0</v>
      </c>
      <c r="J78" s="270" t="str">
        <f t="shared" si="2"/>
        <v/>
      </c>
      <c r="K78" s="267"/>
      <c r="L78" s="267"/>
      <c r="M78" s="267">
        <v>480</v>
      </c>
      <c r="N78" s="267"/>
      <c r="O78" s="267"/>
      <c r="P78" s="267"/>
      <c r="Q78" s="267"/>
      <c r="R78" s="267"/>
      <c r="S78" s="267"/>
    </row>
    <row r="79" spans="1:19" ht="15" customHeight="1" x14ac:dyDescent="0.25">
      <c r="A79" s="268">
        <v>46252</v>
      </c>
      <c r="B79" s="267" t="s">
        <v>314</v>
      </c>
      <c r="C79" s="267" t="s">
        <v>173</v>
      </c>
      <c r="D79" s="267" t="s">
        <v>174</v>
      </c>
      <c r="E79" s="267">
        <v>30</v>
      </c>
      <c r="F79" s="267">
        <v>6206</v>
      </c>
      <c r="G79" s="269">
        <v>0</v>
      </c>
      <c r="H79" s="269">
        <v>0</v>
      </c>
      <c r="I79" s="269">
        <v>0</v>
      </c>
      <c r="J79" s="270" t="str">
        <f t="shared" si="2"/>
        <v/>
      </c>
      <c r="K79" s="267"/>
      <c r="L79" s="267"/>
      <c r="M79" s="267">
        <v>480</v>
      </c>
      <c r="N79" s="267"/>
      <c r="O79" s="267"/>
      <c r="P79" s="267"/>
      <c r="Q79" s="267"/>
      <c r="R79" s="267"/>
      <c r="S79" s="267"/>
    </row>
    <row r="80" spans="1:19" ht="15" customHeight="1" x14ac:dyDescent="0.25">
      <c r="A80" s="268">
        <v>46252</v>
      </c>
      <c r="B80" s="267" t="s">
        <v>315</v>
      </c>
      <c r="C80" s="267" t="s">
        <v>173</v>
      </c>
      <c r="D80" s="267" t="s">
        <v>174</v>
      </c>
      <c r="E80" s="267">
        <v>30</v>
      </c>
      <c r="F80" s="267">
        <v>6206</v>
      </c>
      <c r="G80" s="269">
        <v>0</v>
      </c>
      <c r="H80" s="269">
        <v>0</v>
      </c>
      <c r="I80" s="269">
        <v>0</v>
      </c>
      <c r="J80" s="270" t="str">
        <f t="shared" si="2"/>
        <v/>
      </c>
      <c r="K80" s="267"/>
      <c r="L80" s="267"/>
      <c r="M80" s="267">
        <v>480</v>
      </c>
      <c r="N80" s="267"/>
      <c r="O80" s="267"/>
      <c r="P80" s="267"/>
      <c r="Q80" s="267"/>
      <c r="R80" s="267"/>
      <c r="S80" s="267"/>
    </row>
    <row r="81" spans="1:19" ht="15" customHeight="1" x14ac:dyDescent="0.25">
      <c r="A81" s="268">
        <v>46252</v>
      </c>
      <c r="B81" s="267" t="s">
        <v>316</v>
      </c>
      <c r="C81" s="267" t="s">
        <v>187</v>
      </c>
      <c r="D81" s="267" t="s">
        <v>317</v>
      </c>
      <c r="E81" s="267" t="s">
        <v>189</v>
      </c>
      <c r="F81" s="267">
        <v>8001</v>
      </c>
      <c r="G81" s="269">
        <v>0</v>
      </c>
      <c r="H81" s="269">
        <v>0</v>
      </c>
      <c r="I81" s="269">
        <v>0</v>
      </c>
      <c r="J81" s="270" t="str">
        <f t="shared" si="2"/>
        <v/>
      </c>
      <c r="K81" s="267">
        <v>960</v>
      </c>
      <c r="L81" s="267"/>
      <c r="M81" s="267"/>
      <c r="N81" s="267"/>
      <c r="O81" s="267"/>
      <c r="P81" s="267"/>
      <c r="Q81" s="267"/>
      <c r="R81" s="267"/>
      <c r="S81" s="267"/>
    </row>
    <row r="82" spans="1:19" ht="15" customHeight="1" x14ac:dyDescent="0.25">
      <c r="A82" s="268">
        <v>46252</v>
      </c>
      <c r="B82" s="267" t="s">
        <v>318</v>
      </c>
      <c r="C82" s="267" t="s">
        <v>173</v>
      </c>
      <c r="D82" s="267" t="s">
        <v>174</v>
      </c>
      <c r="E82" s="267">
        <v>30</v>
      </c>
      <c r="F82" s="267">
        <v>6206</v>
      </c>
      <c r="G82" s="269">
        <v>0</v>
      </c>
      <c r="H82" s="269">
        <v>0</v>
      </c>
      <c r="I82" s="269">
        <v>0</v>
      </c>
      <c r="J82" s="270" t="str">
        <f t="shared" si="2"/>
        <v/>
      </c>
      <c r="K82" s="267"/>
      <c r="L82" s="267"/>
      <c r="M82" s="267">
        <v>480</v>
      </c>
      <c r="N82" s="267"/>
      <c r="O82" s="267"/>
      <c r="P82" s="267"/>
      <c r="Q82" s="267"/>
      <c r="R82" s="267"/>
      <c r="S82" s="267"/>
    </row>
    <row r="83" spans="1:19" ht="15" customHeight="1" x14ac:dyDescent="0.25">
      <c r="A83" s="268">
        <v>46252</v>
      </c>
      <c r="B83" s="267" t="s">
        <v>319</v>
      </c>
      <c r="C83" s="267" t="s">
        <v>173</v>
      </c>
      <c r="D83" s="267" t="s">
        <v>174</v>
      </c>
      <c r="E83" s="267">
        <v>30</v>
      </c>
      <c r="F83" s="267">
        <v>6206</v>
      </c>
      <c r="G83" s="269">
        <v>0</v>
      </c>
      <c r="H83" s="269">
        <v>0</v>
      </c>
      <c r="I83" s="269">
        <v>0</v>
      </c>
      <c r="J83" s="270" t="str">
        <f t="shared" si="2"/>
        <v/>
      </c>
      <c r="K83" s="267"/>
      <c r="L83" s="267"/>
      <c r="M83" s="267">
        <v>480</v>
      </c>
      <c r="N83" s="267"/>
      <c r="O83" s="267"/>
      <c r="P83" s="267"/>
      <c r="Q83" s="267"/>
      <c r="R83" s="267"/>
      <c r="S83" s="267"/>
    </row>
    <row r="84" spans="1:19" ht="15" customHeight="1" x14ac:dyDescent="0.25">
      <c r="A84" s="268">
        <v>46253</v>
      </c>
      <c r="B84" s="267" t="s">
        <v>314</v>
      </c>
      <c r="C84" s="267" t="s">
        <v>173</v>
      </c>
      <c r="D84" s="267" t="s">
        <v>174</v>
      </c>
      <c r="E84" s="267">
        <v>30</v>
      </c>
      <c r="F84" s="267">
        <v>6206</v>
      </c>
      <c r="G84" s="269">
        <v>0</v>
      </c>
      <c r="H84" s="269">
        <v>0</v>
      </c>
      <c r="I84" s="269">
        <v>0</v>
      </c>
      <c r="J84" s="270" t="str">
        <f t="shared" si="2"/>
        <v/>
      </c>
      <c r="K84" s="267"/>
      <c r="L84" s="267"/>
      <c r="M84" s="267">
        <v>480</v>
      </c>
      <c r="N84" s="267"/>
      <c r="O84" s="267"/>
      <c r="P84" s="267"/>
      <c r="Q84" s="267"/>
      <c r="R84" s="267"/>
      <c r="S84" s="267"/>
    </row>
    <row r="85" spans="1:19" ht="15" customHeight="1" x14ac:dyDescent="0.25">
      <c r="A85" s="268">
        <v>46253</v>
      </c>
      <c r="B85" s="267" t="s">
        <v>315</v>
      </c>
      <c r="C85" s="267" t="s">
        <v>173</v>
      </c>
      <c r="D85" s="267" t="s">
        <v>174</v>
      </c>
      <c r="E85" s="267">
        <v>30</v>
      </c>
      <c r="F85" s="267">
        <v>6206</v>
      </c>
      <c r="G85" s="269">
        <v>0</v>
      </c>
      <c r="H85" s="269">
        <v>0</v>
      </c>
      <c r="I85" s="269">
        <v>0</v>
      </c>
      <c r="J85" s="270" t="str">
        <f t="shared" si="2"/>
        <v/>
      </c>
      <c r="K85" s="267"/>
      <c r="L85" s="267"/>
      <c r="M85" s="267"/>
      <c r="N85" s="267"/>
      <c r="O85" s="267">
        <v>480</v>
      </c>
      <c r="P85" s="267"/>
      <c r="Q85" s="267"/>
      <c r="R85" s="267"/>
      <c r="S85" s="267"/>
    </row>
    <row r="86" spans="1:19" ht="15" customHeight="1" x14ac:dyDescent="0.25">
      <c r="A86" s="268">
        <v>46253</v>
      </c>
      <c r="B86" s="267" t="s">
        <v>316</v>
      </c>
      <c r="C86" s="267" t="s">
        <v>187</v>
      </c>
      <c r="D86" s="267" t="s">
        <v>317</v>
      </c>
      <c r="E86" s="267" t="s">
        <v>189</v>
      </c>
      <c r="F86" s="267">
        <v>8001</v>
      </c>
      <c r="G86" s="269">
        <v>10805</v>
      </c>
      <c r="H86" s="269">
        <v>10005</v>
      </c>
      <c r="I86" s="269">
        <v>800</v>
      </c>
      <c r="J86" s="270">
        <f t="shared" si="2"/>
        <v>7.4039796390559923E-2</v>
      </c>
      <c r="K86" s="267">
        <v>240</v>
      </c>
      <c r="L86" s="267"/>
      <c r="M86" s="267"/>
      <c r="N86" s="267"/>
      <c r="O86" s="267"/>
      <c r="P86" s="267"/>
      <c r="Q86" s="267"/>
      <c r="R86" s="267"/>
      <c r="S86" s="267"/>
    </row>
    <row r="87" spans="1:19" ht="15" customHeight="1" x14ac:dyDescent="0.25">
      <c r="A87" s="268">
        <v>46253</v>
      </c>
      <c r="B87" s="267" t="s">
        <v>318</v>
      </c>
      <c r="C87" s="267" t="s">
        <v>173</v>
      </c>
      <c r="D87" s="267" t="s">
        <v>174</v>
      </c>
      <c r="E87" s="267">
        <v>30</v>
      </c>
      <c r="F87" s="267">
        <v>6206</v>
      </c>
      <c r="G87" s="269">
        <v>9000</v>
      </c>
      <c r="H87" s="269">
        <v>8890</v>
      </c>
      <c r="I87" s="269">
        <v>110</v>
      </c>
      <c r="J87" s="270">
        <f t="shared" si="2"/>
        <v>1.2222222222222223E-2</v>
      </c>
      <c r="K87" s="267"/>
      <c r="L87" s="267"/>
      <c r="M87" s="267"/>
      <c r="N87" s="267"/>
      <c r="O87" s="267">
        <v>240</v>
      </c>
      <c r="P87" s="267"/>
      <c r="Q87" s="267"/>
      <c r="R87" s="267"/>
      <c r="S87" s="267"/>
    </row>
    <row r="88" spans="1:19" ht="15" customHeight="1" x14ac:dyDescent="0.25">
      <c r="A88" s="268">
        <v>46253</v>
      </c>
      <c r="B88" s="267" t="s">
        <v>319</v>
      </c>
      <c r="C88" s="267" t="s">
        <v>173</v>
      </c>
      <c r="D88" s="267" t="s">
        <v>174</v>
      </c>
      <c r="E88" s="267">
        <v>30</v>
      </c>
      <c r="F88" s="267">
        <v>6206</v>
      </c>
      <c r="G88" s="269">
        <v>0</v>
      </c>
      <c r="H88" s="269">
        <v>0</v>
      </c>
      <c r="I88" s="269">
        <v>0</v>
      </c>
      <c r="J88" s="270" t="str">
        <f t="shared" si="2"/>
        <v/>
      </c>
      <c r="K88" s="267"/>
      <c r="L88" s="267"/>
      <c r="M88" s="267">
        <v>480</v>
      </c>
      <c r="N88" s="267"/>
      <c r="O88" s="267"/>
      <c r="P88" s="267"/>
      <c r="Q88" s="267"/>
      <c r="R88" s="267"/>
      <c r="S88" s="267"/>
    </row>
    <row r="89" spans="1:19" ht="15" customHeight="1" x14ac:dyDescent="0.25">
      <c r="A89" s="268">
        <v>46254</v>
      </c>
      <c r="B89" s="267" t="s">
        <v>314</v>
      </c>
      <c r="C89" s="267" t="s">
        <v>173</v>
      </c>
      <c r="D89" s="267" t="s">
        <v>174</v>
      </c>
      <c r="E89" s="267">
        <v>30</v>
      </c>
      <c r="F89" s="267">
        <v>6206</v>
      </c>
      <c r="G89" s="269">
        <v>12000</v>
      </c>
      <c r="H89" s="269">
        <v>11850</v>
      </c>
      <c r="I89" s="269">
        <v>150</v>
      </c>
      <c r="J89" s="270">
        <f t="shared" si="2"/>
        <v>1.2500000000000001E-2</v>
      </c>
      <c r="K89" s="267"/>
      <c r="L89" s="267"/>
      <c r="M89" s="267">
        <v>180</v>
      </c>
      <c r="N89" s="267"/>
      <c r="O89" s="267"/>
      <c r="P89" s="267"/>
      <c r="Q89" s="267"/>
      <c r="R89" s="267"/>
      <c r="S89" s="267"/>
    </row>
    <row r="90" spans="1:19" ht="15" customHeight="1" x14ac:dyDescent="0.25">
      <c r="A90" s="268">
        <v>46254</v>
      </c>
      <c r="B90" s="267" t="s">
        <v>315</v>
      </c>
      <c r="C90" s="267" t="s">
        <v>173</v>
      </c>
      <c r="D90" s="267" t="s">
        <v>174</v>
      </c>
      <c r="E90" s="267">
        <v>30</v>
      </c>
      <c r="F90" s="267">
        <v>6206</v>
      </c>
      <c r="G90" s="269">
        <v>0</v>
      </c>
      <c r="H90" s="269">
        <v>0</v>
      </c>
      <c r="I90" s="269">
        <v>0</v>
      </c>
      <c r="J90" s="270" t="str">
        <f t="shared" si="2"/>
        <v/>
      </c>
      <c r="K90" s="267"/>
      <c r="L90" s="267"/>
      <c r="M90" s="267"/>
      <c r="N90" s="267"/>
      <c r="O90" s="267">
        <v>480</v>
      </c>
      <c r="P90" s="267"/>
      <c r="Q90" s="267"/>
      <c r="R90" s="267"/>
      <c r="S90" s="267"/>
    </row>
    <row r="91" spans="1:19" ht="15" customHeight="1" x14ac:dyDescent="0.25">
      <c r="A91" s="268">
        <v>46254</v>
      </c>
      <c r="B91" s="267" t="s">
        <v>316</v>
      </c>
      <c r="C91" s="267" t="s">
        <v>187</v>
      </c>
      <c r="D91" s="267" t="s">
        <v>317</v>
      </c>
      <c r="E91" s="267" t="s">
        <v>189</v>
      </c>
      <c r="F91" s="267">
        <v>8001</v>
      </c>
      <c r="G91" s="269">
        <v>18370</v>
      </c>
      <c r="H91" s="269">
        <v>17020</v>
      </c>
      <c r="I91" s="269">
        <v>1350</v>
      </c>
      <c r="J91" s="270">
        <f t="shared" si="2"/>
        <v>7.348938486663037E-2</v>
      </c>
      <c r="K91" s="267">
        <v>300</v>
      </c>
      <c r="L91" s="267"/>
      <c r="M91" s="267"/>
      <c r="N91" s="267"/>
      <c r="O91" s="267"/>
      <c r="P91" s="267"/>
      <c r="Q91" s="267"/>
      <c r="R91" s="267"/>
      <c r="S91" s="267"/>
    </row>
    <row r="92" spans="1:19" ht="15" customHeight="1" x14ac:dyDescent="0.25">
      <c r="A92" s="268">
        <v>46254</v>
      </c>
      <c r="B92" s="267" t="s">
        <v>318</v>
      </c>
      <c r="C92" s="267" t="s">
        <v>173</v>
      </c>
      <c r="D92" s="267" t="s">
        <v>174</v>
      </c>
      <c r="E92" s="267">
        <v>30</v>
      </c>
      <c r="F92" s="267">
        <v>6206</v>
      </c>
      <c r="G92" s="269">
        <v>14000</v>
      </c>
      <c r="H92" s="269">
        <v>13880</v>
      </c>
      <c r="I92" s="269">
        <v>120</v>
      </c>
      <c r="J92" s="270">
        <f t="shared" si="2"/>
        <v>8.5714285714285719E-3</v>
      </c>
      <c r="K92" s="267">
        <v>120</v>
      </c>
      <c r="L92" s="267"/>
      <c r="M92" s="267"/>
      <c r="N92" s="267"/>
      <c r="O92" s="267"/>
      <c r="P92" s="267"/>
      <c r="Q92" s="267"/>
      <c r="R92" s="267"/>
      <c r="S92" s="267"/>
    </row>
    <row r="93" spans="1:19" ht="15" customHeight="1" x14ac:dyDescent="0.25">
      <c r="A93" s="268">
        <v>46254</v>
      </c>
      <c r="B93" s="267" t="s">
        <v>319</v>
      </c>
      <c r="C93" s="267" t="s">
        <v>173</v>
      </c>
      <c r="D93" s="267" t="s">
        <v>174</v>
      </c>
      <c r="E93" s="267">
        <v>30</v>
      </c>
      <c r="F93" s="267">
        <v>6206</v>
      </c>
      <c r="G93" s="269">
        <v>6902</v>
      </c>
      <c r="H93" s="269">
        <v>6722</v>
      </c>
      <c r="I93" s="269">
        <v>180</v>
      </c>
      <c r="J93" s="270">
        <f t="shared" si="2"/>
        <v>2.6079397276151842E-2</v>
      </c>
      <c r="K93" s="267"/>
      <c r="L93" s="267"/>
      <c r="M93" s="267"/>
      <c r="N93" s="267">
        <v>60</v>
      </c>
      <c r="O93" s="267">
        <v>240</v>
      </c>
      <c r="P93" s="267"/>
      <c r="Q93" s="267"/>
      <c r="R93" s="267"/>
      <c r="S93" s="267"/>
    </row>
    <row r="94" spans="1:19" ht="15" customHeight="1" x14ac:dyDescent="0.25">
      <c r="A94" s="268">
        <v>46255</v>
      </c>
      <c r="B94" s="267" t="s">
        <v>314</v>
      </c>
      <c r="C94" s="267" t="s">
        <v>173</v>
      </c>
      <c r="D94" s="267" t="s">
        <v>174</v>
      </c>
      <c r="E94" s="267">
        <v>30</v>
      </c>
      <c r="F94" s="267">
        <v>6206</v>
      </c>
      <c r="G94" s="269">
        <v>24000</v>
      </c>
      <c r="H94" s="269">
        <v>23590</v>
      </c>
      <c r="I94" s="269">
        <v>410</v>
      </c>
      <c r="J94" s="270">
        <f t="shared" si="2"/>
        <v>1.7083333333333332E-2</v>
      </c>
      <c r="K94" s="267"/>
      <c r="L94" s="267"/>
      <c r="M94" s="267"/>
      <c r="N94" s="267"/>
      <c r="O94" s="267"/>
      <c r="P94" s="267"/>
      <c r="Q94" s="267"/>
      <c r="R94" s="267"/>
      <c r="S94" s="267"/>
    </row>
    <row r="95" spans="1:19" ht="15" customHeight="1" x14ac:dyDescent="0.25">
      <c r="A95" s="268">
        <v>46255</v>
      </c>
      <c r="B95" s="267" t="s">
        <v>315</v>
      </c>
      <c r="C95" s="267" t="s">
        <v>173</v>
      </c>
      <c r="D95" s="267" t="s">
        <v>174</v>
      </c>
      <c r="E95" s="267">
        <v>30</v>
      </c>
      <c r="F95" s="267">
        <v>6206</v>
      </c>
      <c r="G95" s="269">
        <v>23086</v>
      </c>
      <c r="H95" s="269">
        <v>23066</v>
      </c>
      <c r="I95" s="269">
        <v>20</v>
      </c>
      <c r="J95" s="270">
        <f t="shared" si="2"/>
        <v>8.6632591180802214E-4</v>
      </c>
      <c r="K95" s="267"/>
      <c r="L95" s="267"/>
      <c r="M95" s="267"/>
      <c r="N95" s="267"/>
      <c r="O95" s="267"/>
      <c r="P95" s="267"/>
      <c r="Q95" s="267"/>
      <c r="R95" s="267"/>
      <c r="S95" s="267"/>
    </row>
    <row r="96" spans="1:19" ht="15" customHeight="1" x14ac:dyDescent="0.25">
      <c r="A96" s="268">
        <v>46255</v>
      </c>
      <c r="B96" s="267" t="s">
        <v>316</v>
      </c>
      <c r="C96" s="267" t="s">
        <v>187</v>
      </c>
      <c r="D96" s="267" t="s">
        <v>317</v>
      </c>
      <c r="E96" s="267" t="s">
        <v>189</v>
      </c>
      <c r="F96" s="267">
        <v>8001</v>
      </c>
      <c r="G96" s="269">
        <v>13780</v>
      </c>
      <c r="H96" s="269">
        <v>12075</v>
      </c>
      <c r="I96" s="269">
        <v>1705</v>
      </c>
      <c r="J96" s="270">
        <f t="shared" si="2"/>
        <v>0.1237300435413643</v>
      </c>
      <c r="K96" s="267">
        <v>500</v>
      </c>
      <c r="L96" s="267"/>
      <c r="M96" s="267"/>
      <c r="N96" s="267"/>
      <c r="O96" s="267"/>
      <c r="P96" s="267"/>
      <c r="Q96" s="267"/>
      <c r="R96" s="267"/>
      <c r="S96" s="267"/>
    </row>
    <row r="97" spans="1:19" ht="15" customHeight="1" x14ac:dyDescent="0.25">
      <c r="A97" s="268">
        <v>46255</v>
      </c>
      <c r="B97" s="267" t="s">
        <v>318</v>
      </c>
      <c r="C97" s="267" t="s">
        <v>173</v>
      </c>
      <c r="D97" s="267" t="s">
        <v>174</v>
      </c>
      <c r="E97" s="267">
        <v>30</v>
      </c>
      <c r="F97" s="267">
        <v>6206</v>
      </c>
      <c r="G97" s="269">
        <v>22500</v>
      </c>
      <c r="H97" s="269">
        <v>22375</v>
      </c>
      <c r="I97" s="269">
        <v>125</v>
      </c>
      <c r="J97" s="270">
        <f t="shared" si="2"/>
        <v>5.5555555555555558E-3</v>
      </c>
      <c r="K97" s="267"/>
      <c r="L97" s="267"/>
      <c r="M97" s="267"/>
      <c r="N97" s="267"/>
      <c r="O97" s="267"/>
      <c r="P97" s="267"/>
      <c r="Q97" s="267"/>
      <c r="R97" s="267"/>
      <c r="S97" s="267"/>
    </row>
    <row r="98" spans="1:19" ht="15" customHeight="1" x14ac:dyDescent="0.25">
      <c r="A98" s="268">
        <v>46255</v>
      </c>
      <c r="B98" s="267" t="s">
        <v>319</v>
      </c>
      <c r="C98" s="267" t="s">
        <v>173</v>
      </c>
      <c r="D98" s="267" t="s">
        <v>174</v>
      </c>
      <c r="E98" s="267">
        <v>30</v>
      </c>
      <c r="F98" s="267">
        <v>6206</v>
      </c>
      <c r="G98" s="269">
        <v>25370</v>
      </c>
      <c r="H98" s="269">
        <v>24990</v>
      </c>
      <c r="I98" s="269">
        <v>380</v>
      </c>
      <c r="J98" s="270">
        <f t="shared" si="2"/>
        <v>1.4978320851399291E-2</v>
      </c>
      <c r="K98" s="267"/>
      <c r="L98" s="267"/>
      <c r="M98" s="267"/>
      <c r="N98" s="267"/>
      <c r="O98" s="267"/>
      <c r="P98" s="267"/>
      <c r="Q98" s="267"/>
      <c r="R98" s="267"/>
      <c r="S98" s="267"/>
    </row>
    <row r="99" spans="1:19" ht="15" customHeight="1" x14ac:dyDescent="0.25">
      <c r="A99" s="268">
        <v>46256</v>
      </c>
      <c r="B99" s="267" t="s">
        <v>314</v>
      </c>
      <c r="C99" s="267" t="s">
        <v>173</v>
      </c>
      <c r="D99" s="267" t="s">
        <v>174</v>
      </c>
      <c r="E99" s="267">
        <v>30</v>
      </c>
      <c r="F99" s="267">
        <v>6206</v>
      </c>
      <c r="G99" s="269">
        <v>21000</v>
      </c>
      <c r="H99" s="269">
        <v>20620</v>
      </c>
      <c r="I99" s="269">
        <v>380</v>
      </c>
      <c r="J99" s="270">
        <f t="shared" ref="J99:J130" si="3">IFERROR(I99/(H99+I99),"")</f>
        <v>1.8095238095238095E-2</v>
      </c>
      <c r="K99" s="267"/>
      <c r="L99" s="267"/>
      <c r="M99" s="267"/>
      <c r="N99" s="267"/>
      <c r="O99" s="267"/>
      <c r="P99" s="267"/>
      <c r="Q99" s="267"/>
      <c r="R99" s="267"/>
      <c r="S99" s="267"/>
    </row>
    <row r="100" spans="1:19" ht="15" customHeight="1" x14ac:dyDescent="0.25">
      <c r="A100" s="268">
        <v>46256</v>
      </c>
      <c r="B100" s="267" t="s">
        <v>315</v>
      </c>
      <c r="C100" s="267" t="s">
        <v>173</v>
      </c>
      <c r="D100" s="267" t="s">
        <v>174</v>
      </c>
      <c r="E100" s="267">
        <v>30</v>
      </c>
      <c r="F100" s="267">
        <v>6206</v>
      </c>
      <c r="G100" s="269">
        <v>25000</v>
      </c>
      <c r="H100" s="269">
        <v>24975</v>
      </c>
      <c r="I100" s="269">
        <v>25</v>
      </c>
      <c r="J100" s="270">
        <f t="shared" si="3"/>
        <v>1E-3</v>
      </c>
      <c r="K100" s="267"/>
      <c r="L100" s="267"/>
      <c r="M100" s="267"/>
      <c r="N100" s="267"/>
      <c r="O100" s="267"/>
      <c r="P100" s="267"/>
      <c r="Q100" s="267"/>
      <c r="R100" s="267"/>
      <c r="S100" s="267"/>
    </row>
    <row r="101" spans="1:19" ht="15" customHeight="1" x14ac:dyDescent="0.25">
      <c r="A101" s="268">
        <v>46256</v>
      </c>
      <c r="B101" s="267" t="s">
        <v>316</v>
      </c>
      <c r="C101" s="267" t="s">
        <v>187</v>
      </c>
      <c r="D101" s="267" t="s">
        <v>317</v>
      </c>
      <c r="E101" s="267" t="s">
        <v>189</v>
      </c>
      <c r="F101" s="267">
        <v>8001</v>
      </c>
      <c r="G101" s="269">
        <v>0</v>
      </c>
      <c r="H101" s="269">
        <v>0</v>
      </c>
      <c r="I101" s="269">
        <v>0</v>
      </c>
      <c r="J101" s="270" t="str">
        <f t="shared" si="3"/>
        <v/>
      </c>
      <c r="K101" s="267">
        <v>960</v>
      </c>
      <c r="L101" s="267"/>
      <c r="M101" s="267"/>
      <c r="N101" s="267"/>
      <c r="O101" s="267"/>
      <c r="P101" s="267"/>
      <c r="Q101" s="267"/>
      <c r="R101" s="267"/>
      <c r="S101" s="267"/>
    </row>
    <row r="102" spans="1:19" ht="15" customHeight="1" x14ac:dyDescent="0.25">
      <c r="A102" s="268">
        <v>46256</v>
      </c>
      <c r="B102" s="267" t="s">
        <v>318</v>
      </c>
      <c r="C102" s="267" t="s">
        <v>173</v>
      </c>
      <c r="D102" s="267" t="s">
        <v>174</v>
      </c>
      <c r="E102" s="267">
        <v>30</v>
      </c>
      <c r="F102" s="267">
        <v>6206</v>
      </c>
      <c r="G102" s="269">
        <v>22000</v>
      </c>
      <c r="H102" s="269">
        <v>21885</v>
      </c>
      <c r="I102" s="269">
        <v>115</v>
      </c>
      <c r="J102" s="270">
        <f t="shared" si="3"/>
        <v>5.2272727272727271E-3</v>
      </c>
      <c r="K102" s="267"/>
      <c r="L102" s="267"/>
      <c r="M102" s="267"/>
      <c r="N102" s="267"/>
      <c r="O102" s="267"/>
      <c r="P102" s="267"/>
      <c r="Q102" s="267"/>
      <c r="R102" s="267"/>
      <c r="S102" s="267"/>
    </row>
    <row r="103" spans="1:19" ht="15" customHeight="1" x14ac:dyDescent="0.25">
      <c r="A103" s="268">
        <v>46256</v>
      </c>
      <c r="B103" s="267" t="s">
        <v>319</v>
      </c>
      <c r="C103" s="267" t="s">
        <v>173</v>
      </c>
      <c r="D103" s="267" t="s">
        <v>174</v>
      </c>
      <c r="E103" s="267">
        <v>30</v>
      </c>
      <c r="F103" s="267">
        <v>6206</v>
      </c>
      <c r="G103" s="269">
        <v>22584</v>
      </c>
      <c r="H103" s="269">
        <v>22134</v>
      </c>
      <c r="I103" s="269">
        <v>450</v>
      </c>
      <c r="J103" s="270">
        <f t="shared" si="3"/>
        <v>1.9925611052072262E-2</v>
      </c>
      <c r="K103" s="267"/>
      <c r="L103" s="267"/>
      <c r="M103" s="267"/>
      <c r="N103" s="267"/>
      <c r="O103" s="267"/>
      <c r="P103" s="267"/>
      <c r="Q103" s="267"/>
      <c r="R103" s="267"/>
      <c r="S103" s="267"/>
    </row>
    <row r="104" spans="1:19" ht="15" customHeight="1" x14ac:dyDescent="0.25">
      <c r="A104" s="160"/>
      <c r="B104" s="161"/>
      <c r="C104" s="161"/>
      <c r="D104" s="161"/>
      <c r="E104" s="161"/>
      <c r="F104" s="161"/>
      <c r="G104" s="162"/>
      <c r="H104" s="162"/>
      <c r="I104" s="162"/>
      <c r="J104" s="163"/>
      <c r="K104" s="161"/>
      <c r="L104" s="161"/>
      <c r="M104" s="161"/>
      <c r="N104" s="161"/>
      <c r="O104" s="161"/>
      <c r="P104" s="161"/>
      <c r="Q104" s="161"/>
      <c r="R104" s="161"/>
      <c r="S104" s="161"/>
    </row>
    <row r="105" spans="1:19" ht="15" customHeight="1" x14ac:dyDescent="0.25">
      <c r="A105" s="160"/>
      <c r="B105" s="161"/>
      <c r="C105" s="161"/>
      <c r="D105" s="161"/>
      <c r="E105" s="161"/>
      <c r="F105" s="161"/>
      <c r="G105" s="162"/>
      <c r="H105" s="162"/>
      <c r="I105" s="162"/>
      <c r="J105" s="163"/>
      <c r="K105" s="161"/>
      <c r="L105" s="161"/>
      <c r="M105" s="161"/>
      <c r="N105" s="161"/>
      <c r="O105" s="161"/>
      <c r="P105" s="161"/>
      <c r="Q105" s="161"/>
      <c r="R105" s="161"/>
      <c r="S105" s="161"/>
    </row>
    <row r="106" spans="1:19" ht="15" customHeight="1" x14ac:dyDescent="0.25">
      <c r="A106" s="160"/>
      <c r="B106" s="161"/>
      <c r="C106" s="161"/>
      <c r="D106" s="161"/>
      <c r="E106" s="161"/>
      <c r="F106" s="161"/>
      <c r="G106" s="162"/>
      <c r="H106" s="162"/>
      <c r="I106" s="162"/>
      <c r="J106" s="163"/>
      <c r="K106" s="161"/>
      <c r="L106" s="161"/>
      <c r="M106" s="161"/>
      <c r="N106" s="161"/>
      <c r="O106" s="161"/>
      <c r="P106" s="161"/>
      <c r="Q106" s="161"/>
      <c r="R106" s="161"/>
      <c r="S106" s="161"/>
    </row>
    <row r="107" spans="1:19" ht="15" customHeight="1" x14ac:dyDescent="0.25">
      <c r="A107" s="160"/>
      <c r="B107" s="161"/>
      <c r="C107" s="161"/>
      <c r="D107" s="161"/>
      <c r="E107" s="161"/>
      <c r="F107" s="161"/>
      <c r="G107" s="162"/>
      <c r="H107" s="162"/>
      <c r="I107" s="162"/>
      <c r="J107" s="163"/>
      <c r="K107" s="161"/>
      <c r="L107" s="161"/>
      <c r="M107" s="161"/>
      <c r="N107" s="161"/>
      <c r="O107" s="161"/>
      <c r="P107" s="161"/>
      <c r="Q107" s="161"/>
      <c r="R107" s="161"/>
      <c r="S107" s="161"/>
    </row>
    <row r="108" spans="1:19" ht="15" customHeight="1" x14ac:dyDescent="0.25">
      <c r="A108" s="160"/>
      <c r="B108" s="161"/>
      <c r="C108" s="161"/>
      <c r="D108" s="161"/>
      <c r="E108" s="161"/>
      <c r="F108" s="161"/>
      <c r="G108" s="162"/>
      <c r="H108" s="162"/>
      <c r="I108" s="162"/>
      <c r="J108" s="163"/>
      <c r="K108" s="161"/>
      <c r="L108" s="161"/>
      <c r="M108" s="161"/>
      <c r="N108" s="161"/>
      <c r="O108" s="161"/>
      <c r="P108" s="161"/>
      <c r="Q108" s="161"/>
      <c r="R108" s="161"/>
      <c r="S108" s="161"/>
    </row>
    <row r="109" spans="1:19" ht="15" customHeight="1" x14ac:dyDescent="0.25">
      <c r="A109" s="160"/>
      <c r="B109" s="161"/>
      <c r="C109" s="161"/>
      <c r="D109" s="161"/>
      <c r="E109" s="161"/>
      <c r="F109" s="161"/>
      <c r="G109" s="162"/>
      <c r="H109" s="162"/>
      <c r="I109" s="162"/>
      <c r="J109" s="163"/>
      <c r="K109" s="161"/>
      <c r="L109" s="161"/>
      <c r="M109" s="161"/>
      <c r="N109" s="161"/>
      <c r="O109" s="161"/>
      <c r="P109" s="161"/>
      <c r="Q109" s="161"/>
      <c r="R109" s="161"/>
      <c r="S109" s="161"/>
    </row>
    <row r="110" spans="1:19" ht="15" customHeight="1" x14ac:dyDescent="0.25">
      <c r="A110" s="160"/>
      <c r="B110" s="161"/>
      <c r="C110" s="161"/>
      <c r="D110" s="161"/>
      <c r="E110" s="161"/>
      <c r="F110" s="161"/>
      <c r="G110" s="162"/>
      <c r="H110" s="162"/>
      <c r="I110" s="162"/>
      <c r="J110" s="163"/>
      <c r="K110" s="161"/>
      <c r="L110" s="161"/>
      <c r="M110" s="161"/>
      <c r="N110" s="161"/>
      <c r="O110" s="161"/>
      <c r="P110" s="161"/>
      <c r="Q110" s="161"/>
      <c r="R110" s="161"/>
      <c r="S110" s="161"/>
    </row>
    <row r="111" spans="1:19" ht="15" customHeight="1" x14ac:dyDescent="0.25">
      <c r="A111" s="160"/>
      <c r="B111" s="161"/>
      <c r="C111" s="161"/>
      <c r="D111" s="161"/>
      <c r="E111" s="161"/>
      <c r="F111" s="161"/>
      <c r="G111" s="162"/>
      <c r="H111" s="162"/>
      <c r="I111" s="162"/>
      <c r="J111" s="163"/>
      <c r="K111" s="161"/>
      <c r="L111" s="161"/>
      <c r="M111" s="161"/>
      <c r="N111" s="161"/>
      <c r="O111" s="161"/>
      <c r="P111" s="161"/>
      <c r="Q111" s="161"/>
      <c r="R111" s="161"/>
      <c r="S111" s="161"/>
    </row>
    <row r="112" spans="1:19" ht="15" customHeight="1" x14ac:dyDescent="0.25">
      <c r="A112" s="160"/>
      <c r="B112" s="161"/>
      <c r="C112" s="161"/>
      <c r="D112" s="161"/>
      <c r="E112" s="161"/>
      <c r="F112" s="161"/>
      <c r="G112" s="162"/>
      <c r="H112" s="162"/>
      <c r="I112" s="162"/>
      <c r="J112" s="163"/>
      <c r="K112" s="161"/>
      <c r="L112" s="161"/>
      <c r="M112" s="161"/>
      <c r="N112" s="161"/>
      <c r="O112" s="161"/>
      <c r="P112" s="161"/>
      <c r="Q112" s="161"/>
      <c r="R112" s="161"/>
      <c r="S112" s="161"/>
    </row>
    <row r="113" spans="1:19" ht="15" customHeight="1" x14ac:dyDescent="0.25">
      <c r="A113" s="160"/>
      <c r="B113" s="161"/>
      <c r="C113" s="161"/>
      <c r="D113" s="161"/>
      <c r="E113" s="161"/>
      <c r="F113" s="161"/>
      <c r="G113" s="162"/>
      <c r="H113" s="162"/>
      <c r="I113" s="162"/>
      <c r="J113" s="163"/>
      <c r="K113" s="161"/>
      <c r="L113" s="161"/>
      <c r="M113" s="161"/>
      <c r="N113" s="161"/>
      <c r="O113" s="161"/>
      <c r="P113" s="161"/>
      <c r="Q113" s="161"/>
      <c r="R113" s="161"/>
      <c r="S113" s="161"/>
    </row>
    <row r="114" spans="1:19" ht="15" customHeight="1" x14ac:dyDescent="0.25">
      <c r="A114" s="160"/>
      <c r="B114" s="161"/>
      <c r="C114" s="161"/>
      <c r="D114" s="161"/>
      <c r="E114" s="161"/>
      <c r="F114" s="161"/>
      <c r="G114" s="162"/>
      <c r="H114" s="162"/>
      <c r="I114" s="162"/>
      <c r="J114" s="163"/>
      <c r="K114" s="161"/>
      <c r="L114" s="161"/>
      <c r="M114" s="161"/>
      <c r="N114" s="161"/>
      <c r="O114" s="161"/>
      <c r="P114" s="161"/>
      <c r="Q114" s="161"/>
      <c r="R114" s="161"/>
      <c r="S114" s="161"/>
    </row>
    <row r="115" spans="1:19" ht="15" customHeight="1" x14ac:dyDescent="0.25">
      <c r="A115" s="160"/>
      <c r="B115" s="161"/>
      <c r="C115" s="161"/>
      <c r="D115" s="161"/>
      <c r="E115" s="161"/>
      <c r="F115" s="161"/>
      <c r="G115" s="162"/>
      <c r="H115" s="162"/>
      <c r="I115" s="162"/>
      <c r="J115" s="163"/>
      <c r="K115" s="161"/>
      <c r="L115" s="161"/>
      <c r="M115" s="161"/>
      <c r="N115" s="161"/>
      <c r="O115" s="161"/>
      <c r="P115" s="161"/>
      <c r="Q115" s="161"/>
      <c r="R115" s="161"/>
      <c r="S115" s="161"/>
    </row>
    <row r="116" spans="1:19" ht="15" customHeight="1" x14ac:dyDescent="0.25">
      <c r="A116" s="160"/>
      <c r="B116" s="161"/>
      <c r="C116" s="161"/>
      <c r="D116" s="161"/>
      <c r="E116" s="161"/>
      <c r="F116" s="161"/>
      <c r="G116" s="162"/>
      <c r="H116" s="162"/>
      <c r="I116" s="162"/>
      <c r="J116" s="163"/>
      <c r="K116" s="161"/>
      <c r="L116" s="161"/>
      <c r="M116" s="161"/>
      <c r="N116" s="161"/>
      <c r="O116" s="161"/>
      <c r="P116" s="161"/>
      <c r="Q116" s="161"/>
      <c r="R116" s="161"/>
      <c r="S116" s="161"/>
    </row>
    <row r="117" spans="1:19" ht="15" customHeight="1" x14ac:dyDescent="0.25">
      <c r="A117" s="160"/>
      <c r="B117" s="161"/>
      <c r="C117" s="161"/>
      <c r="D117" s="161"/>
      <c r="E117" s="161"/>
      <c r="F117" s="161"/>
      <c r="G117" s="162"/>
      <c r="H117" s="162"/>
      <c r="I117" s="162"/>
      <c r="J117" s="163"/>
      <c r="K117" s="161"/>
      <c r="L117" s="161"/>
      <c r="M117" s="161"/>
      <c r="N117" s="161"/>
      <c r="O117" s="161"/>
      <c r="P117" s="161"/>
      <c r="Q117" s="161"/>
      <c r="R117" s="161"/>
      <c r="S117" s="161"/>
    </row>
    <row r="118" spans="1:19" ht="15" customHeight="1" x14ac:dyDescent="0.25">
      <c r="A118" s="160"/>
      <c r="B118" s="161"/>
      <c r="C118" s="161"/>
      <c r="D118" s="161"/>
      <c r="E118" s="161"/>
      <c r="F118" s="161"/>
      <c r="G118" s="162"/>
      <c r="H118" s="162"/>
      <c r="I118" s="162"/>
      <c r="J118" s="163"/>
      <c r="K118" s="161"/>
      <c r="L118" s="161"/>
      <c r="M118" s="161"/>
      <c r="N118" s="161"/>
      <c r="O118" s="161"/>
      <c r="P118" s="161"/>
      <c r="Q118" s="161"/>
      <c r="R118" s="161"/>
      <c r="S118" s="161"/>
    </row>
    <row r="119" spans="1:19" ht="15" customHeight="1" x14ac:dyDescent="0.25">
      <c r="A119" s="160"/>
      <c r="B119" s="161"/>
      <c r="C119" s="161"/>
      <c r="D119" s="161"/>
      <c r="E119" s="161"/>
      <c r="F119" s="161"/>
      <c r="G119" s="162"/>
      <c r="H119" s="162"/>
      <c r="I119" s="162"/>
      <c r="J119" s="163"/>
      <c r="K119" s="161"/>
      <c r="L119" s="161"/>
      <c r="M119" s="161"/>
      <c r="N119" s="161"/>
      <c r="O119" s="161"/>
      <c r="P119" s="161"/>
      <c r="Q119" s="161"/>
      <c r="R119" s="161"/>
      <c r="S119" s="161"/>
    </row>
    <row r="120" spans="1:19" ht="15" customHeight="1" x14ac:dyDescent="0.25">
      <c r="A120" s="160"/>
      <c r="B120" s="161"/>
      <c r="C120" s="161"/>
      <c r="D120" s="161"/>
      <c r="E120" s="161"/>
      <c r="F120" s="161"/>
      <c r="G120" s="162"/>
      <c r="H120" s="162"/>
      <c r="I120" s="162"/>
      <c r="J120" s="163"/>
      <c r="K120" s="161"/>
      <c r="L120" s="161"/>
      <c r="M120" s="161"/>
      <c r="N120" s="161"/>
      <c r="O120" s="161"/>
      <c r="P120" s="161"/>
      <c r="Q120" s="161"/>
      <c r="R120" s="161"/>
      <c r="S120" s="161"/>
    </row>
    <row r="121" spans="1:19" ht="15" customHeight="1" x14ac:dyDescent="0.25">
      <c r="A121" s="160"/>
      <c r="B121" s="161"/>
      <c r="C121" s="161"/>
      <c r="D121" s="161"/>
      <c r="E121" s="161"/>
      <c r="F121" s="161"/>
      <c r="G121" s="162"/>
      <c r="H121" s="162"/>
      <c r="I121" s="162"/>
      <c r="J121" s="163"/>
      <c r="K121" s="161"/>
      <c r="L121" s="161"/>
      <c r="M121" s="161"/>
      <c r="N121" s="161"/>
      <c r="O121" s="161"/>
      <c r="P121" s="161"/>
      <c r="Q121" s="161"/>
      <c r="R121" s="161"/>
      <c r="S121" s="161"/>
    </row>
    <row r="122" spans="1:19" ht="15" customHeight="1" x14ac:dyDescent="0.25">
      <c r="A122" s="160"/>
      <c r="B122" s="161"/>
      <c r="C122" s="161"/>
      <c r="D122" s="161"/>
      <c r="E122" s="161"/>
      <c r="F122" s="161"/>
      <c r="G122" s="162"/>
      <c r="H122" s="162"/>
      <c r="I122" s="162"/>
      <c r="J122" s="163"/>
      <c r="K122" s="161"/>
      <c r="L122" s="161"/>
      <c r="M122" s="161"/>
      <c r="N122" s="161"/>
      <c r="O122" s="161"/>
      <c r="P122" s="161"/>
      <c r="Q122" s="161"/>
      <c r="R122" s="161"/>
      <c r="S122" s="161"/>
    </row>
    <row r="123" spans="1:19" ht="15" customHeight="1" x14ac:dyDescent="0.25">
      <c r="A123" s="160"/>
      <c r="B123" s="161"/>
      <c r="C123" s="161"/>
      <c r="D123" s="161"/>
      <c r="E123" s="161"/>
      <c r="F123" s="161"/>
      <c r="G123" s="162"/>
      <c r="H123" s="162"/>
      <c r="I123" s="162"/>
      <c r="J123" s="163"/>
      <c r="K123" s="161"/>
      <c r="L123" s="161"/>
      <c r="M123" s="161"/>
      <c r="N123" s="161"/>
      <c r="O123" s="161"/>
      <c r="P123" s="161"/>
      <c r="Q123" s="161"/>
      <c r="R123" s="161"/>
      <c r="S123" s="161"/>
    </row>
    <row r="124" spans="1:19" ht="15" customHeight="1" x14ac:dyDescent="0.25">
      <c r="A124" s="160"/>
      <c r="B124" s="161"/>
      <c r="C124" s="161"/>
      <c r="D124" s="161"/>
      <c r="E124" s="161"/>
      <c r="F124" s="161"/>
      <c r="G124" s="162"/>
      <c r="H124" s="162"/>
      <c r="I124" s="162"/>
      <c r="J124" s="163"/>
      <c r="K124" s="161"/>
      <c r="L124" s="161"/>
      <c r="M124" s="161"/>
      <c r="N124" s="161"/>
      <c r="O124" s="161"/>
      <c r="P124" s="161"/>
      <c r="Q124" s="161"/>
      <c r="R124" s="161"/>
      <c r="S124" s="161"/>
    </row>
    <row r="125" spans="1:19" ht="15" customHeight="1" x14ac:dyDescent="0.25">
      <c r="A125" s="160"/>
      <c r="B125" s="161"/>
      <c r="C125" s="161"/>
      <c r="D125" s="161"/>
      <c r="E125" s="161"/>
      <c r="F125" s="161"/>
      <c r="G125" s="162"/>
      <c r="H125" s="162"/>
      <c r="I125" s="162"/>
      <c r="J125" s="163"/>
      <c r="K125" s="161"/>
      <c r="L125" s="161"/>
      <c r="M125" s="161"/>
      <c r="N125" s="161"/>
      <c r="O125" s="161"/>
      <c r="P125" s="161"/>
      <c r="Q125" s="161"/>
      <c r="R125" s="161"/>
      <c r="S125" s="161"/>
    </row>
    <row r="126" spans="1:19" ht="15" customHeight="1" x14ac:dyDescent="0.25">
      <c r="A126" s="160"/>
      <c r="B126" s="161"/>
      <c r="C126" s="161"/>
      <c r="D126" s="161"/>
      <c r="E126" s="161"/>
      <c r="F126" s="161"/>
      <c r="G126" s="162"/>
      <c r="H126" s="162"/>
      <c r="I126" s="162"/>
      <c r="J126" s="163"/>
      <c r="K126" s="161"/>
      <c r="L126" s="161"/>
      <c r="M126" s="161"/>
      <c r="N126" s="161"/>
      <c r="O126" s="161"/>
      <c r="P126" s="161"/>
      <c r="Q126" s="161"/>
      <c r="R126" s="161"/>
      <c r="S126" s="161"/>
    </row>
    <row r="127" spans="1:19" ht="15" customHeight="1" x14ac:dyDescent="0.25">
      <c r="A127" s="160"/>
      <c r="B127" s="161"/>
      <c r="C127" s="161"/>
      <c r="D127" s="161"/>
      <c r="E127" s="161"/>
      <c r="F127" s="161"/>
      <c r="G127" s="162"/>
      <c r="H127" s="162"/>
      <c r="I127" s="162"/>
      <c r="J127" s="163"/>
      <c r="K127" s="161"/>
      <c r="L127" s="161"/>
      <c r="M127" s="161"/>
      <c r="N127" s="161"/>
      <c r="O127" s="161"/>
      <c r="P127" s="161"/>
      <c r="Q127" s="161"/>
      <c r="R127" s="161"/>
      <c r="S127" s="161"/>
    </row>
    <row r="128" spans="1:19" ht="15" customHeight="1" x14ac:dyDescent="0.25">
      <c r="A128" s="160"/>
      <c r="B128" s="161"/>
      <c r="C128" s="161"/>
      <c r="D128" s="161"/>
      <c r="E128" s="161"/>
      <c r="F128" s="161"/>
      <c r="G128" s="162"/>
      <c r="H128" s="162"/>
      <c r="I128" s="162"/>
      <c r="J128" s="163"/>
      <c r="K128" s="161"/>
      <c r="L128" s="161"/>
      <c r="M128" s="161"/>
      <c r="N128" s="161"/>
      <c r="O128" s="161"/>
      <c r="P128" s="161"/>
      <c r="Q128" s="161"/>
      <c r="R128" s="161"/>
      <c r="S128" s="161"/>
    </row>
    <row r="129" spans="1:19" ht="15" customHeight="1" x14ac:dyDescent="0.25">
      <c r="A129" s="160"/>
      <c r="B129" s="161"/>
      <c r="C129" s="161"/>
      <c r="D129" s="161"/>
      <c r="E129" s="161"/>
      <c r="F129" s="161"/>
      <c r="G129" s="162"/>
      <c r="H129" s="162"/>
      <c r="I129" s="162"/>
      <c r="J129" s="163"/>
      <c r="K129" s="161"/>
      <c r="L129" s="161"/>
      <c r="M129" s="161"/>
      <c r="N129" s="161"/>
      <c r="O129" s="161"/>
      <c r="P129" s="161"/>
      <c r="Q129" s="161"/>
      <c r="R129" s="161"/>
      <c r="S129" s="161"/>
    </row>
    <row r="130" spans="1:19" ht="15" customHeight="1" x14ac:dyDescent="0.25">
      <c r="A130" s="160"/>
      <c r="B130" s="161"/>
      <c r="C130" s="161"/>
      <c r="D130" s="161"/>
      <c r="E130" s="161"/>
      <c r="F130" s="161"/>
      <c r="G130" s="162"/>
      <c r="H130" s="162"/>
      <c r="I130" s="162"/>
      <c r="J130" s="163"/>
      <c r="K130" s="161"/>
      <c r="L130" s="161"/>
      <c r="M130" s="161"/>
      <c r="N130" s="161"/>
      <c r="O130" s="161"/>
      <c r="P130" s="161"/>
      <c r="Q130" s="161"/>
      <c r="R130" s="161"/>
      <c r="S130" s="161"/>
    </row>
    <row r="131" spans="1:19" ht="15" customHeight="1" x14ac:dyDescent="0.25">
      <c r="A131" s="160"/>
      <c r="B131" s="161"/>
      <c r="C131" s="161"/>
      <c r="D131" s="161"/>
      <c r="E131" s="161"/>
      <c r="F131" s="161"/>
      <c r="G131" s="162"/>
      <c r="H131" s="162"/>
      <c r="I131" s="162"/>
      <c r="J131" s="163"/>
      <c r="K131" s="161"/>
      <c r="L131" s="161"/>
      <c r="M131" s="161"/>
      <c r="N131" s="161"/>
      <c r="O131" s="161"/>
      <c r="P131" s="161"/>
      <c r="Q131" s="161"/>
      <c r="R131" s="161"/>
      <c r="S131" s="161"/>
    </row>
    <row r="132" spans="1:19" ht="15" customHeight="1" x14ac:dyDescent="0.25">
      <c r="A132" s="160"/>
      <c r="B132" s="161"/>
      <c r="C132" s="161"/>
      <c r="D132" s="161"/>
      <c r="E132" s="161"/>
      <c r="F132" s="161"/>
      <c r="G132" s="162"/>
      <c r="H132" s="162"/>
      <c r="I132" s="162"/>
      <c r="J132" s="163"/>
      <c r="K132" s="161"/>
      <c r="L132" s="161"/>
      <c r="M132" s="161"/>
      <c r="N132" s="161"/>
      <c r="O132" s="161"/>
      <c r="P132" s="161"/>
      <c r="Q132" s="161"/>
      <c r="R132" s="161"/>
      <c r="S132" s="161"/>
    </row>
    <row r="133" spans="1:19" ht="15" customHeight="1" x14ac:dyDescent="0.25">
      <c r="A133" s="160"/>
      <c r="B133" s="161"/>
      <c r="C133" s="161"/>
      <c r="D133" s="161"/>
      <c r="E133" s="161"/>
      <c r="F133" s="161"/>
      <c r="G133" s="162"/>
      <c r="H133" s="162"/>
      <c r="I133" s="162"/>
      <c r="J133" s="163"/>
      <c r="K133" s="161"/>
      <c r="L133" s="161"/>
      <c r="M133" s="161"/>
      <c r="N133" s="161"/>
      <c r="O133" s="161"/>
      <c r="P133" s="161"/>
      <c r="Q133" s="161"/>
      <c r="R133" s="161"/>
      <c r="S133" s="161"/>
    </row>
    <row r="134" spans="1:19" ht="15" customHeight="1" x14ac:dyDescent="0.25">
      <c r="A134" s="160"/>
      <c r="B134" s="161"/>
      <c r="C134" s="161"/>
      <c r="D134" s="161"/>
      <c r="E134" s="161"/>
      <c r="F134" s="161"/>
      <c r="G134" s="162"/>
      <c r="H134" s="162"/>
      <c r="I134" s="162"/>
      <c r="J134" s="163"/>
      <c r="K134" s="161"/>
      <c r="L134" s="161"/>
      <c r="M134" s="161"/>
      <c r="N134" s="161"/>
      <c r="O134" s="161"/>
      <c r="P134" s="161"/>
      <c r="Q134" s="161"/>
      <c r="R134" s="161"/>
      <c r="S134" s="161"/>
    </row>
    <row r="135" spans="1:19" ht="15" customHeight="1" x14ac:dyDescent="0.25">
      <c r="A135" s="160"/>
      <c r="B135" s="161"/>
      <c r="C135" s="161"/>
      <c r="D135" s="161"/>
      <c r="E135" s="161"/>
      <c r="F135" s="161"/>
      <c r="G135" s="162"/>
      <c r="H135" s="162"/>
      <c r="I135" s="162"/>
      <c r="J135" s="163"/>
      <c r="K135" s="161"/>
      <c r="L135" s="161"/>
      <c r="M135" s="161"/>
      <c r="N135" s="161"/>
      <c r="O135" s="161"/>
      <c r="P135" s="161"/>
      <c r="Q135" s="161"/>
      <c r="R135" s="161"/>
      <c r="S135" s="161"/>
    </row>
    <row r="136" spans="1:19" ht="15" customHeight="1" x14ac:dyDescent="0.25">
      <c r="A136" s="160"/>
      <c r="B136" s="161"/>
      <c r="C136" s="161"/>
      <c r="D136" s="161"/>
      <c r="E136" s="161"/>
      <c r="F136" s="161"/>
      <c r="G136" s="162"/>
      <c r="H136" s="162"/>
      <c r="I136" s="162"/>
      <c r="J136" s="163"/>
      <c r="K136" s="161"/>
      <c r="L136" s="161"/>
      <c r="M136" s="161"/>
      <c r="N136" s="161"/>
      <c r="O136" s="161"/>
      <c r="P136" s="161"/>
      <c r="Q136" s="161"/>
      <c r="R136" s="161"/>
      <c r="S136" s="161"/>
    </row>
    <row r="137" spans="1:19" ht="15" customHeight="1" x14ac:dyDescent="0.25">
      <c r="A137" s="160"/>
      <c r="B137" s="161"/>
      <c r="C137" s="161"/>
      <c r="D137" s="161"/>
      <c r="E137" s="161"/>
      <c r="F137" s="161"/>
      <c r="G137" s="162"/>
      <c r="H137" s="162"/>
      <c r="I137" s="162"/>
      <c r="J137" s="163"/>
      <c r="K137" s="161"/>
      <c r="L137" s="161"/>
      <c r="M137" s="161"/>
      <c r="N137" s="161"/>
      <c r="O137" s="161"/>
      <c r="P137" s="161"/>
      <c r="Q137" s="161"/>
      <c r="R137" s="161"/>
      <c r="S137" s="161"/>
    </row>
    <row r="138" spans="1:19" ht="15" customHeight="1" x14ac:dyDescent="0.25">
      <c r="A138" s="160"/>
      <c r="B138" s="161"/>
      <c r="C138" s="161"/>
      <c r="D138" s="161"/>
      <c r="E138" s="161"/>
      <c r="F138" s="161"/>
      <c r="G138" s="162"/>
      <c r="H138" s="162"/>
      <c r="I138" s="162"/>
      <c r="J138" s="163"/>
      <c r="K138" s="161"/>
      <c r="L138" s="161"/>
      <c r="M138" s="161"/>
      <c r="N138" s="161"/>
      <c r="O138" s="161"/>
      <c r="P138" s="161"/>
      <c r="Q138" s="161"/>
      <c r="R138" s="161"/>
      <c r="S138" s="161"/>
    </row>
    <row r="139" spans="1:19" ht="15" customHeight="1" x14ac:dyDescent="0.25">
      <c r="A139" s="160"/>
      <c r="B139" s="161"/>
      <c r="C139" s="161"/>
      <c r="D139" s="161"/>
      <c r="E139" s="161"/>
      <c r="F139" s="161"/>
      <c r="G139" s="162"/>
      <c r="H139" s="162"/>
      <c r="I139" s="162"/>
      <c r="J139" s="163"/>
      <c r="K139" s="161"/>
      <c r="L139" s="161"/>
      <c r="M139" s="161"/>
      <c r="N139" s="161"/>
      <c r="O139" s="161"/>
      <c r="P139" s="161"/>
      <c r="Q139" s="161"/>
      <c r="R139" s="161"/>
      <c r="S139" s="161"/>
    </row>
    <row r="140" spans="1:19" ht="15" customHeight="1" x14ac:dyDescent="0.25">
      <c r="A140" s="160"/>
      <c r="B140" s="161"/>
      <c r="C140" s="161"/>
      <c r="D140" s="161"/>
      <c r="E140" s="161"/>
      <c r="F140" s="161"/>
      <c r="G140" s="162"/>
      <c r="H140" s="162"/>
      <c r="I140" s="162"/>
      <c r="J140" s="163"/>
      <c r="K140" s="161"/>
      <c r="L140" s="161"/>
      <c r="M140" s="161"/>
      <c r="N140" s="161"/>
      <c r="O140" s="161"/>
      <c r="P140" s="161"/>
      <c r="Q140" s="161"/>
      <c r="R140" s="161"/>
      <c r="S140" s="161"/>
    </row>
    <row r="141" spans="1:19" ht="15" customHeight="1" x14ac:dyDescent="0.25">
      <c r="A141" s="160"/>
      <c r="B141" s="161"/>
      <c r="C141" s="161"/>
      <c r="D141" s="161"/>
      <c r="E141" s="161"/>
      <c r="F141" s="161"/>
      <c r="G141" s="162"/>
      <c r="H141" s="162"/>
      <c r="I141" s="162"/>
      <c r="J141" s="163"/>
      <c r="K141" s="161"/>
      <c r="L141" s="161"/>
      <c r="M141" s="161"/>
      <c r="N141" s="161"/>
      <c r="O141" s="161"/>
      <c r="P141" s="161"/>
      <c r="Q141" s="161"/>
      <c r="R141" s="161"/>
      <c r="S141" s="161"/>
    </row>
    <row r="142" spans="1:19" ht="15" customHeight="1" x14ac:dyDescent="0.25">
      <c r="A142" s="160"/>
      <c r="B142" s="161"/>
      <c r="C142" s="161"/>
      <c r="D142" s="161"/>
      <c r="E142" s="161"/>
      <c r="F142" s="161"/>
      <c r="G142" s="162"/>
      <c r="H142" s="162"/>
      <c r="I142" s="162"/>
      <c r="J142" s="163"/>
      <c r="K142" s="161"/>
      <c r="L142" s="161"/>
      <c r="M142" s="161"/>
      <c r="N142" s="161"/>
      <c r="O142" s="161"/>
      <c r="P142" s="161"/>
      <c r="Q142" s="161"/>
      <c r="R142" s="161"/>
      <c r="S142" s="161"/>
    </row>
    <row r="143" spans="1:19" ht="15" customHeight="1" x14ac:dyDescent="0.25">
      <c r="A143" s="160"/>
      <c r="B143" s="161"/>
      <c r="C143" s="161"/>
      <c r="D143" s="161"/>
      <c r="E143" s="161"/>
      <c r="F143" s="161"/>
      <c r="G143" s="162"/>
      <c r="H143" s="162"/>
      <c r="I143" s="162"/>
      <c r="J143" s="163"/>
      <c r="K143" s="161"/>
      <c r="L143" s="161"/>
      <c r="M143" s="161"/>
      <c r="N143" s="161"/>
      <c r="O143" s="161"/>
      <c r="P143" s="161"/>
      <c r="Q143" s="161"/>
      <c r="R143" s="161"/>
      <c r="S143" s="161"/>
    </row>
    <row r="144" spans="1:19" ht="15" customHeight="1" x14ac:dyDescent="0.25">
      <c r="A144" s="160"/>
      <c r="B144" s="161"/>
      <c r="C144" s="161"/>
      <c r="D144" s="161"/>
      <c r="E144" s="161"/>
      <c r="F144" s="161"/>
      <c r="G144" s="162"/>
      <c r="H144" s="162"/>
      <c r="I144" s="162"/>
      <c r="J144" s="163"/>
      <c r="K144" s="161"/>
      <c r="L144" s="161"/>
      <c r="M144" s="161"/>
      <c r="N144" s="161"/>
      <c r="O144" s="161"/>
      <c r="P144" s="161"/>
      <c r="Q144" s="161"/>
      <c r="R144" s="161"/>
      <c r="S144" s="161"/>
    </row>
    <row r="145" spans="1:19" ht="15" customHeight="1" x14ac:dyDescent="0.25">
      <c r="A145" s="160"/>
      <c r="B145" s="161"/>
      <c r="C145" s="161"/>
      <c r="D145" s="161"/>
      <c r="E145" s="161"/>
      <c r="F145" s="161"/>
      <c r="G145" s="162"/>
      <c r="H145" s="162"/>
      <c r="I145" s="162"/>
      <c r="J145" s="163"/>
      <c r="K145" s="161"/>
      <c r="L145" s="161"/>
      <c r="M145" s="161"/>
      <c r="N145" s="161"/>
      <c r="O145" s="161"/>
      <c r="P145" s="161"/>
      <c r="Q145" s="161"/>
      <c r="R145" s="161"/>
      <c r="S145" s="161"/>
    </row>
    <row r="146" spans="1:19" ht="15" customHeight="1" x14ac:dyDescent="0.25">
      <c r="A146" s="160"/>
      <c r="B146" s="161"/>
      <c r="C146" s="161"/>
      <c r="D146" s="161"/>
      <c r="E146" s="161"/>
      <c r="F146" s="161"/>
      <c r="G146" s="162"/>
      <c r="H146" s="162"/>
      <c r="I146" s="162"/>
      <c r="J146" s="163"/>
      <c r="K146" s="161"/>
      <c r="L146" s="161"/>
      <c r="M146" s="161"/>
      <c r="N146" s="161"/>
      <c r="O146" s="161"/>
      <c r="P146" s="161"/>
      <c r="Q146" s="161"/>
      <c r="R146" s="161"/>
      <c r="S146" s="161"/>
    </row>
    <row r="147" spans="1:19" ht="15" customHeight="1" x14ac:dyDescent="0.25">
      <c r="A147" s="160"/>
      <c r="B147" s="161"/>
      <c r="C147" s="161"/>
      <c r="D147" s="161"/>
      <c r="E147" s="161"/>
      <c r="F147" s="161"/>
      <c r="G147" s="162"/>
      <c r="H147" s="162"/>
      <c r="I147" s="162"/>
      <c r="J147" s="163"/>
      <c r="K147" s="161"/>
      <c r="L147" s="161"/>
      <c r="M147" s="161"/>
      <c r="N147" s="161"/>
      <c r="O147" s="161"/>
      <c r="P147" s="161"/>
      <c r="Q147" s="161"/>
      <c r="R147" s="161"/>
      <c r="S147" s="161"/>
    </row>
    <row r="148" spans="1:19" ht="15" customHeight="1" x14ac:dyDescent="0.25">
      <c r="A148" s="160"/>
      <c r="B148" s="161"/>
      <c r="C148" s="161"/>
      <c r="D148" s="161"/>
      <c r="E148" s="161"/>
      <c r="F148" s="161"/>
      <c r="G148" s="162"/>
      <c r="H148" s="162"/>
      <c r="I148" s="162"/>
      <c r="J148" s="163"/>
      <c r="K148" s="161"/>
      <c r="L148" s="161"/>
      <c r="M148" s="161"/>
      <c r="N148" s="161"/>
      <c r="O148" s="161"/>
      <c r="P148" s="161"/>
      <c r="Q148" s="161"/>
      <c r="R148" s="161"/>
      <c r="S148" s="161"/>
    </row>
    <row r="149" spans="1:19" ht="15" customHeight="1" x14ac:dyDescent="0.25">
      <c r="A149" s="160"/>
      <c r="B149" s="161"/>
      <c r="C149" s="161"/>
      <c r="D149" s="161"/>
      <c r="E149" s="161"/>
      <c r="F149" s="161"/>
      <c r="G149" s="162"/>
      <c r="H149" s="162"/>
      <c r="I149" s="162"/>
      <c r="J149" s="163"/>
      <c r="K149" s="161"/>
      <c r="L149" s="161"/>
      <c r="M149" s="161"/>
      <c r="N149" s="161"/>
      <c r="O149" s="161"/>
      <c r="P149" s="161"/>
      <c r="Q149" s="161"/>
      <c r="R149" s="161"/>
      <c r="S149" s="161"/>
    </row>
    <row r="150" spans="1:19" ht="15" customHeight="1" x14ac:dyDescent="0.25">
      <c r="A150" s="160"/>
      <c r="B150" s="161"/>
      <c r="C150" s="161"/>
      <c r="D150" s="161"/>
      <c r="E150" s="161"/>
      <c r="F150" s="161"/>
      <c r="G150" s="162"/>
      <c r="H150" s="162"/>
      <c r="I150" s="162"/>
      <c r="J150" s="163"/>
      <c r="K150" s="161"/>
      <c r="L150" s="161"/>
      <c r="M150" s="161"/>
      <c r="N150" s="161"/>
      <c r="O150" s="161"/>
      <c r="P150" s="161"/>
      <c r="Q150" s="161"/>
      <c r="R150" s="161"/>
      <c r="S150" s="161"/>
    </row>
    <row r="151" spans="1:19" ht="15" customHeight="1" x14ac:dyDescent="0.25">
      <c r="A151" s="160"/>
      <c r="B151" s="161"/>
      <c r="C151" s="161"/>
      <c r="D151" s="161"/>
      <c r="E151" s="161"/>
      <c r="F151" s="161"/>
      <c r="G151" s="162"/>
      <c r="H151" s="162"/>
      <c r="I151" s="162"/>
      <c r="J151" s="163"/>
      <c r="K151" s="161"/>
      <c r="L151" s="161"/>
      <c r="M151" s="161"/>
      <c r="N151" s="161"/>
      <c r="O151" s="161"/>
      <c r="P151" s="161"/>
      <c r="Q151" s="161"/>
      <c r="R151" s="161"/>
      <c r="S151" s="161"/>
    </row>
    <row r="152" spans="1:19" ht="15" customHeight="1" x14ac:dyDescent="0.25">
      <c r="A152" s="160"/>
      <c r="B152" s="161"/>
      <c r="C152" s="161"/>
      <c r="D152" s="161"/>
      <c r="E152" s="161"/>
      <c r="F152" s="161"/>
      <c r="G152" s="162"/>
      <c r="H152" s="162"/>
      <c r="I152" s="162"/>
      <c r="J152" s="163"/>
      <c r="K152" s="161"/>
      <c r="L152" s="161"/>
      <c r="M152" s="161"/>
      <c r="N152" s="161"/>
      <c r="O152" s="161"/>
      <c r="P152" s="161"/>
      <c r="Q152" s="161"/>
      <c r="R152" s="161"/>
      <c r="S152" s="161"/>
    </row>
    <row r="153" spans="1:19" ht="15" customHeight="1" x14ac:dyDescent="0.25">
      <c r="A153" s="160"/>
      <c r="B153" s="161"/>
      <c r="C153" s="161"/>
      <c r="D153" s="161"/>
      <c r="E153" s="161"/>
      <c r="F153" s="161"/>
      <c r="G153" s="162"/>
      <c r="H153" s="162"/>
      <c r="I153" s="162"/>
      <c r="J153" s="163"/>
      <c r="K153" s="161"/>
      <c r="L153" s="161"/>
      <c r="M153" s="161"/>
      <c r="N153" s="161"/>
      <c r="O153" s="161"/>
      <c r="P153" s="161"/>
      <c r="Q153" s="161"/>
      <c r="R153" s="161"/>
      <c r="S153" s="161"/>
    </row>
    <row r="154" spans="1:19" ht="15" customHeight="1" x14ac:dyDescent="0.25">
      <c r="A154" s="160"/>
      <c r="B154" s="161"/>
      <c r="C154" s="161"/>
      <c r="D154" s="161"/>
      <c r="E154" s="161"/>
      <c r="F154" s="161"/>
      <c r="G154" s="162"/>
      <c r="H154" s="162"/>
      <c r="I154" s="162"/>
      <c r="J154" s="163"/>
      <c r="K154" s="161"/>
      <c r="L154" s="161"/>
      <c r="M154" s="161"/>
      <c r="N154" s="161"/>
      <c r="O154" s="161"/>
      <c r="P154" s="161"/>
      <c r="Q154" s="161"/>
      <c r="R154" s="161"/>
      <c r="S154" s="161"/>
    </row>
    <row r="155" spans="1:19" ht="15" customHeight="1" x14ac:dyDescent="0.25">
      <c r="A155" s="160"/>
      <c r="B155" s="161"/>
      <c r="C155" s="161"/>
      <c r="D155" s="161"/>
      <c r="E155" s="161"/>
      <c r="F155" s="161"/>
      <c r="G155" s="162"/>
      <c r="H155" s="162"/>
      <c r="I155" s="162"/>
      <c r="J155" s="163"/>
      <c r="K155" s="161"/>
      <c r="L155" s="161"/>
      <c r="M155" s="161"/>
      <c r="N155" s="161"/>
      <c r="O155" s="161"/>
      <c r="P155" s="161"/>
      <c r="Q155" s="161"/>
      <c r="R155" s="161"/>
      <c r="S155" s="161"/>
    </row>
    <row r="156" spans="1:19" ht="15" customHeight="1" x14ac:dyDescent="0.25">
      <c r="A156" s="160"/>
      <c r="B156" s="161"/>
      <c r="C156" s="161"/>
      <c r="D156" s="161"/>
      <c r="E156" s="161"/>
      <c r="F156" s="161"/>
      <c r="G156" s="162"/>
      <c r="H156" s="162"/>
      <c r="I156" s="162"/>
      <c r="J156" s="163"/>
      <c r="K156" s="161"/>
      <c r="L156" s="161"/>
      <c r="M156" s="161"/>
      <c r="N156" s="161"/>
      <c r="O156" s="161"/>
      <c r="P156" s="161"/>
      <c r="Q156" s="161"/>
      <c r="R156" s="161"/>
      <c r="S156" s="161"/>
    </row>
    <row r="157" spans="1:19" ht="15" customHeight="1" x14ac:dyDescent="0.25">
      <c r="A157" s="160"/>
      <c r="B157" s="161"/>
      <c r="C157" s="161"/>
      <c r="D157" s="161"/>
      <c r="E157" s="161"/>
      <c r="F157" s="161"/>
      <c r="G157" s="162"/>
      <c r="H157" s="162"/>
      <c r="I157" s="162"/>
      <c r="J157" s="163"/>
      <c r="K157" s="161"/>
      <c r="L157" s="161"/>
      <c r="M157" s="161"/>
      <c r="N157" s="161"/>
      <c r="O157" s="161"/>
      <c r="P157" s="161"/>
      <c r="Q157" s="161"/>
      <c r="R157" s="161"/>
      <c r="S157" s="161"/>
    </row>
    <row r="158" spans="1:19" ht="15" customHeight="1" x14ac:dyDescent="0.25">
      <c r="A158" s="160"/>
      <c r="B158" s="161"/>
      <c r="C158" s="161"/>
      <c r="D158" s="161"/>
      <c r="E158" s="161"/>
      <c r="F158" s="161"/>
      <c r="G158" s="162"/>
      <c r="H158" s="162"/>
      <c r="I158" s="162"/>
      <c r="J158" s="163"/>
      <c r="K158" s="161"/>
      <c r="L158" s="161"/>
      <c r="M158" s="161"/>
      <c r="N158" s="161"/>
      <c r="O158" s="161"/>
      <c r="P158" s="161"/>
      <c r="Q158" s="161"/>
      <c r="R158" s="161"/>
      <c r="S158" s="161"/>
    </row>
    <row r="159" spans="1:19" ht="15" customHeight="1" x14ac:dyDescent="0.25">
      <c r="A159" s="160"/>
      <c r="B159" s="161"/>
      <c r="C159" s="161"/>
      <c r="D159" s="161"/>
      <c r="E159" s="161"/>
      <c r="F159" s="161"/>
      <c r="G159" s="162"/>
      <c r="H159" s="162"/>
      <c r="I159" s="162"/>
      <c r="J159" s="163"/>
      <c r="K159" s="161"/>
      <c r="L159" s="161"/>
      <c r="M159" s="161"/>
      <c r="N159" s="161"/>
      <c r="O159" s="161"/>
      <c r="P159" s="161"/>
      <c r="Q159" s="161"/>
      <c r="R159" s="161"/>
      <c r="S159" s="161"/>
    </row>
    <row r="160" spans="1:19" ht="15" customHeight="1" x14ac:dyDescent="0.25">
      <c r="A160" s="133"/>
      <c r="B160" s="134"/>
      <c r="C160" s="134"/>
      <c r="D160" s="134"/>
      <c r="E160" s="134"/>
      <c r="F160" s="134"/>
      <c r="G160" s="135"/>
      <c r="H160" s="135"/>
      <c r="I160" s="135"/>
      <c r="J160" s="136"/>
      <c r="K160" s="134"/>
      <c r="L160" s="134"/>
      <c r="M160" s="134"/>
      <c r="N160" s="134"/>
      <c r="O160" s="134"/>
      <c r="P160" s="134"/>
      <c r="Q160" s="134"/>
      <c r="R160" s="134"/>
      <c r="S160" s="134"/>
    </row>
    <row r="161" spans="1:19" ht="15" customHeight="1" x14ac:dyDescent="0.25">
      <c r="A161" s="133"/>
      <c r="B161" s="134"/>
      <c r="C161" s="134"/>
      <c r="D161" s="134"/>
      <c r="E161" s="134"/>
      <c r="F161" s="134"/>
      <c r="G161" s="135"/>
      <c r="H161" s="135"/>
      <c r="I161" s="135"/>
      <c r="J161" s="136"/>
      <c r="K161" s="134"/>
      <c r="L161" s="134"/>
      <c r="M161" s="134"/>
      <c r="N161" s="134"/>
      <c r="O161" s="134"/>
      <c r="P161" s="134"/>
      <c r="Q161" s="134"/>
      <c r="R161" s="134"/>
      <c r="S161" s="134"/>
    </row>
    <row r="162" spans="1:19" ht="15" customHeight="1" x14ac:dyDescent="0.25">
      <c r="A162" s="133"/>
      <c r="B162" s="134"/>
      <c r="C162" s="134"/>
      <c r="D162" s="134"/>
      <c r="E162" s="134"/>
      <c r="F162" s="134"/>
      <c r="G162" s="135"/>
      <c r="H162" s="135"/>
      <c r="I162" s="135"/>
      <c r="J162" s="136"/>
      <c r="K162" s="134"/>
      <c r="L162" s="134"/>
      <c r="M162" s="134"/>
      <c r="N162" s="134"/>
      <c r="O162" s="134"/>
      <c r="P162" s="134"/>
      <c r="Q162" s="134"/>
      <c r="R162" s="134"/>
      <c r="S162" s="134"/>
    </row>
    <row r="163" spans="1:19" ht="15" customHeight="1" x14ac:dyDescent="0.25">
      <c r="A163" s="133"/>
      <c r="B163" s="134"/>
      <c r="C163" s="134"/>
      <c r="D163" s="134"/>
      <c r="E163" s="134"/>
      <c r="F163" s="134"/>
      <c r="G163" s="135"/>
      <c r="H163" s="135"/>
      <c r="I163" s="135"/>
      <c r="J163" s="136"/>
      <c r="K163" s="134"/>
      <c r="L163" s="134"/>
      <c r="M163" s="134"/>
      <c r="N163" s="134"/>
      <c r="O163" s="134"/>
      <c r="P163" s="134"/>
      <c r="Q163" s="134"/>
      <c r="R163" s="134"/>
      <c r="S163" s="134"/>
    </row>
    <row r="164" spans="1:19" ht="15" customHeight="1" x14ac:dyDescent="0.25">
      <c r="A164" s="133"/>
      <c r="B164" s="134"/>
      <c r="C164" s="134"/>
      <c r="D164" s="134"/>
      <c r="E164" s="134"/>
      <c r="F164" s="134"/>
      <c r="G164" s="135"/>
      <c r="H164" s="135"/>
      <c r="I164" s="135"/>
      <c r="J164" s="136"/>
      <c r="K164" s="134"/>
      <c r="L164" s="134"/>
      <c r="M164" s="134"/>
      <c r="N164" s="134"/>
      <c r="O164" s="134"/>
      <c r="P164" s="134"/>
      <c r="Q164" s="134"/>
      <c r="R164" s="134"/>
      <c r="S164" s="134"/>
    </row>
    <row r="165" spans="1:19" ht="15" customHeight="1" x14ac:dyDescent="0.25">
      <c r="A165" s="133"/>
      <c r="B165" s="134"/>
      <c r="C165" s="134"/>
      <c r="D165" s="134"/>
      <c r="E165" s="134"/>
      <c r="F165" s="134"/>
      <c r="G165" s="135"/>
      <c r="H165" s="135"/>
      <c r="I165" s="135"/>
      <c r="J165" s="136"/>
      <c r="K165" s="134"/>
      <c r="L165" s="134"/>
      <c r="M165" s="134"/>
      <c r="N165" s="134"/>
      <c r="O165" s="134"/>
      <c r="P165" s="134"/>
      <c r="Q165" s="134"/>
      <c r="R165" s="134"/>
      <c r="S165" s="134"/>
    </row>
    <row r="166" spans="1:19" ht="15" customHeight="1" x14ac:dyDescent="0.25">
      <c r="A166" s="133"/>
      <c r="B166" s="134"/>
      <c r="C166" s="134"/>
      <c r="D166" s="134"/>
      <c r="E166" s="134"/>
      <c r="F166" s="134"/>
      <c r="G166" s="135"/>
      <c r="H166" s="135"/>
      <c r="I166" s="135"/>
      <c r="J166" s="136"/>
      <c r="K166" s="134"/>
      <c r="L166" s="134"/>
      <c r="M166" s="134"/>
      <c r="N166" s="134"/>
      <c r="O166" s="134"/>
      <c r="P166" s="134"/>
      <c r="Q166" s="134"/>
      <c r="R166" s="134"/>
      <c r="S166" s="134"/>
    </row>
    <row r="167" spans="1:19" ht="15" customHeight="1" x14ac:dyDescent="0.25">
      <c r="A167" s="133"/>
      <c r="B167" s="134"/>
      <c r="C167" s="134"/>
      <c r="D167" s="134"/>
      <c r="E167" s="134"/>
      <c r="F167" s="134"/>
      <c r="G167" s="135"/>
      <c r="H167" s="135"/>
      <c r="I167" s="135"/>
      <c r="J167" s="136"/>
      <c r="K167" s="134"/>
      <c r="L167" s="134"/>
      <c r="M167" s="134"/>
      <c r="N167" s="134"/>
      <c r="O167" s="134"/>
      <c r="P167" s="134"/>
      <c r="Q167" s="134"/>
      <c r="R167" s="134"/>
      <c r="S167" s="134"/>
    </row>
    <row r="168" spans="1:19" ht="15" customHeight="1" x14ac:dyDescent="0.25">
      <c r="A168" s="133"/>
      <c r="B168" s="134"/>
      <c r="C168" s="134"/>
      <c r="D168" s="134"/>
      <c r="E168" s="134"/>
      <c r="F168" s="134"/>
      <c r="G168" s="135"/>
      <c r="H168" s="135"/>
      <c r="I168" s="135"/>
      <c r="J168" s="136"/>
      <c r="K168" s="134"/>
      <c r="L168" s="134"/>
      <c r="M168" s="134"/>
      <c r="N168" s="134"/>
      <c r="O168" s="134"/>
      <c r="P168" s="134"/>
      <c r="Q168" s="134"/>
      <c r="R168" s="134"/>
      <c r="S168" s="134"/>
    </row>
    <row r="169" spans="1:19" ht="15" customHeight="1" x14ac:dyDescent="0.25">
      <c r="A169" s="133"/>
      <c r="B169" s="134"/>
      <c r="C169" s="134"/>
      <c r="D169" s="134"/>
      <c r="E169" s="134"/>
      <c r="F169" s="134"/>
      <c r="G169" s="135"/>
      <c r="H169" s="135"/>
      <c r="I169" s="135"/>
      <c r="J169" s="136"/>
      <c r="K169" s="134"/>
      <c r="L169" s="134"/>
      <c r="M169" s="134"/>
      <c r="N169" s="134"/>
      <c r="O169" s="134"/>
      <c r="P169" s="134"/>
      <c r="Q169" s="134"/>
      <c r="R169" s="134"/>
      <c r="S169" s="134"/>
    </row>
    <row r="170" spans="1:19" ht="15" customHeight="1" x14ac:dyDescent="0.25">
      <c r="A170" s="133"/>
      <c r="B170" s="134"/>
      <c r="C170" s="134"/>
      <c r="D170" s="134"/>
      <c r="E170" s="134"/>
      <c r="F170" s="134"/>
      <c r="G170" s="135"/>
      <c r="H170" s="135"/>
      <c r="I170" s="135"/>
      <c r="J170" s="136"/>
      <c r="K170" s="134"/>
      <c r="L170" s="134"/>
      <c r="M170" s="134"/>
      <c r="N170" s="134"/>
      <c r="O170" s="134"/>
      <c r="P170" s="134"/>
      <c r="Q170" s="134"/>
      <c r="R170" s="134"/>
      <c r="S170" s="134"/>
    </row>
    <row r="171" spans="1:19" ht="15" customHeight="1" x14ac:dyDescent="0.25">
      <c r="A171" s="133"/>
      <c r="B171" s="134"/>
      <c r="C171" s="134"/>
      <c r="D171" s="134"/>
      <c r="E171" s="134"/>
      <c r="F171" s="134"/>
      <c r="G171" s="135"/>
      <c r="H171" s="135"/>
      <c r="I171" s="135"/>
      <c r="J171" s="136"/>
      <c r="K171" s="134"/>
      <c r="L171" s="134"/>
      <c r="M171" s="134"/>
      <c r="N171" s="134"/>
      <c r="O171" s="134"/>
      <c r="P171" s="134"/>
      <c r="Q171" s="134"/>
      <c r="R171" s="134"/>
      <c r="S171" s="134"/>
    </row>
    <row r="172" spans="1:19" ht="15" customHeight="1" x14ac:dyDescent="0.25">
      <c r="A172" s="133"/>
      <c r="B172" s="134"/>
      <c r="C172" s="134"/>
      <c r="D172" s="134"/>
      <c r="E172" s="134"/>
      <c r="F172" s="134"/>
      <c r="G172" s="135"/>
      <c r="H172" s="135"/>
      <c r="I172" s="135"/>
      <c r="J172" s="136"/>
      <c r="K172" s="134"/>
      <c r="L172" s="134"/>
      <c r="M172" s="134"/>
      <c r="N172" s="134"/>
      <c r="O172" s="134"/>
      <c r="P172" s="134"/>
      <c r="Q172" s="134"/>
      <c r="R172" s="134"/>
      <c r="S172" s="134"/>
    </row>
    <row r="173" spans="1:19" ht="15" customHeight="1" x14ac:dyDescent="0.25">
      <c r="A173" s="133"/>
      <c r="B173" s="134"/>
      <c r="C173" s="134"/>
      <c r="D173" s="134"/>
      <c r="E173" s="134"/>
      <c r="F173" s="134"/>
      <c r="G173" s="135"/>
      <c r="H173" s="135"/>
      <c r="I173" s="135"/>
      <c r="J173" s="136"/>
      <c r="K173" s="134"/>
      <c r="L173" s="134"/>
      <c r="M173" s="134"/>
      <c r="N173" s="134"/>
      <c r="O173" s="134"/>
      <c r="P173" s="134"/>
      <c r="Q173" s="134"/>
      <c r="R173" s="134"/>
      <c r="S173" s="134"/>
    </row>
    <row r="174" spans="1:19" ht="15" customHeight="1" x14ac:dyDescent="0.25">
      <c r="A174" s="133"/>
      <c r="B174" s="134"/>
      <c r="C174" s="134"/>
      <c r="D174" s="134"/>
      <c r="E174" s="134"/>
      <c r="F174" s="134"/>
      <c r="G174" s="135"/>
      <c r="H174" s="135"/>
      <c r="I174" s="135"/>
      <c r="J174" s="136"/>
      <c r="K174" s="134"/>
      <c r="L174" s="134"/>
      <c r="M174" s="134"/>
      <c r="N174" s="134"/>
      <c r="O174" s="134"/>
      <c r="P174" s="134"/>
      <c r="Q174" s="134"/>
      <c r="R174" s="134"/>
      <c r="S174" s="134"/>
    </row>
    <row r="175" spans="1:19" ht="15" customHeight="1" x14ac:dyDescent="0.25">
      <c r="A175" s="133"/>
      <c r="B175" s="134"/>
      <c r="C175" s="134"/>
      <c r="D175" s="134"/>
      <c r="E175" s="134"/>
      <c r="F175" s="134"/>
      <c r="G175" s="135"/>
      <c r="H175" s="135"/>
      <c r="I175" s="135"/>
      <c r="J175" s="136"/>
      <c r="K175" s="134"/>
      <c r="L175" s="134"/>
      <c r="M175" s="134"/>
      <c r="N175" s="134"/>
      <c r="O175" s="134"/>
      <c r="P175" s="134"/>
      <c r="Q175" s="134"/>
      <c r="R175" s="134"/>
      <c r="S175" s="134"/>
    </row>
    <row r="176" spans="1:19" ht="15" customHeight="1" x14ac:dyDescent="0.25">
      <c r="A176" s="133"/>
      <c r="B176" s="134"/>
      <c r="C176" s="134"/>
      <c r="D176" s="134"/>
      <c r="E176" s="134"/>
      <c r="F176" s="134"/>
      <c r="G176" s="135"/>
      <c r="H176" s="135"/>
      <c r="I176" s="135"/>
      <c r="J176" s="136"/>
      <c r="K176" s="134"/>
      <c r="L176" s="134"/>
      <c r="M176" s="134"/>
      <c r="N176" s="134"/>
      <c r="O176" s="134"/>
      <c r="P176" s="134"/>
      <c r="Q176" s="134"/>
      <c r="R176" s="134"/>
      <c r="S176" s="134"/>
    </row>
    <row r="177" spans="1:19" ht="15" customHeight="1" x14ac:dyDescent="0.25">
      <c r="A177" s="133"/>
      <c r="B177" s="134"/>
      <c r="C177" s="134"/>
      <c r="D177" s="134"/>
      <c r="E177" s="134"/>
      <c r="F177" s="134"/>
      <c r="G177" s="135"/>
      <c r="H177" s="135"/>
      <c r="I177" s="135"/>
      <c r="J177" s="136"/>
      <c r="K177" s="134"/>
      <c r="L177" s="134"/>
      <c r="M177" s="134"/>
      <c r="N177" s="134"/>
      <c r="O177" s="134"/>
      <c r="P177" s="134"/>
      <c r="Q177" s="134"/>
      <c r="R177" s="134"/>
      <c r="S177" s="134"/>
    </row>
    <row r="178" spans="1:19" ht="15" customHeight="1" x14ac:dyDescent="0.25">
      <c r="A178" s="133"/>
      <c r="B178" s="134"/>
      <c r="C178" s="134"/>
      <c r="D178" s="134"/>
      <c r="E178" s="134"/>
      <c r="F178" s="134"/>
      <c r="G178" s="135"/>
      <c r="H178" s="135"/>
      <c r="I178" s="135"/>
      <c r="J178" s="136"/>
      <c r="K178" s="134"/>
      <c r="L178" s="134"/>
      <c r="M178" s="134"/>
      <c r="N178" s="134"/>
      <c r="O178" s="134"/>
      <c r="P178" s="134"/>
      <c r="Q178" s="134"/>
      <c r="R178" s="134"/>
      <c r="S178" s="134"/>
    </row>
    <row r="179" spans="1:19" ht="15" customHeight="1" x14ac:dyDescent="0.25">
      <c r="A179" s="133"/>
      <c r="B179" s="134"/>
      <c r="C179" s="134"/>
      <c r="D179" s="134"/>
      <c r="E179" s="134"/>
      <c r="F179" s="134"/>
      <c r="G179" s="135"/>
      <c r="H179" s="135"/>
      <c r="I179" s="135"/>
      <c r="J179" s="136"/>
      <c r="K179" s="134"/>
      <c r="L179" s="134"/>
      <c r="M179" s="134"/>
      <c r="N179" s="134"/>
      <c r="O179" s="134"/>
      <c r="P179" s="134"/>
      <c r="Q179" s="134"/>
      <c r="R179" s="134"/>
      <c r="S179" s="134"/>
    </row>
    <row r="180" spans="1:19" ht="15" customHeight="1" x14ac:dyDescent="0.25">
      <c r="A180" s="133"/>
      <c r="B180" s="134"/>
      <c r="C180" s="134"/>
      <c r="D180" s="134"/>
      <c r="E180" s="134"/>
      <c r="F180" s="134"/>
      <c r="G180" s="135"/>
      <c r="H180" s="135"/>
      <c r="I180" s="135"/>
      <c r="J180" s="136"/>
      <c r="K180" s="134"/>
      <c r="L180" s="134"/>
      <c r="M180" s="134"/>
      <c r="N180" s="134"/>
      <c r="O180" s="134"/>
      <c r="P180" s="134"/>
      <c r="Q180" s="134"/>
      <c r="R180" s="134"/>
      <c r="S180" s="134"/>
    </row>
    <row r="181" spans="1:19" ht="15" customHeight="1" x14ac:dyDescent="0.25">
      <c r="A181" s="133"/>
      <c r="B181" s="134"/>
      <c r="C181" s="134"/>
      <c r="D181" s="134"/>
      <c r="E181" s="134"/>
      <c r="F181" s="134"/>
      <c r="G181" s="135"/>
      <c r="H181" s="135"/>
      <c r="I181" s="135"/>
      <c r="J181" s="136"/>
      <c r="K181" s="134"/>
      <c r="L181" s="134"/>
      <c r="M181" s="134"/>
      <c r="N181" s="134"/>
      <c r="O181" s="134"/>
      <c r="P181" s="134"/>
      <c r="Q181" s="134"/>
      <c r="R181" s="134"/>
      <c r="S181" s="134"/>
    </row>
    <row r="182" spans="1:19" ht="15" customHeight="1" x14ac:dyDescent="0.25">
      <c r="A182" s="133"/>
      <c r="B182" s="134"/>
      <c r="C182" s="134"/>
      <c r="D182" s="134"/>
      <c r="E182" s="134"/>
      <c r="F182" s="134"/>
      <c r="G182" s="135"/>
      <c r="H182" s="135"/>
      <c r="I182" s="135"/>
      <c r="J182" s="136"/>
      <c r="K182" s="134"/>
      <c r="L182" s="134"/>
      <c r="M182" s="134"/>
      <c r="N182" s="134"/>
      <c r="O182" s="134"/>
      <c r="P182" s="134"/>
      <c r="Q182" s="134"/>
      <c r="R182" s="134"/>
      <c r="S182" s="134"/>
    </row>
    <row r="183" spans="1:19" ht="15" customHeight="1" x14ac:dyDescent="0.25">
      <c r="A183" s="133"/>
      <c r="B183" s="134"/>
      <c r="C183" s="134"/>
      <c r="D183" s="134"/>
      <c r="E183" s="134"/>
      <c r="F183" s="134"/>
      <c r="G183" s="135"/>
      <c r="H183" s="135"/>
      <c r="I183" s="135"/>
      <c r="J183" s="136"/>
      <c r="K183" s="134"/>
      <c r="L183" s="134"/>
      <c r="M183" s="134"/>
      <c r="N183" s="134"/>
      <c r="O183" s="134"/>
      <c r="P183" s="134"/>
      <c r="Q183" s="134"/>
      <c r="R183" s="134"/>
      <c r="S183" s="134"/>
    </row>
    <row r="184" spans="1:19" ht="15" customHeight="1" x14ac:dyDescent="0.25">
      <c r="A184" s="133"/>
      <c r="B184" s="134"/>
      <c r="C184" s="134"/>
      <c r="D184" s="134"/>
      <c r="E184" s="134"/>
      <c r="F184" s="134"/>
      <c r="G184" s="135"/>
      <c r="H184" s="135"/>
      <c r="I184" s="135"/>
      <c r="J184" s="136"/>
      <c r="K184" s="134"/>
      <c r="L184" s="134"/>
      <c r="M184" s="134"/>
      <c r="N184" s="134"/>
      <c r="O184" s="134"/>
      <c r="P184" s="134"/>
      <c r="Q184" s="134"/>
      <c r="R184" s="134"/>
      <c r="S184" s="134"/>
    </row>
    <row r="185" spans="1:19" ht="15" customHeight="1" x14ac:dyDescent="0.25">
      <c r="A185" s="133"/>
      <c r="B185" s="134"/>
      <c r="C185" s="134"/>
      <c r="D185" s="134"/>
      <c r="E185" s="134"/>
      <c r="F185" s="134"/>
      <c r="G185" s="135"/>
      <c r="H185" s="135"/>
      <c r="I185" s="135"/>
      <c r="J185" s="136"/>
      <c r="K185" s="134"/>
      <c r="L185" s="134"/>
      <c r="M185" s="134"/>
      <c r="N185" s="134"/>
      <c r="O185" s="134"/>
      <c r="P185" s="134"/>
      <c r="Q185" s="134"/>
      <c r="R185" s="134"/>
      <c r="S185" s="134"/>
    </row>
    <row r="186" spans="1:19" ht="15" customHeight="1" x14ac:dyDescent="0.25">
      <c r="A186" s="133"/>
      <c r="B186" s="134"/>
      <c r="C186" s="134"/>
      <c r="D186" s="134"/>
      <c r="E186" s="134"/>
      <c r="F186" s="134"/>
      <c r="G186" s="135"/>
      <c r="H186" s="135"/>
      <c r="I186" s="135"/>
      <c r="J186" s="136"/>
      <c r="K186" s="134"/>
      <c r="L186" s="134"/>
      <c r="M186" s="134"/>
      <c r="N186" s="134"/>
      <c r="O186" s="134"/>
      <c r="P186" s="134"/>
      <c r="Q186" s="134"/>
      <c r="R186" s="134"/>
      <c r="S186" s="134"/>
    </row>
    <row r="187" spans="1:19" ht="15" customHeight="1" x14ac:dyDescent="0.25">
      <c r="A187" s="133"/>
      <c r="B187" s="134"/>
      <c r="C187" s="134"/>
      <c r="D187" s="134"/>
      <c r="E187" s="134"/>
      <c r="F187" s="134"/>
      <c r="G187" s="135"/>
      <c r="H187" s="135"/>
      <c r="I187" s="135"/>
      <c r="J187" s="136"/>
      <c r="K187" s="134"/>
      <c r="L187" s="134"/>
      <c r="M187" s="134"/>
      <c r="N187" s="134"/>
      <c r="O187" s="134"/>
      <c r="P187" s="134"/>
      <c r="Q187" s="134"/>
      <c r="R187" s="134"/>
      <c r="S187" s="134"/>
    </row>
    <row r="188" spans="1:19" ht="15" customHeight="1" x14ac:dyDescent="0.25">
      <c r="A188" s="133"/>
      <c r="B188" s="134"/>
      <c r="C188" s="134"/>
      <c r="D188" s="134"/>
      <c r="E188" s="134"/>
      <c r="F188" s="134"/>
      <c r="G188" s="135"/>
      <c r="H188" s="135"/>
      <c r="I188" s="135"/>
      <c r="J188" s="136"/>
      <c r="K188" s="134"/>
      <c r="L188" s="134"/>
      <c r="M188" s="134"/>
      <c r="N188" s="134"/>
      <c r="O188" s="134"/>
      <c r="P188" s="134"/>
      <c r="Q188" s="134"/>
      <c r="R188" s="134"/>
      <c r="S188" s="134"/>
    </row>
    <row r="189" spans="1:19" ht="15" customHeight="1" x14ac:dyDescent="0.25">
      <c r="A189" s="133"/>
      <c r="B189" s="134"/>
      <c r="C189" s="134"/>
      <c r="D189" s="134"/>
      <c r="E189" s="134"/>
      <c r="F189" s="134"/>
      <c r="G189" s="135"/>
      <c r="H189" s="135"/>
      <c r="I189" s="135"/>
      <c r="J189" s="136"/>
      <c r="K189" s="134"/>
      <c r="L189" s="134"/>
      <c r="M189" s="134"/>
      <c r="N189" s="134"/>
      <c r="O189" s="134"/>
      <c r="P189" s="134"/>
      <c r="Q189" s="134"/>
      <c r="R189" s="134"/>
      <c r="S189" s="134"/>
    </row>
    <row r="190" spans="1:19" ht="15" customHeight="1" x14ac:dyDescent="0.25">
      <c r="A190" s="133"/>
      <c r="B190" s="134"/>
      <c r="C190" s="134"/>
      <c r="D190" s="134"/>
      <c r="E190" s="134"/>
      <c r="F190" s="134"/>
      <c r="G190" s="135"/>
      <c r="H190" s="135"/>
      <c r="I190" s="135"/>
      <c r="J190" s="136"/>
      <c r="K190" s="134"/>
      <c r="L190" s="134"/>
      <c r="M190" s="134"/>
      <c r="N190" s="134"/>
      <c r="O190" s="134"/>
      <c r="P190" s="134"/>
      <c r="Q190" s="134"/>
      <c r="R190" s="134"/>
      <c r="S190" s="134"/>
    </row>
    <row r="191" spans="1:19" ht="15" customHeight="1" x14ac:dyDescent="0.25">
      <c r="A191" s="133"/>
      <c r="B191" s="134"/>
      <c r="C191" s="134"/>
      <c r="D191" s="134"/>
      <c r="E191" s="134"/>
      <c r="F191" s="134"/>
      <c r="G191" s="135"/>
      <c r="H191" s="135"/>
      <c r="I191" s="135"/>
      <c r="J191" s="136"/>
      <c r="K191" s="134"/>
      <c r="L191" s="134"/>
      <c r="M191" s="134"/>
      <c r="N191" s="134"/>
      <c r="O191" s="134"/>
      <c r="P191" s="134"/>
      <c r="Q191" s="134"/>
      <c r="R191" s="134"/>
      <c r="S191" s="134"/>
    </row>
    <row r="192" spans="1:19" ht="15" customHeight="1" x14ac:dyDescent="0.25">
      <c r="A192" s="133"/>
      <c r="B192" s="134"/>
      <c r="C192" s="134"/>
      <c r="D192" s="134"/>
      <c r="E192" s="134"/>
      <c r="F192" s="134"/>
      <c r="G192" s="135"/>
      <c r="H192" s="135"/>
      <c r="I192" s="135"/>
      <c r="J192" s="136"/>
      <c r="K192" s="134"/>
      <c r="L192" s="134"/>
      <c r="M192" s="134"/>
      <c r="N192" s="134"/>
      <c r="O192" s="134"/>
      <c r="P192" s="134"/>
      <c r="Q192" s="134"/>
      <c r="R192" s="134"/>
      <c r="S192" s="134"/>
    </row>
    <row r="193" spans="1:19" ht="15" customHeight="1" x14ac:dyDescent="0.25">
      <c r="A193" s="133"/>
      <c r="B193" s="134"/>
      <c r="C193" s="134"/>
      <c r="D193" s="134"/>
      <c r="E193" s="134"/>
      <c r="F193" s="134"/>
      <c r="G193" s="135"/>
      <c r="H193" s="135"/>
      <c r="I193" s="135"/>
      <c r="J193" s="136"/>
      <c r="K193" s="134"/>
      <c r="L193" s="134"/>
      <c r="M193" s="134"/>
      <c r="N193" s="134"/>
      <c r="O193" s="134"/>
      <c r="P193" s="134"/>
      <c r="Q193" s="134"/>
      <c r="R193" s="134"/>
      <c r="S193" s="134"/>
    </row>
    <row r="194" spans="1:19" ht="15" customHeight="1" x14ac:dyDescent="0.25">
      <c r="A194" s="133"/>
      <c r="B194" s="134"/>
      <c r="C194" s="134"/>
      <c r="D194" s="134"/>
      <c r="E194" s="134"/>
      <c r="F194" s="134"/>
      <c r="G194" s="135"/>
      <c r="H194" s="135"/>
      <c r="I194" s="135"/>
      <c r="J194" s="136"/>
      <c r="K194" s="134"/>
      <c r="L194" s="134"/>
      <c r="M194" s="134"/>
      <c r="N194" s="134"/>
      <c r="O194" s="134"/>
      <c r="P194" s="134"/>
      <c r="Q194" s="134"/>
      <c r="R194" s="134"/>
      <c r="S194" s="134"/>
    </row>
    <row r="195" spans="1:19" ht="15" customHeight="1" x14ac:dyDescent="0.25">
      <c r="A195" s="133"/>
      <c r="B195" s="134"/>
      <c r="C195" s="134"/>
      <c r="D195" s="134"/>
      <c r="E195" s="134"/>
      <c r="F195" s="134"/>
      <c r="G195" s="135"/>
      <c r="H195" s="135"/>
      <c r="I195" s="135"/>
      <c r="J195" s="136"/>
      <c r="K195" s="134"/>
      <c r="L195" s="134"/>
      <c r="M195" s="134"/>
      <c r="N195" s="134"/>
      <c r="O195" s="134"/>
      <c r="P195" s="134"/>
      <c r="Q195" s="134"/>
      <c r="R195" s="134"/>
      <c r="S195" s="134"/>
    </row>
    <row r="196" spans="1:19" ht="15" customHeight="1" x14ac:dyDescent="0.25">
      <c r="A196" s="133"/>
      <c r="B196" s="134"/>
      <c r="C196" s="134"/>
      <c r="D196" s="134"/>
      <c r="E196" s="134"/>
      <c r="F196" s="134"/>
      <c r="G196" s="135"/>
      <c r="H196" s="135"/>
      <c r="I196" s="135"/>
      <c r="J196" s="136"/>
      <c r="K196" s="134"/>
      <c r="L196" s="134"/>
      <c r="M196" s="134"/>
      <c r="N196" s="134"/>
      <c r="O196" s="134"/>
      <c r="P196" s="134"/>
      <c r="Q196" s="134"/>
      <c r="R196" s="134"/>
      <c r="S196" s="134"/>
    </row>
    <row r="197" spans="1:19" ht="15" customHeight="1" x14ac:dyDescent="0.25">
      <c r="A197" s="133"/>
      <c r="B197" s="134"/>
      <c r="C197" s="134"/>
      <c r="D197" s="134"/>
      <c r="E197" s="134"/>
      <c r="F197" s="134"/>
      <c r="G197" s="135"/>
      <c r="H197" s="135"/>
      <c r="I197" s="135"/>
      <c r="J197" s="136"/>
      <c r="K197" s="134"/>
      <c r="L197" s="134"/>
      <c r="M197" s="134"/>
      <c r="N197" s="134"/>
      <c r="O197" s="134"/>
      <c r="P197" s="134"/>
      <c r="Q197" s="134"/>
      <c r="R197" s="134"/>
      <c r="S197" s="134"/>
    </row>
    <row r="198" spans="1:19" ht="15" customHeight="1" x14ac:dyDescent="0.25">
      <c r="A198" s="133"/>
      <c r="B198" s="134"/>
      <c r="C198" s="134"/>
      <c r="D198" s="134"/>
      <c r="E198" s="134"/>
      <c r="F198" s="134"/>
      <c r="G198" s="135"/>
      <c r="H198" s="135"/>
      <c r="I198" s="135"/>
      <c r="J198" s="136"/>
      <c r="K198" s="134"/>
      <c r="L198" s="134"/>
      <c r="M198" s="134"/>
      <c r="N198" s="134"/>
      <c r="O198" s="134"/>
      <c r="P198" s="134"/>
      <c r="Q198" s="134"/>
      <c r="R198" s="134"/>
      <c r="S198" s="134"/>
    </row>
    <row r="199" spans="1:19" ht="15" customHeight="1" x14ac:dyDescent="0.25">
      <c r="A199" s="133"/>
      <c r="B199" s="134"/>
      <c r="C199" s="134"/>
      <c r="D199" s="134"/>
      <c r="E199" s="134"/>
      <c r="F199" s="134"/>
      <c r="G199" s="135"/>
      <c r="H199" s="135"/>
      <c r="I199" s="135"/>
      <c r="J199" s="136"/>
      <c r="K199" s="134"/>
      <c r="L199" s="134"/>
      <c r="M199" s="134"/>
      <c r="N199" s="134"/>
      <c r="O199" s="134"/>
      <c r="P199" s="134"/>
      <c r="Q199" s="134"/>
      <c r="R199" s="134"/>
      <c r="S199" s="134"/>
    </row>
    <row r="200" spans="1:19" ht="15" customHeight="1" x14ac:dyDescent="0.25">
      <c r="A200" s="133"/>
      <c r="B200" s="134"/>
      <c r="C200" s="134"/>
      <c r="D200" s="134"/>
      <c r="E200" s="134"/>
      <c r="F200" s="134"/>
      <c r="G200" s="135"/>
      <c r="H200" s="135"/>
      <c r="I200" s="135"/>
      <c r="J200" s="136"/>
      <c r="K200" s="134"/>
      <c r="L200" s="134"/>
      <c r="M200" s="134"/>
      <c r="N200" s="134"/>
      <c r="O200" s="134"/>
      <c r="P200" s="134"/>
      <c r="Q200" s="134"/>
      <c r="R200" s="134"/>
      <c r="S200" s="134"/>
    </row>
    <row r="201" spans="1:19" ht="15" customHeight="1" x14ac:dyDescent="0.25">
      <c r="A201" s="133"/>
      <c r="B201" s="134"/>
      <c r="C201" s="134"/>
      <c r="D201" s="134"/>
      <c r="E201" s="134"/>
      <c r="F201" s="134"/>
      <c r="G201" s="135"/>
      <c r="H201" s="135"/>
      <c r="I201" s="135"/>
      <c r="J201" s="136"/>
      <c r="K201" s="134"/>
      <c r="L201" s="134"/>
      <c r="M201" s="134"/>
      <c r="N201" s="134"/>
      <c r="O201" s="134"/>
      <c r="P201" s="134"/>
      <c r="Q201" s="134"/>
      <c r="R201" s="134"/>
      <c r="S201" s="134"/>
    </row>
    <row r="202" spans="1:19" ht="15" customHeight="1" x14ac:dyDescent="0.25">
      <c r="A202" s="133"/>
      <c r="B202" s="134"/>
      <c r="C202" s="134"/>
      <c r="D202" s="134"/>
      <c r="E202" s="134"/>
      <c r="F202" s="134"/>
      <c r="G202" s="135"/>
      <c r="H202" s="135"/>
      <c r="I202" s="135"/>
      <c r="J202" s="136"/>
      <c r="K202" s="134"/>
      <c r="L202" s="134"/>
      <c r="M202" s="134"/>
      <c r="N202" s="134"/>
      <c r="O202" s="134"/>
      <c r="P202" s="134"/>
      <c r="Q202" s="134"/>
      <c r="R202" s="134"/>
      <c r="S202" s="134"/>
    </row>
    <row r="203" spans="1:19" ht="15" customHeight="1" x14ac:dyDescent="0.25">
      <c r="A203" s="133"/>
      <c r="B203" s="134"/>
      <c r="C203" s="134"/>
      <c r="D203" s="134"/>
      <c r="E203" s="134"/>
      <c r="F203" s="134"/>
      <c r="G203" s="135"/>
      <c r="H203" s="135"/>
      <c r="I203" s="135"/>
      <c r="J203" s="136"/>
      <c r="K203" s="134"/>
      <c r="L203" s="134"/>
      <c r="M203" s="134"/>
      <c r="N203" s="134"/>
      <c r="O203" s="134"/>
      <c r="P203" s="134"/>
      <c r="Q203" s="134"/>
      <c r="R203" s="134"/>
      <c r="S203" s="134"/>
    </row>
    <row r="204" spans="1:19" ht="15" customHeight="1" x14ac:dyDescent="0.25">
      <c r="A204" s="133"/>
      <c r="B204" s="134"/>
      <c r="C204" s="134"/>
      <c r="D204" s="134"/>
      <c r="E204" s="134"/>
      <c r="F204" s="134"/>
      <c r="G204" s="135"/>
      <c r="H204" s="135"/>
      <c r="I204" s="135"/>
      <c r="J204" s="136"/>
      <c r="K204" s="134"/>
      <c r="L204" s="134"/>
      <c r="M204" s="134"/>
      <c r="N204" s="134"/>
      <c r="O204" s="134"/>
      <c r="P204" s="134"/>
      <c r="Q204" s="134"/>
      <c r="R204" s="134"/>
      <c r="S204" s="134"/>
    </row>
    <row r="205" spans="1:19" ht="15" customHeight="1" x14ac:dyDescent="0.25">
      <c r="A205" s="133"/>
      <c r="B205" s="134"/>
      <c r="C205" s="134"/>
      <c r="D205" s="134"/>
      <c r="E205" s="134"/>
      <c r="F205" s="134"/>
      <c r="G205" s="135"/>
      <c r="H205" s="135"/>
      <c r="I205" s="135"/>
      <c r="J205" s="136"/>
      <c r="K205" s="134"/>
      <c r="L205" s="134"/>
      <c r="M205" s="134"/>
      <c r="N205" s="134"/>
      <c r="O205" s="134"/>
      <c r="P205" s="134"/>
      <c r="Q205" s="134"/>
      <c r="R205" s="134"/>
      <c r="S205" s="134"/>
    </row>
    <row r="206" spans="1:19" ht="15" customHeight="1" x14ac:dyDescent="0.25">
      <c r="A206" s="133"/>
      <c r="B206" s="134"/>
      <c r="C206" s="134"/>
      <c r="D206" s="134"/>
      <c r="E206" s="134"/>
      <c r="F206" s="134"/>
      <c r="G206" s="135"/>
      <c r="H206" s="135"/>
      <c r="I206" s="135"/>
      <c r="J206" s="136"/>
      <c r="K206" s="134"/>
      <c r="L206" s="134"/>
      <c r="M206" s="134"/>
      <c r="N206" s="134"/>
      <c r="O206" s="134"/>
      <c r="P206" s="134"/>
      <c r="Q206" s="134"/>
      <c r="R206" s="134"/>
      <c r="S206" s="134"/>
    </row>
    <row r="207" spans="1:19" ht="15" customHeight="1" x14ac:dyDescent="0.25">
      <c r="A207" s="133"/>
      <c r="B207" s="134"/>
      <c r="C207" s="134"/>
      <c r="D207" s="134"/>
      <c r="E207" s="134"/>
      <c r="F207" s="134"/>
      <c r="G207" s="135"/>
      <c r="H207" s="135"/>
      <c r="I207" s="135"/>
      <c r="J207" s="136"/>
      <c r="K207" s="134"/>
      <c r="L207" s="134"/>
      <c r="M207" s="134"/>
      <c r="N207" s="134"/>
      <c r="O207" s="134"/>
      <c r="P207" s="134"/>
      <c r="Q207" s="134"/>
      <c r="R207" s="134"/>
      <c r="S207" s="134"/>
    </row>
    <row r="208" spans="1:19" ht="15" customHeight="1" x14ac:dyDescent="0.25">
      <c r="A208" s="133"/>
      <c r="B208" s="134"/>
      <c r="C208" s="134"/>
      <c r="D208" s="134"/>
      <c r="E208" s="134"/>
      <c r="F208" s="134"/>
      <c r="G208" s="135"/>
      <c r="H208" s="135"/>
      <c r="I208" s="135"/>
      <c r="J208" s="136"/>
      <c r="K208" s="134"/>
      <c r="L208" s="134"/>
      <c r="M208" s="134"/>
      <c r="N208" s="134"/>
      <c r="O208" s="134"/>
      <c r="P208" s="134"/>
      <c r="Q208" s="134"/>
      <c r="R208" s="134"/>
      <c r="S208" s="134"/>
    </row>
    <row r="209" spans="1:19" ht="15" customHeight="1" x14ac:dyDescent="0.25">
      <c r="A209" s="133"/>
      <c r="B209" s="134"/>
      <c r="C209" s="134"/>
      <c r="D209" s="134"/>
      <c r="E209" s="134"/>
      <c r="F209" s="134"/>
      <c r="G209" s="135"/>
      <c r="H209" s="135"/>
      <c r="I209" s="135"/>
      <c r="J209" s="136"/>
      <c r="K209" s="134"/>
      <c r="L209" s="134"/>
      <c r="M209" s="134"/>
      <c r="N209" s="134"/>
      <c r="O209" s="134"/>
      <c r="P209" s="134"/>
      <c r="Q209" s="134"/>
      <c r="R209" s="134"/>
      <c r="S209" s="134"/>
    </row>
    <row r="210" spans="1:19" ht="15" customHeight="1" x14ac:dyDescent="0.25">
      <c r="A210" s="133"/>
      <c r="B210" s="134"/>
      <c r="C210" s="134"/>
      <c r="D210" s="134"/>
      <c r="E210" s="134"/>
      <c r="F210" s="134"/>
      <c r="G210" s="135"/>
      <c r="H210" s="135"/>
      <c r="I210" s="135"/>
      <c r="J210" s="136"/>
      <c r="K210" s="134"/>
      <c r="L210" s="134"/>
      <c r="M210" s="134"/>
      <c r="N210" s="134"/>
      <c r="O210" s="134"/>
      <c r="P210" s="134"/>
      <c r="Q210" s="134"/>
      <c r="R210" s="134"/>
      <c r="S210" s="134"/>
    </row>
    <row r="211" spans="1:19" ht="15" customHeight="1" x14ac:dyDescent="0.25">
      <c r="A211" s="133"/>
      <c r="B211" s="134"/>
      <c r="C211" s="134"/>
      <c r="D211" s="134"/>
      <c r="E211" s="134"/>
      <c r="F211" s="134"/>
      <c r="G211" s="135"/>
      <c r="H211" s="135"/>
      <c r="I211" s="135"/>
      <c r="J211" s="136"/>
      <c r="K211" s="134"/>
      <c r="L211" s="134"/>
      <c r="M211" s="134"/>
      <c r="N211" s="134"/>
      <c r="O211" s="134"/>
      <c r="P211" s="134"/>
      <c r="Q211" s="134"/>
      <c r="R211" s="134"/>
      <c r="S211" s="134"/>
    </row>
    <row r="212" spans="1:19" ht="15" customHeight="1" x14ac:dyDescent="0.25">
      <c r="A212" s="133"/>
      <c r="B212" s="134"/>
      <c r="C212" s="134"/>
      <c r="D212" s="134"/>
      <c r="E212" s="134"/>
      <c r="F212" s="134"/>
      <c r="G212" s="135"/>
      <c r="H212" s="135"/>
      <c r="I212" s="135"/>
      <c r="J212" s="136"/>
      <c r="K212" s="134"/>
      <c r="L212" s="134"/>
      <c r="M212" s="134"/>
      <c r="N212" s="134"/>
      <c r="O212" s="134"/>
      <c r="P212" s="134"/>
      <c r="Q212" s="134"/>
      <c r="R212" s="134"/>
      <c r="S212" s="134"/>
    </row>
    <row r="213" spans="1:19" ht="15" customHeight="1" x14ac:dyDescent="0.25">
      <c r="A213" s="133"/>
      <c r="B213" s="134"/>
      <c r="C213" s="134"/>
      <c r="D213" s="134"/>
      <c r="E213" s="134"/>
      <c r="F213" s="134"/>
      <c r="G213" s="135"/>
      <c r="H213" s="135"/>
      <c r="I213" s="135"/>
      <c r="J213" s="136"/>
      <c r="K213" s="134"/>
      <c r="L213" s="134"/>
      <c r="M213" s="134"/>
      <c r="N213" s="134"/>
      <c r="O213" s="134"/>
      <c r="P213" s="134"/>
      <c r="Q213" s="134"/>
      <c r="R213" s="134"/>
      <c r="S213" s="134"/>
    </row>
    <row r="214" spans="1:19" ht="15" customHeight="1" x14ac:dyDescent="0.25">
      <c r="A214" s="133"/>
      <c r="B214" s="134"/>
      <c r="C214" s="134"/>
      <c r="D214" s="134"/>
      <c r="E214" s="134"/>
      <c r="F214" s="134"/>
      <c r="G214" s="135"/>
      <c r="H214" s="135"/>
      <c r="I214" s="135"/>
      <c r="J214" s="136"/>
      <c r="K214" s="134"/>
      <c r="L214" s="134"/>
      <c r="M214" s="134"/>
      <c r="N214" s="134"/>
      <c r="O214" s="134"/>
      <c r="P214" s="134"/>
      <c r="Q214" s="134"/>
      <c r="R214" s="134"/>
      <c r="S214" s="134"/>
    </row>
    <row r="215" spans="1:19" ht="15" customHeight="1" x14ac:dyDescent="0.25">
      <c r="A215" s="133"/>
      <c r="B215" s="134"/>
      <c r="C215" s="134"/>
      <c r="D215" s="134"/>
      <c r="E215" s="134"/>
      <c r="F215" s="134"/>
      <c r="G215" s="135"/>
      <c r="H215" s="135"/>
      <c r="I215" s="135"/>
      <c r="J215" s="136"/>
      <c r="K215" s="134"/>
      <c r="L215" s="134"/>
      <c r="M215" s="134"/>
      <c r="N215" s="134"/>
      <c r="O215" s="134"/>
      <c r="P215" s="134"/>
      <c r="Q215" s="134"/>
      <c r="R215" s="134"/>
      <c r="S215" s="134"/>
    </row>
    <row r="216" spans="1:19" ht="15" customHeight="1" x14ac:dyDescent="0.25">
      <c r="A216" s="133"/>
      <c r="B216" s="134"/>
      <c r="C216" s="134"/>
      <c r="D216" s="134"/>
      <c r="E216" s="134"/>
      <c r="F216" s="134"/>
      <c r="G216" s="135"/>
      <c r="H216" s="135"/>
      <c r="I216" s="135"/>
      <c r="J216" s="136"/>
      <c r="K216" s="134"/>
      <c r="L216" s="134"/>
      <c r="M216" s="134"/>
      <c r="N216" s="134"/>
      <c r="O216" s="134"/>
      <c r="P216" s="134"/>
      <c r="Q216" s="134"/>
      <c r="R216" s="134"/>
      <c r="S216" s="134"/>
    </row>
    <row r="217" spans="1:19" ht="15" customHeight="1" x14ac:dyDescent="0.25">
      <c r="A217" s="133"/>
      <c r="B217" s="134"/>
      <c r="C217" s="134"/>
      <c r="D217" s="134"/>
      <c r="E217" s="134"/>
      <c r="F217" s="134"/>
      <c r="G217" s="135"/>
      <c r="H217" s="135"/>
      <c r="I217" s="135"/>
      <c r="J217" s="136"/>
      <c r="K217" s="134"/>
      <c r="L217" s="134"/>
      <c r="M217" s="134"/>
      <c r="N217" s="134"/>
      <c r="O217" s="134"/>
      <c r="P217" s="134"/>
      <c r="Q217" s="134"/>
      <c r="R217" s="134"/>
      <c r="S217" s="134"/>
    </row>
    <row r="218" spans="1:19" ht="15" customHeight="1" x14ac:dyDescent="0.25">
      <c r="A218" s="133"/>
      <c r="B218" s="134"/>
      <c r="C218" s="134"/>
      <c r="D218" s="134"/>
      <c r="E218" s="134"/>
      <c r="F218" s="134"/>
      <c r="G218" s="135"/>
      <c r="H218" s="135"/>
      <c r="I218" s="135"/>
      <c r="J218" s="136"/>
      <c r="K218" s="134"/>
      <c r="L218" s="134"/>
      <c r="M218" s="134"/>
      <c r="N218" s="134"/>
      <c r="O218" s="134"/>
      <c r="P218" s="134"/>
      <c r="Q218" s="134"/>
      <c r="R218" s="134"/>
      <c r="S218" s="134"/>
    </row>
    <row r="219" spans="1:19" ht="15" customHeight="1" x14ac:dyDescent="0.25">
      <c r="A219" s="133"/>
      <c r="B219" s="134"/>
      <c r="C219" s="134"/>
      <c r="D219" s="134"/>
      <c r="E219" s="134"/>
      <c r="F219" s="134"/>
      <c r="G219" s="135"/>
      <c r="H219" s="135"/>
      <c r="I219" s="135"/>
      <c r="J219" s="136"/>
      <c r="K219" s="134"/>
      <c r="L219" s="134"/>
      <c r="M219" s="134"/>
      <c r="N219" s="134"/>
      <c r="O219" s="134"/>
      <c r="P219" s="134"/>
      <c r="Q219" s="134"/>
      <c r="R219" s="134"/>
      <c r="S219" s="134"/>
    </row>
    <row r="220" spans="1:19" ht="15" customHeight="1" x14ac:dyDescent="0.25">
      <c r="A220" s="133"/>
      <c r="B220" s="134"/>
      <c r="C220" s="134"/>
      <c r="D220" s="134"/>
      <c r="E220" s="134"/>
      <c r="F220" s="134"/>
      <c r="G220" s="135"/>
      <c r="H220" s="135"/>
      <c r="I220" s="135"/>
      <c r="J220" s="136"/>
      <c r="K220" s="134"/>
      <c r="L220" s="134"/>
      <c r="M220" s="134"/>
      <c r="N220" s="134"/>
      <c r="O220" s="134"/>
      <c r="P220" s="134"/>
      <c r="Q220" s="134"/>
      <c r="R220" s="134"/>
      <c r="S220" s="134"/>
    </row>
    <row r="221" spans="1:19" ht="15" customHeight="1" x14ac:dyDescent="0.25">
      <c r="A221" s="133"/>
      <c r="B221" s="134"/>
      <c r="C221" s="134"/>
      <c r="D221" s="134"/>
      <c r="E221" s="134"/>
      <c r="F221" s="134"/>
      <c r="G221" s="135"/>
      <c r="H221" s="135"/>
      <c r="I221" s="135"/>
      <c r="J221" s="136"/>
      <c r="K221" s="134"/>
      <c r="L221" s="134"/>
      <c r="M221" s="134"/>
      <c r="N221" s="134"/>
      <c r="O221" s="134"/>
      <c r="P221" s="134"/>
      <c r="Q221" s="134"/>
      <c r="R221" s="134"/>
      <c r="S221" s="134"/>
    </row>
    <row r="222" spans="1:19" ht="15" customHeight="1" x14ac:dyDescent="0.25">
      <c r="A222" s="133"/>
      <c r="B222" s="134"/>
      <c r="C222" s="134"/>
      <c r="D222" s="134"/>
      <c r="E222" s="134"/>
      <c r="F222" s="134"/>
      <c r="G222" s="135"/>
      <c r="H222" s="135"/>
      <c r="I222" s="135"/>
      <c r="J222" s="136"/>
      <c r="K222" s="134"/>
      <c r="L222" s="134"/>
      <c r="M222" s="134"/>
      <c r="N222" s="134"/>
      <c r="O222" s="134"/>
      <c r="P222" s="134"/>
      <c r="Q222" s="134"/>
      <c r="R222" s="134"/>
      <c r="S222" s="134"/>
    </row>
    <row r="223" spans="1:19" ht="15" customHeight="1" x14ac:dyDescent="0.25">
      <c r="A223" s="133"/>
      <c r="B223" s="134"/>
      <c r="C223" s="134"/>
      <c r="D223" s="134"/>
      <c r="E223" s="134"/>
      <c r="F223" s="134"/>
      <c r="G223" s="135"/>
      <c r="H223" s="135"/>
      <c r="I223" s="135"/>
      <c r="J223" s="136"/>
      <c r="K223" s="134"/>
      <c r="L223" s="134"/>
      <c r="M223" s="134"/>
      <c r="N223" s="134"/>
      <c r="O223" s="134"/>
      <c r="P223" s="134"/>
      <c r="Q223" s="134"/>
      <c r="R223" s="134"/>
      <c r="S223" s="134"/>
    </row>
    <row r="224" spans="1:19" ht="15" customHeight="1" x14ac:dyDescent="0.25">
      <c r="A224" s="133"/>
      <c r="B224" s="134"/>
      <c r="C224" s="134"/>
      <c r="D224" s="134"/>
      <c r="E224" s="134"/>
      <c r="F224" s="134"/>
      <c r="G224" s="135"/>
      <c r="H224" s="135"/>
      <c r="I224" s="135"/>
      <c r="J224" s="136"/>
      <c r="K224" s="134"/>
      <c r="L224" s="134"/>
      <c r="M224" s="134"/>
      <c r="N224" s="134"/>
      <c r="O224" s="134"/>
      <c r="P224" s="134"/>
      <c r="Q224" s="134"/>
      <c r="R224" s="134"/>
      <c r="S224" s="134"/>
    </row>
    <row r="225" spans="1:19" ht="15" customHeight="1" x14ac:dyDescent="0.25">
      <c r="A225" s="133"/>
      <c r="B225" s="134"/>
      <c r="C225" s="134"/>
      <c r="D225" s="134"/>
      <c r="E225" s="134"/>
      <c r="F225" s="134"/>
      <c r="G225" s="135"/>
      <c r="H225" s="135"/>
      <c r="I225" s="135"/>
      <c r="J225" s="136"/>
      <c r="K225" s="134"/>
      <c r="L225" s="134"/>
      <c r="M225" s="134"/>
      <c r="N225" s="134"/>
      <c r="O225" s="134"/>
      <c r="P225" s="134"/>
      <c r="Q225" s="134"/>
      <c r="R225" s="134"/>
      <c r="S225" s="134"/>
    </row>
    <row r="226" spans="1:19" ht="15" customHeight="1" x14ac:dyDescent="0.25">
      <c r="A226" s="133"/>
      <c r="B226" s="134"/>
      <c r="C226" s="134"/>
      <c r="D226" s="134"/>
      <c r="E226" s="134"/>
      <c r="F226" s="134"/>
      <c r="G226" s="135"/>
      <c r="H226" s="135"/>
      <c r="I226" s="135"/>
      <c r="J226" s="136"/>
      <c r="K226" s="134"/>
      <c r="L226" s="134"/>
      <c r="M226" s="134"/>
      <c r="N226" s="134"/>
      <c r="O226" s="134"/>
      <c r="P226" s="134"/>
      <c r="Q226" s="134"/>
      <c r="R226" s="134"/>
      <c r="S226" s="134"/>
    </row>
    <row r="227" spans="1:19" ht="15" customHeight="1" x14ac:dyDescent="0.25">
      <c r="A227" s="133"/>
      <c r="B227" s="134"/>
      <c r="C227" s="134"/>
      <c r="D227" s="134"/>
      <c r="E227" s="134"/>
      <c r="F227" s="134"/>
      <c r="G227" s="135"/>
      <c r="H227" s="135"/>
      <c r="I227" s="135"/>
      <c r="J227" s="136"/>
      <c r="K227" s="134"/>
      <c r="L227" s="134"/>
      <c r="M227" s="134"/>
      <c r="N227" s="134"/>
      <c r="O227" s="134"/>
      <c r="P227" s="134"/>
      <c r="Q227" s="134"/>
      <c r="R227" s="134"/>
      <c r="S227" s="134"/>
    </row>
    <row r="228" spans="1:19" ht="15" customHeight="1" x14ac:dyDescent="0.25">
      <c r="A228" s="133"/>
      <c r="B228" s="134"/>
      <c r="C228" s="134"/>
      <c r="D228" s="134"/>
      <c r="E228" s="134"/>
      <c r="F228" s="134"/>
      <c r="G228" s="135"/>
      <c r="H228" s="135"/>
      <c r="I228" s="135"/>
      <c r="J228" s="136"/>
      <c r="K228" s="134"/>
      <c r="L228" s="134"/>
      <c r="M228" s="134"/>
      <c r="N228" s="134"/>
      <c r="O228" s="134"/>
      <c r="P228" s="134"/>
      <c r="Q228" s="134"/>
      <c r="R228" s="134"/>
      <c r="S228" s="134"/>
    </row>
    <row r="229" spans="1:19" ht="15" customHeight="1" x14ac:dyDescent="0.25">
      <c r="A229" s="133"/>
      <c r="B229" s="134"/>
      <c r="C229" s="134"/>
      <c r="D229" s="134"/>
      <c r="E229" s="134"/>
      <c r="F229" s="134"/>
      <c r="G229" s="135"/>
      <c r="H229" s="135"/>
      <c r="I229" s="135"/>
      <c r="J229" s="136"/>
      <c r="K229" s="134"/>
      <c r="L229" s="134"/>
      <c r="M229" s="134"/>
      <c r="N229" s="134"/>
      <c r="O229" s="134"/>
      <c r="P229" s="134"/>
      <c r="Q229" s="134"/>
      <c r="R229" s="134"/>
      <c r="S229" s="134"/>
    </row>
    <row r="230" spans="1:19" ht="15" customHeight="1" x14ac:dyDescent="0.25">
      <c r="A230" s="133"/>
      <c r="B230" s="134"/>
      <c r="C230" s="134"/>
      <c r="D230" s="134"/>
      <c r="E230" s="134"/>
      <c r="F230" s="134"/>
      <c r="G230" s="135"/>
      <c r="H230" s="135"/>
      <c r="I230" s="135"/>
      <c r="J230" s="136"/>
      <c r="K230" s="134"/>
      <c r="L230" s="134"/>
      <c r="M230" s="134"/>
      <c r="N230" s="134"/>
      <c r="O230" s="134"/>
      <c r="P230" s="134"/>
      <c r="Q230" s="134"/>
      <c r="R230" s="134"/>
      <c r="S230" s="134"/>
    </row>
    <row r="231" spans="1:19" ht="15" customHeight="1" x14ac:dyDescent="0.25">
      <c r="A231" s="133"/>
      <c r="B231" s="134"/>
      <c r="C231" s="134"/>
      <c r="D231" s="134"/>
      <c r="E231" s="134"/>
      <c r="F231" s="134"/>
      <c r="G231" s="135"/>
      <c r="H231" s="135"/>
      <c r="I231" s="135"/>
      <c r="J231" s="136"/>
      <c r="K231" s="134"/>
      <c r="L231" s="134"/>
      <c r="M231" s="134"/>
      <c r="N231" s="134"/>
      <c r="O231" s="134"/>
      <c r="P231" s="134"/>
      <c r="Q231" s="134"/>
      <c r="R231" s="134"/>
      <c r="S231" s="134"/>
    </row>
    <row r="232" spans="1:19" ht="15" customHeight="1" x14ac:dyDescent="0.25">
      <c r="A232" s="133"/>
      <c r="B232" s="134"/>
      <c r="C232" s="134"/>
      <c r="D232" s="134"/>
      <c r="E232" s="134"/>
      <c r="F232" s="134"/>
      <c r="G232" s="135"/>
      <c r="H232" s="135"/>
      <c r="I232" s="135"/>
      <c r="J232" s="136"/>
      <c r="K232" s="134"/>
      <c r="L232" s="134"/>
      <c r="M232" s="134"/>
      <c r="N232" s="134"/>
      <c r="O232" s="134"/>
      <c r="P232" s="134"/>
      <c r="Q232" s="134"/>
      <c r="R232" s="134"/>
      <c r="S232" s="134"/>
    </row>
    <row r="233" spans="1:19" ht="15" customHeight="1" x14ac:dyDescent="0.25">
      <c r="A233" s="133"/>
      <c r="B233" s="134"/>
      <c r="C233" s="134"/>
      <c r="D233" s="134"/>
      <c r="E233" s="134"/>
      <c r="F233" s="134"/>
      <c r="G233" s="135"/>
      <c r="H233" s="135"/>
      <c r="I233" s="135"/>
      <c r="J233" s="136"/>
      <c r="K233" s="134"/>
      <c r="L233" s="134"/>
      <c r="M233" s="134"/>
      <c r="N233" s="134"/>
      <c r="O233" s="134"/>
      <c r="P233" s="134"/>
      <c r="Q233" s="134"/>
      <c r="R233" s="134"/>
      <c r="S233" s="134"/>
    </row>
    <row r="234" spans="1:19" ht="15" customHeight="1" x14ac:dyDescent="0.25">
      <c r="A234" s="133"/>
      <c r="B234" s="134"/>
      <c r="C234" s="134"/>
      <c r="D234" s="134"/>
      <c r="E234" s="134"/>
      <c r="F234" s="134"/>
      <c r="G234" s="135"/>
      <c r="H234" s="135"/>
      <c r="I234" s="135"/>
      <c r="J234" s="136"/>
      <c r="K234" s="134"/>
      <c r="L234" s="134"/>
      <c r="M234" s="134"/>
      <c r="N234" s="134"/>
      <c r="O234" s="134"/>
      <c r="P234" s="134"/>
      <c r="Q234" s="134"/>
      <c r="R234" s="134"/>
      <c r="S234" s="134"/>
    </row>
    <row r="235" spans="1:19" ht="15" customHeight="1" x14ac:dyDescent="0.25">
      <c r="A235" s="133"/>
      <c r="B235" s="134"/>
      <c r="C235" s="134"/>
      <c r="D235" s="134"/>
      <c r="E235" s="134"/>
      <c r="F235" s="134"/>
      <c r="G235" s="135"/>
      <c r="H235" s="135"/>
      <c r="I235" s="135"/>
      <c r="J235" s="136"/>
      <c r="K235" s="134"/>
      <c r="L235" s="134"/>
      <c r="M235" s="134"/>
      <c r="N235" s="134"/>
      <c r="O235" s="134"/>
      <c r="P235" s="134"/>
      <c r="Q235" s="134"/>
      <c r="R235" s="134"/>
      <c r="S235" s="134"/>
    </row>
    <row r="236" spans="1:19" ht="15" customHeight="1" x14ac:dyDescent="0.25">
      <c r="A236" s="133"/>
      <c r="B236" s="134"/>
      <c r="C236" s="134"/>
      <c r="D236" s="134"/>
      <c r="E236" s="134"/>
      <c r="F236" s="134"/>
      <c r="G236" s="135"/>
      <c r="H236" s="135"/>
      <c r="I236" s="135"/>
      <c r="J236" s="136"/>
      <c r="K236" s="134"/>
      <c r="L236" s="134"/>
      <c r="M236" s="134"/>
      <c r="N236" s="134"/>
      <c r="O236" s="134"/>
      <c r="P236" s="134"/>
      <c r="Q236" s="134"/>
      <c r="R236" s="134"/>
      <c r="S236" s="134"/>
    </row>
    <row r="237" spans="1:19" ht="15" customHeight="1" x14ac:dyDescent="0.25">
      <c r="A237" s="133"/>
      <c r="B237" s="134"/>
      <c r="C237" s="134"/>
      <c r="D237" s="134"/>
      <c r="E237" s="134"/>
      <c r="F237" s="134"/>
      <c r="G237" s="135"/>
      <c r="H237" s="135"/>
      <c r="I237" s="135"/>
      <c r="J237" s="136"/>
      <c r="K237" s="134"/>
      <c r="L237" s="134"/>
      <c r="M237" s="134"/>
      <c r="N237" s="134"/>
      <c r="O237" s="134"/>
      <c r="P237" s="134"/>
      <c r="Q237" s="134"/>
      <c r="R237" s="134"/>
      <c r="S237" s="134"/>
    </row>
    <row r="238" spans="1:19" ht="15" customHeight="1" x14ac:dyDescent="0.25">
      <c r="A238" s="133"/>
      <c r="B238" s="134"/>
      <c r="C238" s="134"/>
      <c r="D238" s="134"/>
      <c r="E238" s="134"/>
      <c r="F238" s="134"/>
      <c r="G238" s="135"/>
      <c r="H238" s="135"/>
      <c r="I238" s="135"/>
      <c r="J238" s="136"/>
      <c r="K238" s="134"/>
      <c r="L238" s="134"/>
      <c r="M238" s="134"/>
      <c r="N238" s="134"/>
      <c r="O238" s="134"/>
      <c r="P238" s="134"/>
      <c r="Q238" s="134"/>
      <c r="R238" s="134"/>
      <c r="S238" s="134"/>
    </row>
    <row r="239" spans="1:19" ht="15" customHeight="1" x14ac:dyDescent="0.25">
      <c r="A239" s="133"/>
      <c r="B239" s="134"/>
      <c r="C239" s="134"/>
      <c r="D239" s="134"/>
      <c r="E239" s="134"/>
      <c r="F239" s="134"/>
      <c r="G239" s="135"/>
      <c r="H239" s="135"/>
      <c r="I239" s="135"/>
      <c r="J239" s="136"/>
      <c r="K239" s="134"/>
      <c r="L239" s="134"/>
      <c r="M239" s="134"/>
      <c r="N239" s="134"/>
      <c r="O239" s="134"/>
      <c r="P239" s="134"/>
      <c r="Q239" s="134"/>
      <c r="R239" s="134"/>
      <c r="S239" s="134"/>
    </row>
    <row r="240" spans="1:19" ht="15" customHeight="1" x14ac:dyDescent="0.25">
      <c r="A240" s="133"/>
      <c r="B240" s="134"/>
      <c r="C240" s="134"/>
      <c r="D240" s="134"/>
      <c r="E240" s="134"/>
      <c r="F240" s="134"/>
      <c r="G240" s="135"/>
      <c r="H240" s="135"/>
      <c r="I240" s="135"/>
      <c r="J240" s="136"/>
      <c r="K240" s="134"/>
      <c r="L240" s="134"/>
      <c r="M240" s="134"/>
      <c r="N240" s="134"/>
      <c r="O240" s="134"/>
      <c r="P240" s="134"/>
      <c r="Q240" s="134"/>
      <c r="R240" s="134"/>
      <c r="S240" s="134"/>
    </row>
    <row r="241" spans="1:19" ht="15" customHeight="1" x14ac:dyDescent="0.25">
      <c r="A241" s="133"/>
      <c r="B241" s="134"/>
      <c r="C241" s="134"/>
      <c r="D241" s="134"/>
      <c r="E241" s="134"/>
      <c r="F241" s="134"/>
      <c r="G241" s="135"/>
      <c r="H241" s="135"/>
      <c r="I241" s="135"/>
      <c r="J241" s="136"/>
      <c r="K241" s="134"/>
      <c r="L241" s="134"/>
      <c r="M241" s="134"/>
      <c r="N241" s="134"/>
      <c r="O241" s="134"/>
      <c r="P241" s="134"/>
      <c r="Q241" s="134"/>
      <c r="R241" s="134"/>
      <c r="S241" s="134"/>
    </row>
    <row r="242" spans="1:19" ht="15" customHeight="1" x14ac:dyDescent="0.25">
      <c r="A242" s="133"/>
      <c r="B242" s="134"/>
      <c r="C242" s="134"/>
      <c r="D242" s="134"/>
      <c r="E242" s="134"/>
      <c r="F242" s="134"/>
      <c r="G242" s="135"/>
      <c r="H242" s="135"/>
      <c r="I242" s="135"/>
      <c r="J242" s="136"/>
      <c r="K242" s="134"/>
      <c r="L242" s="134"/>
      <c r="M242" s="134"/>
      <c r="N242" s="134"/>
      <c r="O242" s="134"/>
      <c r="P242" s="134"/>
      <c r="Q242" s="134"/>
      <c r="R242" s="134"/>
      <c r="S242" s="134"/>
    </row>
    <row r="243" spans="1:19" ht="15" customHeight="1" x14ac:dyDescent="0.25">
      <c r="A243" s="133"/>
      <c r="B243" s="134"/>
      <c r="C243" s="134"/>
      <c r="D243" s="134"/>
      <c r="E243" s="134"/>
      <c r="F243" s="134"/>
      <c r="G243" s="135"/>
      <c r="H243" s="135"/>
      <c r="I243" s="135"/>
      <c r="J243" s="136"/>
      <c r="K243" s="134"/>
      <c r="L243" s="134"/>
      <c r="M243" s="134"/>
      <c r="N243" s="134"/>
      <c r="O243" s="134"/>
      <c r="P243" s="134"/>
      <c r="Q243" s="134"/>
      <c r="R243" s="134"/>
      <c r="S243" s="134"/>
    </row>
    <row r="244" spans="1:19" ht="15" customHeight="1" x14ac:dyDescent="0.25">
      <c r="A244" s="133"/>
      <c r="B244" s="134"/>
      <c r="C244" s="134"/>
      <c r="D244" s="134"/>
      <c r="E244" s="134"/>
      <c r="F244" s="134"/>
      <c r="G244" s="135"/>
      <c r="H244" s="135"/>
      <c r="I244" s="135"/>
      <c r="J244" s="136"/>
      <c r="K244" s="134"/>
      <c r="L244" s="134"/>
      <c r="M244" s="134"/>
      <c r="N244" s="134"/>
      <c r="O244" s="134"/>
      <c r="P244" s="134"/>
      <c r="Q244" s="134"/>
      <c r="R244" s="134"/>
      <c r="S244" s="134"/>
    </row>
    <row r="245" spans="1:19" ht="15" customHeight="1" x14ac:dyDescent="0.25">
      <c r="A245" s="133"/>
      <c r="B245" s="134"/>
      <c r="C245" s="134"/>
      <c r="D245" s="134"/>
      <c r="E245" s="134"/>
      <c r="F245" s="134"/>
      <c r="G245" s="135"/>
      <c r="H245" s="135"/>
      <c r="I245" s="135"/>
      <c r="J245" s="136"/>
      <c r="K245" s="134"/>
      <c r="L245" s="134"/>
      <c r="M245" s="134"/>
      <c r="N245" s="134"/>
      <c r="O245" s="134"/>
      <c r="P245" s="134"/>
      <c r="Q245" s="134"/>
      <c r="R245" s="134"/>
      <c r="S245" s="134"/>
    </row>
    <row r="246" spans="1:19" x14ac:dyDescent="0.25">
      <c r="A246" s="133"/>
      <c r="B246" s="134"/>
      <c r="C246" s="134"/>
      <c r="D246" s="134"/>
      <c r="E246" s="134"/>
      <c r="F246" s="134"/>
      <c r="G246" s="135"/>
      <c r="H246" s="135"/>
      <c r="I246" s="135"/>
      <c r="J246" s="136"/>
      <c r="K246" s="134"/>
      <c r="L246" s="134"/>
      <c r="M246" s="134"/>
      <c r="N246" s="134"/>
      <c r="O246" s="134"/>
      <c r="P246" s="134"/>
      <c r="Q246" s="134"/>
      <c r="R246" s="134"/>
      <c r="S246" s="134"/>
    </row>
    <row r="247" spans="1:19" x14ac:dyDescent="0.25">
      <c r="A247" s="133"/>
      <c r="B247" s="134"/>
      <c r="C247" s="134"/>
      <c r="D247" s="134"/>
      <c r="E247" s="134"/>
      <c r="F247" s="134"/>
      <c r="G247" s="135"/>
      <c r="H247" s="135"/>
      <c r="I247" s="135"/>
      <c r="J247" s="136"/>
      <c r="K247" s="134"/>
      <c r="L247" s="134"/>
      <c r="M247" s="134"/>
      <c r="N247" s="134"/>
      <c r="O247" s="134"/>
      <c r="P247" s="134"/>
      <c r="Q247" s="134"/>
      <c r="R247" s="134"/>
      <c r="S247" s="134"/>
    </row>
    <row r="248" spans="1:19" x14ac:dyDescent="0.25">
      <c r="A248" s="133"/>
      <c r="B248" s="134"/>
      <c r="C248" s="134"/>
      <c r="D248" s="134"/>
      <c r="E248" s="134"/>
      <c r="F248" s="134"/>
      <c r="G248" s="135"/>
      <c r="H248" s="135"/>
      <c r="I248" s="135"/>
      <c r="J248" s="136"/>
      <c r="K248" s="134"/>
      <c r="L248" s="134"/>
      <c r="M248" s="134"/>
      <c r="N248" s="134"/>
      <c r="O248" s="134"/>
      <c r="P248" s="134"/>
      <c r="Q248" s="134"/>
      <c r="R248" s="134"/>
      <c r="S248" s="134"/>
    </row>
    <row r="249" spans="1:19" x14ac:dyDescent="0.25">
      <c r="A249" s="133"/>
      <c r="B249" s="134"/>
      <c r="C249" s="134"/>
      <c r="D249" s="134"/>
      <c r="E249" s="134"/>
      <c r="F249" s="134"/>
      <c r="G249" s="135"/>
      <c r="H249" s="135"/>
      <c r="I249" s="135"/>
      <c r="J249" s="136"/>
      <c r="K249" s="134"/>
      <c r="L249" s="134"/>
      <c r="M249" s="134"/>
      <c r="N249" s="134"/>
      <c r="O249" s="134"/>
      <c r="P249" s="134"/>
      <c r="Q249" s="134"/>
      <c r="R249" s="134"/>
      <c r="S249" s="134"/>
    </row>
    <row r="250" spans="1:19" x14ac:dyDescent="0.25">
      <c r="A250" s="133"/>
      <c r="B250" s="134"/>
      <c r="C250" s="134"/>
      <c r="D250" s="134"/>
      <c r="E250" s="134"/>
      <c r="F250" s="134"/>
      <c r="G250" s="135"/>
      <c r="H250" s="135"/>
      <c r="I250" s="135"/>
      <c r="J250" s="136"/>
      <c r="K250" s="134"/>
      <c r="L250" s="134"/>
      <c r="M250" s="134"/>
      <c r="N250" s="134"/>
      <c r="O250" s="134"/>
      <c r="P250" s="134"/>
      <c r="Q250" s="134"/>
      <c r="R250" s="134"/>
      <c r="S250" s="134"/>
    </row>
    <row r="251" spans="1:19" x14ac:dyDescent="0.25">
      <c r="A251" s="133"/>
      <c r="B251" s="134"/>
      <c r="C251" s="134"/>
      <c r="D251" s="134"/>
      <c r="E251" s="134"/>
      <c r="F251" s="134"/>
      <c r="G251" s="135"/>
      <c r="H251" s="135"/>
      <c r="I251" s="135"/>
      <c r="J251" s="136"/>
      <c r="K251" s="134"/>
      <c r="L251" s="134"/>
      <c r="M251" s="134"/>
      <c r="N251" s="134"/>
      <c r="O251" s="134"/>
      <c r="P251" s="134"/>
      <c r="Q251" s="134"/>
      <c r="R251" s="134"/>
      <c r="S251" s="134"/>
    </row>
    <row r="252" spans="1:19" x14ac:dyDescent="0.25">
      <c r="A252" s="133"/>
      <c r="B252" s="134"/>
      <c r="C252" s="134"/>
      <c r="D252" s="134"/>
      <c r="E252" s="134"/>
      <c r="F252" s="134"/>
      <c r="G252" s="135"/>
      <c r="H252" s="135"/>
      <c r="I252" s="135"/>
      <c r="J252" s="136"/>
      <c r="K252" s="134"/>
      <c r="L252" s="134"/>
      <c r="M252" s="134"/>
      <c r="N252" s="134"/>
      <c r="O252" s="134"/>
      <c r="P252" s="134"/>
      <c r="Q252" s="134"/>
      <c r="R252" s="134"/>
      <c r="S252" s="134"/>
    </row>
    <row r="253" spans="1:19" x14ac:dyDescent="0.25">
      <c r="A253" s="133"/>
      <c r="B253" s="134"/>
      <c r="C253" s="134"/>
      <c r="D253" s="134"/>
      <c r="E253" s="134"/>
      <c r="F253" s="134"/>
      <c r="G253" s="135"/>
      <c r="H253" s="135"/>
      <c r="I253" s="135"/>
      <c r="J253" s="136"/>
      <c r="K253" s="134"/>
      <c r="L253" s="134"/>
      <c r="M253" s="134"/>
      <c r="N253" s="134"/>
      <c r="O253" s="134"/>
      <c r="P253" s="134"/>
      <c r="Q253" s="134"/>
      <c r="R253" s="134"/>
      <c r="S253" s="134"/>
    </row>
    <row r="254" spans="1:19" x14ac:dyDescent="0.25">
      <c r="A254" s="133"/>
      <c r="B254" s="134"/>
      <c r="C254" s="134"/>
      <c r="D254" s="134"/>
      <c r="E254" s="134"/>
      <c r="F254" s="134"/>
      <c r="G254" s="135"/>
      <c r="H254" s="135"/>
      <c r="I254" s="135"/>
      <c r="J254" s="136"/>
      <c r="K254" s="134"/>
      <c r="L254" s="134"/>
      <c r="M254" s="134"/>
      <c r="N254" s="134"/>
      <c r="O254" s="134"/>
      <c r="P254" s="134"/>
      <c r="Q254" s="134"/>
      <c r="R254" s="134"/>
      <c r="S254" s="134"/>
    </row>
    <row r="255" spans="1:19" x14ac:dyDescent="0.25">
      <c r="A255" s="133"/>
      <c r="B255" s="134"/>
      <c r="C255" s="134"/>
      <c r="D255" s="134"/>
      <c r="E255" s="134"/>
      <c r="F255" s="134"/>
      <c r="G255" s="135"/>
      <c r="H255" s="135"/>
      <c r="I255" s="135"/>
      <c r="J255" s="136"/>
      <c r="K255" s="134"/>
      <c r="L255" s="134"/>
      <c r="M255" s="134"/>
      <c r="N255" s="134"/>
      <c r="O255" s="134"/>
      <c r="P255" s="134"/>
      <c r="Q255" s="134"/>
      <c r="R255" s="134"/>
      <c r="S255" s="134"/>
    </row>
    <row r="256" spans="1:19" x14ac:dyDescent="0.25">
      <c r="A256" s="133"/>
      <c r="B256" s="134"/>
      <c r="C256" s="134"/>
      <c r="D256" s="134"/>
      <c r="E256" s="134"/>
      <c r="F256" s="134"/>
      <c r="G256" s="135"/>
      <c r="H256" s="135"/>
      <c r="I256" s="135"/>
      <c r="J256" s="136"/>
      <c r="K256" s="134"/>
      <c r="L256" s="134"/>
      <c r="M256" s="134"/>
      <c r="N256" s="134"/>
      <c r="O256" s="134"/>
      <c r="P256" s="134"/>
      <c r="Q256" s="134"/>
      <c r="R256" s="134"/>
      <c r="S256" s="134"/>
    </row>
    <row r="257" spans="1:19" x14ac:dyDescent="0.25">
      <c r="A257" s="133"/>
      <c r="B257" s="134"/>
      <c r="C257" s="134"/>
      <c r="D257" s="134"/>
      <c r="E257" s="134"/>
      <c r="F257" s="134"/>
      <c r="G257" s="135"/>
      <c r="H257" s="135"/>
      <c r="I257" s="135"/>
      <c r="J257" s="136"/>
      <c r="K257" s="134"/>
      <c r="L257" s="134"/>
      <c r="M257" s="134"/>
      <c r="N257" s="134"/>
      <c r="O257" s="134"/>
      <c r="P257" s="134"/>
      <c r="Q257" s="134"/>
      <c r="R257" s="134"/>
      <c r="S257" s="134"/>
    </row>
    <row r="258" spans="1:19" x14ac:dyDescent="0.25">
      <c r="A258" s="133"/>
      <c r="B258" s="134"/>
      <c r="C258" s="134"/>
      <c r="D258" s="134"/>
      <c r="E258" s="134"/>
      <c r="F258" s="134"/>
      <c r="G258" s="135"/>
      <c r="H258" s="135"/>
      <c r="I258" s="135"/>
      <c r="J258" s="136"/>
      <c r="K258" s="134"/>
      <c r="L258" s="134"/>
      <c r="M258" s="134"/>
      <c r="N258" s="134"/>
      <c r="O258" s="134"/>
      <c r="P258" s="134"/>
      <c r="Q258" s="134"/>
      <c r="R258" s="134"/>
      <c r="S258" s="134"/>
    </row>
    <row r="259" spans="1:19" x14ac:dyDescent="0.25">
      <c r="A259" s="133"/>
      <c r="B259" s="134"/>
      <c r="C259" s="134"/>
      <c r="D259" s="134"/>
      <c r="E259" s="134"/>
      <c r="F259" s="134"/>
      <c r="G259" s="135"/>
      <c r="H259" s="135"/>
      <c r="I259" s="135"/>
      <c r="J259" s="136"/>
      <c r="K259" s="134"/>
      <c r="L259" s="134"/>
      <c r="M259" s="134"/>
      <c r="N259" s="134"/>
      <c r="O259" s="134"/>
      <c r="P259" s="134"/>
      <c r="Q259" s="134"/>
      <c r="R259" s="134"/>
      <c r="S259" s="134"/>
    </row>
    <row r="260" spans="1:19" x14ac:dyDescent="0.25">
      <c r="A260" s="133"/>
      <c r="B260" s="134"/>
      <c r="C260" s="134"/>
      <c r="D260" s="134"/>
      <c r="E260" s="134"/>
      <c r="F260" s="134"/>
      <c r="G260" s="135"/>
      <c r="H260" s="135"/>
      <c r="I260" s="135"/>
      <c r="J260" s="136"/>
      <c r="K260" s="134"/>
      <c r="L260" s="134"/>
      <c r="M260" s="134"/>
      <c r="N260" s="134"/>
      <c r="O260" s="134"/>
      <c r="P260" s="134"/>
      <c r="Q260" s="134"/>
      <c r="R260" s="134"/>
      <c r="S260" s="134"/>
    </row>
    <row r="261" spans="1:19" x14ac:dyDescent="0.25">
      <c r="A261" s="133"/>
      <c r="B261" s="134"/>
      <c r="C261" s="134"/>
      <c r="D261" s="134"/>
      <c r="E261" s="134"/>
      <c r="F261" s="134"/>
      <c r="G261" s="135"/>
      <c r="H261" s="135"/>
      <c r="I261" s="135"/>
      <c r="J261" s="136"/>
      <c r="K261" s="134"/>
      <c r="L261" s="134"/>
      <c r="M261" s="134"/>
      <c r="N261" s="134"/>
      <c r="O261" s="134"/>
      <c r="P261" s="134"/>
      <c r="Q261" s="134"/>
      <c r="R261" s="134"/>
      <c r="S261" s="134"/>
    </row>
    <row r="262" spans="1:19" x14ac:dyDescent="0.25">
      <c r="A262" s="133"/>
      <c r="B262" s="134"/>
      <c r="C262" s="134"/>
      <c r="D262" s="134"/>
      <c r="E262" s="134"/>
      <c r="F262" s="134"/>
      <c r="G262" s="135"/>
      <c r="H262" s="135"/>
      <c r="I262" s="135"/>
      <c r="J262" s="136"/>
      <c r="K262" s="134"/>
      <c r="L262" s="134"/>
      <c r="M262" s="134"/>
      <c r="N262" s="134"/>
      <c r="O262" s="134"/>
      <c r="P262" s="134"/>
      <c r="Q262" s="134"/>
      <c r="R262" s="134"/>
      <c r="S262" s="134"/>
    </row>
    <row r="263" spans="1:19" x14ac:dyDescent="0.25">
      <c r="A263" s="133"/>
      <c r="B263" s="134"/>
      <c r="C263" s="134"/>
      <c r="D263" s="134"/>
      <c r="E263" s="134"/>
      <c r="F263" s="134"/>
      <c r="G263" s="135"/>
      <c r="H263" s="135"/>
      <c r="I263" s="135"/>
      <c r="J263" s="136"/>
      <c r="K263" s="134"/>
      <c r="L263" s="134"/>
      <c r="M263" s="134"/>
      <c r="N263" s="134"/>
      <c r="O263" s="134"/>
      <c r="P263" s="134"/>
      <c r="Q263" s="134"/>
      <c r="R263" s="134"/>
      <c r="S263" s="134"/>
    </row>
    <row r="264" spans="1:19" x14ac:dyDescent="0.25">
      <c r="A264" s="133"/>
      <c r="B264" s="134"/>
      <c r="C264" s="134"/>
      <c r="D264" s="134"/>
      <c r="E264" s="134"/>
      <c r="F264" s="134"/>
      <c r="G264" s="135"/>
      <c r="H264" s="135"/>
      <c r="I264" s="135"/>
      <c r="J264" s="136"/>
      <c r="K264" s="134"/>
      <c r="L264" s="134"/>
      <c r="M264" s="134"/>
      <c r="N264" s="134"/>
      <c r="O264" s="134"/>
      <c r="P264" s="134"/>
      <c r="Q264" s="134"/>
      <c r="R264" s="134"/>
      <c r="S264" s="134"/>
    </row>
    <row r="265" spans="1:19" x14ac:dyDescent="0.25">
      <c r="A265" s="133"/>
      <c r="B265" s="134"/>
      <c r="C265" s="134"/>
      <c r="D265" s="134"/>
      <c r="E265" s="134"/>
      <c r="F265" s="134"/>
      <c r="G265" s="135"/>
      <c r="H265" s="135"/>
      <c r="I265" s="135"/>
      <c r="J265" s="136"/>
      <c r="K265" s="134"/>
      <c r="L265" s="134"/>
      <c r="M265" s="134"/>
      <c r="N265" s="134"/>
      <c r="O265" s="134"/>
      <c r="P265" s="134"/>
      <c r="Q265" s="134"/>
      <c r="R265" s="134"/>
      <c r="S265" s="134"/>
    </row>
    <row r="266" spans="1:19" x14ac:dyDescent="0.25">
      <c r="A266" s="133"/>
      <c r="B266" s="134"/>
      <c r="C266" s="134"/>
      <c r="D266" s="134"/>
      <c r="E266" s="134"/>
      <c r="F266" s="134"/>
      <c r="G266" s="135"/>
      <c r="H266" s="135"/>
      <c r="I266" s="135"/>
      <c r="J266" s="136"/>
      <c r="K266" s="134"/>
      <c r="L266" s="134"/>
      <c r="M266" s="134"/>
      <c r="N266" s="134"/>
      <c r="O266" s="134"/>
      <c r="P266" s="134"/>
      <c r="Q266" s="134"/>
      <c r="R266" s="134"/>
      <c r="S266" s="134"/>
    </row>
    <row r="267" spans="1:19" x14ac:dyDescent="0.25">
      <c r="A267" s="133"/>
      <c r="B267" s="134"/>
      <c r="C267" s="134"/>
      <c r="D267" s="134"/>
      <c r="E267" s="134"/>
      <c r="F267" s="134"/>
      <c r="G267" s="135"/>
      <c r="H267" s="135"/>
      <c r="I267" s="135"/>
      <c r="J267" s="136"/>
      <c r="K267" s="134"/>
      <c r="L267" s="134"/>
      <c r="M267" s="134"/>
      <c r="N267" s="134"/>
      <c r="O267" s="134"/>
      <c r="P267" s="134"/>
      <c r="Q267" s="134"/>
      <c r="R267" s="134"/>
      <c r="S267" s="134"/>
    </row>
    <row r="268" spans="1:19" x14ac:dyDescent="0.25">
      <c r="A268" s="133"/>
      <c r="B268" s="134"/>
      <c r="C268" s="134"/>
      <c r="D268" s="134"/>
      <c r="E268" s="134"/>
      <c r="F268" s="134"/>
      <c r="G268" s="135"/>
      <c r="H268" s="135"/>
      <c r="I268" s="135"/>
      <c r="J268" s="136"/>
      <c r="K268" s="134"/>
      <c r="L268" s="134"/>
      <c r="M268" s="134"/>
      <c r="N268" s="134"/>
      <c r="O268" s="134"/>
      <c r="P268" s="134"/>
      <c r="Q268" s="134"/>
      <c r="R268" s="134"/>
      <c r="S268" s="134"/>
    </row>
    <row r="269" spans="1:19" x14ac:dyDescent="0.25">
      <c r="A269" s="133"/>
      <c r="B269" s="134"/>
      <c r="C269" s="134"/>
      <c r="D269" s="134"/>
      <c r="E269" s="134"/>
      <c r="F269" s="134"/>
      <c r="G269" s="135"/>
      <c r="H269" s="135"/>
      <c r="I269" s="135"/>
      <c r="J269" s="136"/>
      <c r="K269" s="134"/>
      <c r="L269" s="134"/>
      <c r="M269" s="134"/>
      <c r="N269" s="134"/>
      <c r="O269" s="134"/>
      <c r="P269" s="134"/>
      <c r="Q269" s="134"/>
      <c r="R269" s="134"/>
      <c r="S269" s="134"/>
    </row>
    <row r="270" spans="1:19" x14ac:dyDescent="0.25">
      <c r="A270" s="133"/>
      <c r="B270" s="134"/>
      <c r="C270" s="134"/>
      <c r="D270" s="134"/>
      <c r="E270" s="134"/>
      <c r="F270" s="134"/>
      <c r="G270" s="135"/>
      <c r="H270" s="135"/>
      <c r="I270" s="135"/>
      <c r="J270" s="136"/>
      <c r="K270" s="134"/>
      <c r="L270" s="134"/>
      <c r="M270" s="134"/>
      <c r="N270" s="134"/>
      <c r="O270" s="134"/>
      <c r="P270" s="134"/>
      <c r="Q270" s="134"/>
      <c r="R270" s="134"/>
      <c r="S270" s="134"/>
    </row>
    <row r="271" spans="1:19" x14ac:dyDescent="0.25">
      <c r="A271" s="133"/>
      <c r="B271" s="134"/>
      <c r="C271" s="134"/>
      <c r="D271" s="134"/>
      <c r="E271" s="134"/>
      <c r="F271" s="134"/>
      <c r="G271" s="135"/>
      <c r="H271" s="135"/>
      <c r="I271" s="135"/>
      <c r="J271" s="136"/>
      <c r="K271" s="134"/>
      <c r="L271" s="134"/>
      <c r="M271" s="134"/>
      <c r="N271" s="134"/>
      <c r="O271" s="134"/>
      <c r="P271" s="134"/>
      <c r="Q271" s="134"/>
      <c r="R271" s="134"/>
      <c r="S271" s="134"/>
    </row>
    <row r="272" spans="1:19" x14ac:dyDescent="0.25">
      <c r="A272" s="133"/>
      <c r="B272" s="134"/>
      <c r="C272" s="134"/>
      <c r="D272" s="134"/>
      <c r="E272" s="134"/>
      <c r="F272" s="134"/>
      <c r="G272" s="135"/>
      <c r="H272" s="135"/>
      <c r="I272" s="135"/>
      <c r="J272" s="136"/>
      <c r="K272" s="134"/>
      <c r="L272" s="134"/>
      <c r="M272" s="134"/>
      <c r="N272" s="134"/>
      <c r="O272" s="134"/>
      <c r="P272" s="134"/>
      <c r="Q272" s="134"/>
      <c r="R272" s="134"/>
      <c r="S272" s="134"/>
    </row>
    <row r="273" spans="1:19" x14ac:dyDescent="0.25">
      <c r="A273" s="133"/>
      <c r="B273" s="134"/>
      <c r="C273" s="134"/>
      <c r="D273" s="134"/>
      <c r="E273" s="134"/>
      <c r="F273" s="134"/>
      <c r="G273" s="135"/>
      <c r="H273" s="135"/>
      <c r="I273" s="135"/>
      <c r="J273" s="136"/>
      <c r="K273" s="134"/>
      <c r="L273" s="134"/>
      <c r="M273" s="134"/>
      <c r="N273" s="134"/>
      <c r="O273" s="134"/>
      <c r="P273" s="134"/>
      <c r="Q273" s="134"/>
      <c r="R273" s="134"/>
      <c r="S273" s="134"/>
    </row>
    <row r="274" spans="1:19" x14ac:dyDescent="0.25">
      <c r="A274" s="133"/>
      <c r="B274" s="134"/>
      <c r="C274" s="134"/>
      <c r="D274" s="134"/>
      <c r="E274" s="134"/>
      <c r="F274" s="134"/>
      <c r="G274" s="135"/>
      <c r="H274" s="135"/>
      <c r="I274" s="135"/>
      <c r="J274" s="136"/>
      <c r="K274" s="134"/>
      <c r="L274" s="134"/>
      <c r="M274" s="134"/>
      <c r="N274" s="134"/>
      <c r="O274" s="134"/>
      <c r="P274" s="134"/>
      <c r="Q274" s="134"/>
      <c r="R274" s="134"/>
      <c r="S274" s="134"/>
    </row>
    <row r="275" spans="1:19" x14ac:dyDescent="0.25">
      <c r="A275" s="133"/>
      <c r="B275" s="134"/>
      <c r="C275" s="134"/>
      <c r="D275" s="134"/>
      <c r="E275" s="134"/>
      <c r="F275" s="134"/>
      <c r="G275" s="135"/>
      <c r="H275" s="135"/>
      <c r="I275" s="135"/>
      <c r="J275" s="136"/>
      <c r="K275" s="134"/>
      <c r="L275" s="134"/>
      <c r="M275" s="134"/>
      <c r="N275" s="134"/>
      <c r="O275" s="134"/>
      <c r="P275" s="134"/>
      <c r="Q275" s="134"/>
      <c r="R275" s="134"/>
      <c r="S275" s="134"/>
    </row>
    <row r="276" spans="1:19" x14ac:dyDescent="0.25">
      <c r="A276" s="133"/>
      <c r="B276" s="134"/>
      <c r="C276" s="134"/>
      <c r="D276" s="134"/>
      <c r="E276" s="134"/>
      <c r="F276" s="134"/>
      <c r="G276" s="135"/>
      <c r="H276" s="135"/>
      <c r="I276" s="135"/>
      <c r="J276" s="136"/>
      <c r="K276" s="134"/>
      <c r="L276" s="134"/>
      <c r="M276" s="134"/>
      <c r="N276" s="134"/>
      <c r="O276" s="134"/>
      <c r="P276" s="134"/>
      <c r="Q276" s="134"/>
      <c r="R276" s="134"/>
      <c r="S276" s="134"/>
    </row>
    <row r="277" spans="1:19" x14ac:dyDescent="0.25">
      <c r="A277" s="133"/>
      <c r="B277" s="134"/>
      <c r="C277" s="134"/>
      <c r="D277" s="134"/>
      <c r="E277" s="134"/>
      <c r="F277" s="134"/>
      <c r="G277" s="135"/>
      <c r="H277" s="135"/>
      <c r="I277" s="135"/>
      <c r="J277" s="136"/>
      <c r="K277" s="134"/>
      <c r="L277" s="134"/>
      <c r="M277" s="134"/>
      <c r="N277" s="134"/>
      <c r="O277" s="134"/>
      <c r="P277" s="134"/>
      <c r="Q277" s="134"/>
      <c r="R277" s="134"/>
      <c r="S277" s="134"/>
    </row>
    <row r="278" spans="1:19" x14ac:dyDescent="0.25">
      <c r="A278" s="133"/>
      <c r="B278" s="134"/>
      <c r="C278" s="134"/>
      <c r="D278" s="134"/>
      <c r="E278" s="134"/>
      <c r="F278" s="134"/>
      <c r="G278" s="135"/>
      <c r="H278" s="135"/>
      <c r="I278" s="135"/>
      <c r="J278" s="136"/>
      <c r="K278" s="134"/>
      <c r="L278" s="134"/>
      <c r="M278" s="134"/>
      <c r="N278" s="134"/>
      <c r="O278" s="134"/>
      <c r="P278" s="134"/>
      <c r="Q278" s="134"/>
      <c r="R278" s="134"/>
      <c r="S278" s="134"/>
    </row>
    <row r="279" spans="1:19" x14ac:dyDescent="0.25">
      <c r="A279" s="133"/>
      <c r="B279" s="134"/>
      <c r="C279" s="134"/>
      <c r="D279" s="134"/>
      <c r="E279" s="134"/>
      <c r="F279" s="134"/>
      <c r="G279" s="135"/>
      <c r="H279" s="135"/>
      <c r="I279" s="135"/>
      <c r="J279" s="136"/>
      <c r="K279" s="134"/>
      <c r="L279" s="134"/>
      <c r="M279" s="134"/>
      <c r="N279" s="134"/>
      <c r="O279" s="134"/>
      <c r="P279" s="134"/>
      <c r="Q279" s="134"/>
      <c r="R279" s="134"/>
      <c r="S279" s="134"/>
    </row>
    <row r="280" spans="1:19" x14ac:dyDescent="0.25">
      <c r="A280" s="133"/>
      <c r="B280" s="134"/>
      <c r="C280" s="134"/>
      <c r="D280" s="134"/>
      <c r="E280" s="134"/>
      <c r="F280" s="134"/>
      <c r="G280" s="135"/>
      <c r="H280" s="135"/>
      <c r="I280" s="135"/>
      <c r="J280" s="136"/>
      <c r="K280" s="134"/>
      <c r="L280" s="134"/>
      <c r="M280" s="134"/>
      <c r="N280" s="134"/>
      <c r="O280" s="134"/>
      <c r="P280" s="134"/>
      <c r="Q280" s="134"/>
      <c r="R280" s="134"/>
      <c r="S280" s="134"/>
    </row>
    <row r="281" spans="1:19" x14ac:dyDescent="0.25">
      <c r="A281" s="133"/>
      <c r="B281" s="134"/>
      <c r="C281" s="134"/>
      <c r="D281" s="134"/>
      <c r="E281" s="134"/>
      <c r="F281" s="134"/>
      <c r="G281" s="135"/>
      <c r="H281" s="135"/>
      <c r="I281" s="135"/>
      <c r="J281" s="136"/>
      <c r="K281" s="134"/>
      <c r="L281" s="134"/>
      <c r="M281" s="134"/>
      <c r="N281" s="134"/>
      <c r="O281" s="134"/>
      <c r="P281" s="134"/>
      <c r="Q281" s="134"/>
      <c r="R281" s="134"/>
      <c r="S281" s="134"/>
    </row>
    <row r="282" spans="1:19" x14ac:dyDescent="0.25">
      <c r="A282" s="133"/>
      <c r="B282" s="134"/>
      <c r="C282" s="134"/>
      <c r="D282" s="134"/>
      <c r="E282" s="134"/>
      <c r="F282" s="134"/>
      <c r="G282" s="135"/>
      <c r="H282" s="135"/>
      <c r="I282" s="135"/>
      <c r="J282" s="136"/>
      <c r="K282" s="134"/>
      <c r="L282" s="134"/>
      <c r="M282" s="134"/>
      <c r="N282" s="134"/>
      <c r="O282" s="134"/>
      <c r="P282" s="134"/>
      <c r="Q282" s="134"/>
      <c r="R282" s="134"/>
      <c r="S282" s="134"/>
    </row>
    <row r="283" spans="1:19" x14ac:dyDescent="0.25">
      <c r="A283" s="133"/>
      <c r="B283" s="134"/>
      <c r="C283" s="134"/>
      <c r="D283" s="134"/>
      <c r="E283" s="134"/>
      <c r="F283" s="134"/>
      <c r="G283" s="135"/>
      <c r="H283" s="135"/>
      <c r="I283" s="135"/>
      <c r="J283" s="136"/>
      <c r="K283" s="134"/>
      <c r="L283" s="134"/>
      <c r="M283" s="134"/>
      <c r="N283" s="134"/>
      <c r="O283" s="134"/>
      <c r="P283" s="134"/>
      <c r="Q283" s="134"/>
      <c r="R283" s="134"/>
      <c r="S283" s="134"/>
    </row>
    <row r="284" spans="1:19" x14ac:dyDescent="0.25">
      <c r="A284" s="133"/>
      <c r="B284" s="134"/>
      <c r="C284" s="134"/>
      <c r="D284" s="134"/>
      <c r="E284" s="134"/>
      <c r="F284" s="134"/>
      <c r="G284" s="135"/>
      <c r="H284" s="135"/>
      <c r="I284" s="135"/>
      <c r="J284" s="136"/>
      <c r="K284" s="134"/>
      <c r="L284" s="134"/>
      <c r="M284" s="134"/>
      <c r="N284" s="134"/>
      <c r="O284" s="134"/>
      <c r="P284" s="134"/>
      <c r="Q284" s="134"/>
      <c r="R284" s="134"/>
      <c r="S284" s="134"/>
    </row>
    <row r="285" spans="1:19" x14ac:dyDescent="0.25">
      <c r="A285" s="133"/>
      <c r="B285" s="134"/>
      <c r="C285" s="134"/>
      <c r="D285" s="134"/>
      <c r="E285" s="134"/>
      <c r="F285" s="134"/>
      <c r="G285" s="135"/>
      <c r="H285" s="135"/>
      <c r="I285" s="135"/>
      <c r="J285" s="136"/>
      <c r="K285" s="134"/>
      <c r="L285" s="134"/>
      <c r="M285" s="134"/>
      <c r="N285" s="134"/>
      <c r="O285" s="134"/>
      <c r="P285" s="134"/>
      <c r="Q285" s="134"/>
      <c r="R285" s="134"/>
      <c r="S285" s="134"/>
    </row>
    <row r="286" spans="1:19" x14ac:dyDescent="0.25">
      <c r="A286" s="133"/>
      <c r="B286" s="134"/>
      <c r="C286" s="134"/>
      <c r="D286" s="134"/>
      <c r="E286" s="134"/>
      <c r="F286" s="134"/>
      <c r="G286" s="135"/>
      <c r="H286" s="135"/>
      <c r="I286" s="135"/>
      <c r="J286" s="136"/>
      <c r="K286" s="134"/>
      <c r="L286" s="134"/>
      <c r="M286" s="134"/>
      <c r="N286" s="134"/>
      <c r="O286" s="134"/>
      <c r="P286" s="134"/>
      <c r="Q286" s="134"/>
      <c r="R286" s="134"/>
      <c r="S286" s="134"/>
    </row>
    <row r="287" spans="1:19" x14ac:dyDescent="0.25">
      <c r="A287" s="133"/>
      <c r="B287" s="134"/>
      <c r="C287" s="134"/>
      <c r="D287" s="134"/>
      <c r="E287" s="134"/>
      <c r="F287" s="134"/>
      <c r="G287" s="135"/>
      <c r="H287" s="135"/>
      <c r="I287" s="135"/>
      <c r="J287" s="136"/>
      <c r="K287" s="134"/>
      <c r="L287" s="134"/>
      <c r="M287" s="134"/>
      <c r="N287" s="134"/>
      <c r="O287" s="134"/>
      <c r="P287" s="134"/>
      <c r="Q287" s="134"/>
      <c r="R287" s="134"/>
      <c r="S287" s="134"/>
    </row>
    <row r="288" spans="1:19" x14ac:dyDescent="0.25">
      <c r="A288" s="133"/>
      <c r="B288" s="134"/>
      <c r="C288" s="134"/>
      <c r="D288" s="134"/>
      <c r="E288" s="134"/>
      <c r="F288" s="134"/>
      <c r="G288" s="135"/>
      <c r="H288" s="135"/>
      <c r="I288" s="135"/>
      <c r="J288" s="136"/>
      <c r="K288" s="134"/>
      <c r="L288" s="134"/>
      <c r="M288" s="134"/>
      <c r="N288" s="134"/>
      <c r="O288" s="134"/>
      <c r="P288" s="134"/>
      <c r="Q288" s="134"/>
      <c r="R288" s="134"/>
      <c r="S288" s="134"/>
    </row>
    <row r="289" spans="1:19" x14ac:dyDescent="0.25">
      <c r="A289" s="133"/>
      <c r="B289" s="134"/>
      <c r="C289" s="134"/>
      <c r="D289" s="134"/>
      <c r="E289" s="134"/>
      <c r="F289" s="134"/>
      <c r="G289" s="135"/>
      <c r="H289" s="135"/>
      <c r="I289" s="135"/>
      <c r="J289" s="136"/>
      <c r="K289" s="134"/>
      <c r="L289" s="134"/>
      <c r="M289" s="134"/>
      <c r="N289" s="134"/>
      <c r="O289" s="134"/>
      <c r="P289" s="134"/>
      <c r="Q289" s="134"/>
      <c r="R289" s="134"/>
      <c r="S289" s="134"/>
    </row>
    <row r="290" spans="1:19" x14ac:dyDescent="0.25">
      <c r="A290" s="133"/>
      <c r="B290" s="134"/>
      <c r="C290" s="134"/>
      <c r="D290" s="134"/>
      <c r="E290" s="134"/>
      <c r="F290" s="134"/>
      <c r="G290" s="135"/>
      <c r="H290" s="135"/>
      <c r="I290" s="135"/>
      <c r="J290" s="136"/>
      <c r="K290" s="134"/>
      <c r="L290" s="134"/>
      <c r="M290" s="134"/>
      <c r="N290" s="134"/>
      <c r="O290" s="134"/>
      <c r="P290" s="134"/>
      <c r="Q290" s="134"/>
      <c r="R290" s="134"/>
      <c r="S290" s="134"/>
    </row>
    <row r="291" spans="1:19" x14ac:dyDescent="0.25">
      <c r="A291" s="133"/>
      <c r="B291" s="134"/>
      <c r="C291" s="134"/>
      <c r="D291" s="134"/>
      <c r="E291" s="134"/>
      <c r="F291" s="134"/>
      <c r="G291" s="135"/>
      <c r="H291" s="135"/>
      <c r="I291" s="135"/>
      <c r="J291" s="136"/>
      <c r="K291" s="134"/>
      <c r="L291" s="134"/>
      <c r="M291" s="134"/>
      <c r="N291" s="134"/>
      <c r="O291" s="134"/>
      <c r="P291" s="134"/>
      <c r="Q291" s="134"/>
      <c r="R291" s="134"/>
      <c r="S291" s="134"/>
    </row>
    <row r="292" spans="1:19" x14ac:dyDescent="0.25">
      <c r="A292" s="133"/>
      <c r="B292" s="134"/>
      <c r="C292" s="134"/>
      <c r="D292" s="134"/>
      <c r="E292" s="134"/>
      <c r="F292" s="134"/>
      <c r="G292" s="135"/>
      <c r="H292" s="135"/>
      <c r="I292" s="135"/>
      <c r="J292" s="136"/>
      <c r="K292" s="134"/>
      <c r="L292" s="134"/>
      <c r="M292" s="134"/>
      <c r="N292" s="134"/>
      <c r="O292" s="134"/>
      <c r="P292" s="134"/>
      <c r="Q292" s="134"/>
      <c r="R292" s="134"/>
      <c r="S292" s="134"/>
    </row>
    <row r="293" spans="1:19" x14ac:dyDescent="0.25">
      <c r="A293" s="133"/>
      <c r="B293" s="134"/>
      <c r="C293" s="134"/>
      <c r="D293" s="134"/>
      <c r="E293" s="134"/>
      <c r="F293" s="134"/>
      <c r="G293" s="135"/>
      <c r="H293" s="135"/>
      <c r="I293" s="135"/>
      <c r="J293" s="136"/>
      <c r="K293" s="134"/>
      <c r="L293" s="134"/>
      <c r="M293" s="134"/>
      <c r="N293" s="134"/>
      <c r="O293" s="134"/>
      <c r="P293" s="134"/>
      <c r="Q293" s="134"/>
      <c r="R293" s="134"/>
      <c r="S293" s="134"/>
    </row>
    <row r="294" spans="1:19" x14ac:dyDescent="0.25">
      <c r="A294" s="133"/>
      <c r="B294" s="134"/>
      <c r="C294" s="134"/>
      <c r="D294" s="134"/>
      <c r="E294" s="134"/>
      <c r="F294" s="134"/>
      <c r="G294" s="135"/>
      <c r="H294" s="135"/>
      <c r="I294" s="135"/>
      <c r="J294" s="136"/>
      <c r="K294" s="134"/>
      <c r="L294" s="134"/>
      <c r="M294" s="134"/>
      <c r="N294" s="134"/>
      <c r="O294" s="134"/>
      <c r="P294" s="134"/>
      <c r="Q294" s="134"/>
      <c r="R294" s="134"/>
      <c r="S294" s="134"/>
    </row>
    <row r="295" spans="1:19" x14ac:dyDescent="0.25">
      <c r="A295" s="133"/>
      <c r="B295" s="134"/>
      <c r="C295" s="134"/>
      <c r="D295" s="134"/>
      <c r="E295" s="134"/>
      <c r="F295" s="134"/>
      <c r="G295" s="135"/>
      <c r="H295" s="135"/>
      <c r="I295" s="135"/>
      <c r="J295" s="136"/>
      <c r="K295" s="134"/>
      <c r="L295" s="134"/>
      <c r="M295" s="134"/>
      <c r="N295" s="134"/>
      <c r="O295" s="134"/>
      <c r="P295" s="134"/>
      <c r="Q295" s="134"/>
      <c r="R295" s="134"/>
      <c r="S295" s="134"/>
    </row>
    <row r="296" spans="1:19" x14ac:dyDescent="0.25">
      <c r="A296" s="133"/>
      <c r="B296" s="134"/>
      <c r="C296" s="134"/>
      <c r="D296" s="134"/>
      <c r="E296" s="134"/>
      <c r="F296" s="134"/>
      <c r="G296" s="135"/>
      <c r="H296" s="135"/>
      <c r="I296" s="135"/>
      <c r="J296" s="136"/>
      <c r="K296" s="134"/>
      <c r="L296" s="134"/>
      <c r="M296" s="134"/>
      <c r="N296" s="134"/>
      <c r="O296" s="134"/>
      <c r="P296" s="134"/>
      <c r="Q296" s="134"/>
      <c r="R296" s="134"/>
      <c r="S296" s="134"/>
    </row>
    <row r="297" spans="1:19" x14ac:dyDescent="0.25">
      <c r="A297" s="133"/>
      <c r="B297" s="134"/>
      <c r="C297" s="134"/>
      <c r="D297" s="134"/>
      <c r="E297" s="134"/>
      <c r="F297" s="134"/>
      <c r="G297" s="135"/>
      <c r="H297" s="135"/>
      <c r="I297" s="135"/>
      <c r="J297" s="136"/>
      <c r="K297" s="134"/>
      <c r="L297" s="134"/>
      <c r="M297" s="134"/>
      <c r="N297" s="134"/>
      <c r="O297" s="134"/>
      <c r="P297" s="134"/>
      <c r="Q297" s="134"/>
      <c r="R297" s="134"/>
      <c r="S297" s="134"/>
    </row>
    <row r="298" spans="1:19" x14ac:dyDescent="0.25">
      <c r="A298" s="133"/>
      <c r="B298" s="134"/>
      <c r="C298" s="134"/>
      <c r="D298" s="134"/>
      <c r="E298" s="134"/>
      <c r="F298" s="134"/>
      <c r="G298" s="135"/>
      <c r="H298" s="135"/>
      <c r="I298" s="135"/>
      <c r="J298" s="136"/>
      <c r="K298" s="134"/>
      <c r="L298" s="134"/>
      <c r="M298" s="134"/>
      <c r="N298" s="134"/>
      <c r="O298" s="134"/>
      <c r="P298" s="134"/>
      <c r="Q298" s="134"/>
      <c r="R298" s="134"/>
      <c r="S298" s="134"/>
    </row>
    <row r="299" spans="1:19" x14ac:dyDescent="0.25">
      <c r="A299" s="133"/>
      <c r="B299" s="134"/>
      <c r="C299" s="134"/>
      <c r="D299" s="134"/>
      <c r="E299" s="134"/>
      <c r="F299" s="134"/>
      <c r="G299" s="135"/>
      <c r="H299" s="135"/>
      <c r="I299" s="135"/>
      <c r="J299" s="136"/>
      <c r="K299" s="134"/>
      <c r="L299" s="134"/>
      <c r="M299" s="134"/>
      <c r="N299" s="134"/>
      <c r="O299" s="134"/>
      <c r="P299" s="134"/>
      <c r="Q299" s="134"/>
      <c r="R299" s="134"/>
      <c r="S299" s="134"/>
    </row>
    <row r="300" spans="1:19" x14ac:dyDescent="0.25">
      <c r="A300" s="133"/>
      <c r="B300" s="134"/>
      <c r="C300" s="134"/>
      <c r="D300" s="134"/>
      <c r="E300" s="134"/>
      <c r="F300" s="134"/>
      <c r="G300" s="135"/>
      <c r="H300" s="135"/>
      <c r="I300" s="135"/>
      <c r="J300" s="136"/>
      <c r="K300" s="134"/>
      <c r="L300" s="134"/>
      <c r="M300" s="134"/>
      <c r="N300" s="134"/>
      <c r="O300" s="134"/>
      <c r="P300" s="134"/>
      <c r="Q300" s="134"/>
      <c r="R300" s="134"/>
      <c r="S300" s="134"/>
    </row>
    <row r="301" spans="1:19" x14ac:dyDescent="0.25">
      <c r="A301" s="133"/>
      <c r="B301" s="134"/>
      <c r="C301" s="134"/>
      <c r="D301" s="134"/>
      <c r="E301" s="134"/>
      <c r="F301" s="134"/>
      <c r="G301" s="135"/>
      <c r="H301" s="135"/>
      <c r="I301" s="135"/>
      <c r="J301" s="136"/>
      <c r="K301" s="134"/>
      <c r="L301" s="134"/>
      <c r="M301" s="134"/>
      <c r="N301" s="134"/>
      <c r="O301" s="134"/>
      <c r="P301" s="134"/>
      <c r="Q301" s="134"/>
      <c r="R301" s="134"/>
      <c r="S301" s="134"/>
    </row>
    <row r="302" spans="1:19" x14ac:dyDescent="0.25">
      <c r="A302" s="133"/>
      <c r="B302" s="134"/>
      <c r="C302" s="134"/>
      <c r="D302" s="134"/>
      <c r="E302" s="134"/>
      <c r="F302" s="134"/>
      <c r="G302" s="135"/>
      <c r="H302" s="135"/>
      <c r="I302" s="135"/>
      <c r="J302" s="136"/>
      <c r="K302" s="134"/>
      <c r="L302" s="134"/>
      <c r="M302" s="134"/>
      <c r="N302" s="134"/>
      <c r="O302" s="134"/>
      <c r="P302" s="134"/>
      <c r="Q302" s="134"/>
      <c r="R302" s="134"/>
      <c r="S302" s="134"/>
    </row>
    <row r="303" spans="1:19" x14ac:dyDescent="0.25">
      <c r="A303" s="133"/>
      <c r="B303" s="134"/>
      <c r="C303" s="134"/>
      <c r="D303" s="134"/>
      <c r="E303" s="134"/>
      <c r="F303" s="134"/>
      <c r="G303" s="135"/>
      <c r="H303" s="135"/>
      <c r="I303" s="135"/>
      <c r="J303" s="136"/>
      <c r="K303" s="134"/>
      <c r="L303" s="134"/>
      <c r="M303" s="134"/>
      <c r="N303" s="134"/>
      <c r="O303" s="134"/>
      <c r="P303" s="134"/>
      <c r="Q303" s="134"/>
      <c r="R303" s="134"/>
      <c r="S303" s="134"/>
    </row>
    <row r="304" spans="1:19" x14ac:dyDescent="0.25">
      <c r="A304" s="133"/>
      <c r="B304" s="134"/>
      <c r="C304" s="134"/>
      <c r="D304" s="134"/>
      <c r="E304" s="134"/>
      <c r="F304" s="134"/>
      <c r="G304" s="135"/>
      <c r="H304" s="135"/>
      <c r="I304" s="135"/>
      <c r="J304" s="136"/>
      <c r="K304" s="134"/>
      <c r="L304" s="134"/>
      <c r="M304" s="134"/>
      <c r="N304" s="134"/>
      <c r="O304" s="134"/>
      <c r="P304" s="134"/>
      <c r="Q304" s="134"/>
      <c r="R304" s="134"/>
      <c r="S304" s="134"/>
    </row>
    <row r="305" spans="1:19" x14ac:dyDescent="0.25">
      <c r="A305" s="133"/>
      <c r="B305" s="134"/>
      <c r="C305" s="134"/>
      <c r="D305" s="134"/>
      <c r="E305" s="134"/>
      <c r="F305" s="134"/>
      <c r="G305" s="135"/>
      <c r="H305" s="135"/>
      <c r="I305" s="135"/>
      <c r="J305" s="136"/>
      <c r="K305" s="134"/>
      <c r="L305" s="134"/>
      <c r="M305" s="134"/>
      <c r="N305" s="134"/>
      <c r="O305" s="134"/>
      <c r="P305" s="134"/>
      <c r="Q305" s="134"/>
      <c r="R305" s="134"/>
      <c r="S305" s="134"/>
    </row>
    <row r="306" spans="1:19" x14ac:dyDescent="0.25">
      <c r="A306" s="133"/>
      <c r="B306" s="134"/>
      <c r="C306" s="134"/>
      <c r="D306" s="134"/>
      <c r="E306" s="134"/>
      <c r="F306" s="134"/>
      <c r="G306" s="135"/>
      <c r="H306" s="135"/>
      <c r="I306" s="135"/>
      <c r="J306" s="136"/>
      <c r="K306" s="134"/>
      <c r="L306" s="134"/>
      <c r="M306" s="134"/>
      <c r="N306" s="134"/>
      <c r="O306" s="134"/>
      <c r="P306" s="134"/>
      <c r="Q306" s="134"/>
      <c r="R306" s="134"/>
      <c r="S306" s="134"/>
    </row>
    <row r="307" spans="1:19" x14ac:dyDescent="0.25">
      <c r="A307" s="133"/>
      <c r="B307" s="134"/>
      <c r="C307" s="134"/>
      <c r="D307" s="134"/>
      <c r="E307" s="134"/>
      <c r="F307" s="134"/>
      <c r="G307" s="135"/>
      <c r="H307" s="135"/>
      <c r="I307" s="135"/>
      <c r="J307" s="136"/>
      <c r="K307" s="134"/>
      <c r="L307" s="134"/>
      <c r="M307" s="134"/>
      <c r="N307" s="134"/>
      <c r="O307" s="134"/>
      <c r="P307" s="134"/>
      <c r="Q307" s="134"/>
      <c r="R307" s="134"/>
      <c r="S307" s="134"/>
    </row>
    <row r="308" spans="1:19" x14ac:dyDescent="0.25">
      <c r="A308" s="133"/>
      <c r="B308" s="134"/>
      <c r="C308" s="134"/>
      <c r="D308" s="134"/>
      <c r="E308" s="134"/>
      <c r="F308" s="134"/>
      <c r="G308" s="135"/>
      <c r="H308" s="135"/>
      <c r="I308" s="135"/>
      <c r="J308" s="136"/>
      <c r="K308" s="134"/>
      <c r="L308" s="134"/>
      <c r="M308" s="134"/>
      <c r="N308" s="134"/>
      <c r="O308" s="134"/>
      <c r="P308" s="134"/>
      <c r="Q308" s="134"/>
      <c r="R308" s="134"/>
      <c r="S308" s="134"/>
    </row>
    <row r="309" spans="1:19" x14ac:dyDescent="0.25">
      <c r="A309" s="133"/>
      <c r="B309" s="134"/>
      <c r="C309" s="134"/>
      <c r="D309" s="134"/>
      <c r="E309" s="134"/>
      <c r="F309" s="134"/>
      <c r="G309" s="135"/>
      <c r="H309" s="135"/>
      <c r="I309" s="135"/>
      <c r="J309" s="136"/>
      <c r="K309" s="134"/>
      <c r="L309" s="134"/>
      <c r="M309" s="134"/>
      <c r="N309" s="134"/>
      <c r="O309" s="134"/>
      <c r="P309" s="134"/>
      <c r="Q309" s="134"/>
      <c r="R309" s="134"/>
      <c r="S309" s="134"/>
    </row>
    <row r="310" spans="1:19" x14ac:dyDescent="0.25">
      <c r="A310" s="133"/>
      <c r="B310" s="134"/>
      <c r="C310" s="134"/>
      <c r="D310" s="134"/>
      <c r="E310" s="134"/>
      <c r="F310" s="134"/>
      <c r="G310" s="135"/>
      <c r="H310" s="135"/>
      <c r="I310" s="135"/>
      <c r="J310" s="136"/>
      <c r="K310" s="134"/>
      <c r="L310" s="134"/>
      <c r="M310" s="134"/>
      <c r="N310" s="134"/>
      <c r="O310" s="134"/>
      <c r="P310" s="134"/>
      <c r="Q310" s="134"/>
      <c r="R310" s="134"/>
      <c r="S310" s="134"/>
    </row>
    <row r="311" spans="1:19" x14ac:dyDescent="0.25">
      <c r="A311" s="133"/>
      <c r="B311" s="134"/>
      <c r="C311" s="134"/>
      <c r="D311" s="134"/>
      <c r="E311" s="134"/>
      <c r="F311" s="134"/>
      <c r="G311" s="135"/>
      <c r="H311" s="135"/>
      <c r="I311" s="135"/>
      <c r="J311" s="136"/>
      <c r="K311" s="134"/>
      <c r="L311" s="134"/>
      <c r="M311" s="134"/>
      <c r="N311" s="134"/>
      <c r="O311" s="134"/>
      <c r="P311" s="134"/>
      <c r="Q311" s="134"/>
      <c r="R311" s="134"/>
      <c r="S311" s="134"/>
    </row>
    <row r="312" spans="1:19" x14ac:dyDescent="0.25">
      <c r="A312" s="133"/>
      <c r="B312" s="134"/>
      <c r="C312" s="134"/>
      <c r="D312" s="134"/>
      <c r="E312" s="134"/>
      <c r="F312" s="134"/>
      <c r="G312" s="135"/>
      <c r="H312" s="135"/>
      <c r="I312" s="135"/>
      <c r="J312" s="136"/>
      <c r="K312" s="134"/>
      <c r="L312" s="134"/>
      <c r="M312" s="134"/>
      <c r="N312" s="134"/>
      <c r="O312" s="134"/>
      <c r="P312" s="134"/>
      <c r="Q312" s="134"/>
      <c r="R312" s="134"/>
      <c r="S312" s="134"/>
    </row>
    <row r="313" spans="1:19" x14ac:dyDescent="0.25">
      <c r="A313" s="133"/>
      <c r="B313" s="134"/>
      <c r="C313" s="134"/>
      <c r="D313" s="134"/>
      <c r="E313" s="134"/>
      <c r="F313" s="134"/>
      <c r="G313" s="135"/>
      <c r="H313" s="135"/>
      <c r="I313" s="135"/>
      <c r="J313" s="136"/>
      <c r="K313" s="134"/>
      <c r="L313" s="134"/>
      <c r="M313" s="134"/>
      <c r="N313" s="134"/>
      <c r="O313" s="134"/>
      <c r="P313" s="134"/>
      <c r="Q313" s="134"/>
      <c r="R313" s="134"/>
      <c r="S313" s="134"/>
    </row>
    <row r="314" spans="1:19" x14ac:dyDescent="0.25">
      <c r="A314" s="133"/>
      <c r="B314" s="134"/>
      <c r="C314" s="134"/>
      <c r="D314" s="134"/>
      <c r="E314" s="134"/>
      <c r="F314" s="134"/>
      <c r="G314" s="135"/>
      <c r="H314" s="135"/>
      <c r="I314" s="135"/>
      <c r="J314" s="136"/>
      <c r="K314" s="134"/>
      <c r="L314" s="134"/>
      <c r="M314" s="134"/>
      <c r="N314" s="134"/>
      <c r="O314" s="134"/>
      <c r="P314" s="134"/>
      <c r="Q314" s="134"/>
      <c r="R314" s="134"/>
      <c r="S314" s="134"/>
    </row>
    <row r="315" spans="1:19" x14ac:dyDescent="0.25">
      <c r="A315" s="133"/>
      <c r="B315" s="134"/>
      <c r="C315" s="134"/>
      <c r="D315" s="134"/>
      <c r="E315" s="134"/>
      <c r="F315" s="134"/>
      <c r="G315" s="135"/>
      <c r="H315" s="135"/>
      <c r="I315" s="135"/>
      <c r="J315" s="136"/>
      <c r="K315" s="134"/>
      <c r="L315" s="134"/>
      <c r="M315" s="134"/>
      <c r="N315" s="134"/>
      <c r="O315" s="134"/>
      <c r="P315" s="134"/>
      <c r="Q315" s="134"/>
      <c r="R315" s="134"/>
      <c r="S315" s="134"/>
    </row>
    <row r="316" spans="1:19" x14ac:dyDescent="0.25">
      <c r="A316" s="133"/>
      <c r="B316" s="134"/>
      <c r="C316" s="134"/>
      <c r="D316" s="134"/>
      <c r="E316" s="134"/>
      <c r="F316" s="134"/>
      <c r="G316" s="135"/>
      <c r="H316" s="135"/>
      <c r="I316" s="135"/>
      <c r="J316" s="136"/>
      <c r="K316" s="134"/>
      <c r="L316" s="134"/>
      <c r="M316" s="134"/>
      <c r="N316" s="134"/>
      <c r="O316" s="134"/>
      <c r="P316" s="134"/>
      <c r="Q316" s="134"/>
      <c r="R316" s="134"/>
      <c r="S316" s="134"/>
    </row>
    <row r="317" spans="1:19" x14ac:dyDescent="0.25">
      <c r="A317" s="133"/>
      <c r="B317" s="134"/>
      <c r="C317" s="134"/>
      <c r="D317" s="134"/>
      <c r="E317" s="134"/>
      <c r="F317" s="134"/>
      <c r="G317" s="135"/>
      <c r="H317" s="135"/>
      <c r="I317" s="135"/>
      <c r="J317" s="136"/>
      <c r="K317" s="134"/>
      <c r="L317" s="134"/>
      <c r="M317" s="134"/>
      <c r="N317" s="134"/>
      <c r="O317" s="134"/>
      <c r="P317" s="134"/>
      <c r="Q317" s="134"/>
      <c r="R317" s="134"/>
      <c r="S317" s="134"/>
    </row>
    <row r="318" spans="1:19" x14ac:dyDescent="0.25">
      <c r="A318" s="133"/>
      <c r="B318" s="134"/>
      <c r="C318" s="134"/>
      <c r="D318" s="134"/>
      <c r="E318" s="134"/>
      <c r="F318" s="134"/>
      <c r="G318" s="135"/>
      <c r="H318" s="135"/>
      <c r="I318" s="135"/>
      <c r="J318" s="136"/>
      <c r="K318" s="134"/>
      <c r="L318" s="134"/>
      <c r="M318" s="134"/>
      <c r="N318" s="134"/>
      <c r="O318" s="134"/>
      <c r="P318" s="134"/>
      <c r="Q318" s="134"/>
      <c r="R318" s="134"/>
      <c r="S318" s="134"/>
    </row>
    <row r="319" spans="1:19" x14ac:dyDescent="0.25">
      <c r="A319" s="133"/>
      <c r="B319" s="134"/>
      <c r="C319" s="134"/>
      <c r="D319" s="134"/>
      <c r="E319" s="134"/>
      <c r="F319" s="134"/>
      <c r="G319" s="135"/>
      <c r="H319" s="135"/>
      <c r="I319" s="135"/>
      <c r="J319" s="136"/>
      <c r="K319" s="134"/>
      <c r="L319" s="134"/>
      <c r="M319" s="134"/>
      <c r="N319" s="134"/>
      <c r="O319" s="134"/>
      <c r="P319" s="134"/>
      <c r="Q319" s="134"/>
      <c r="R319" s="134"/>
      <c r="S319" s="134"/>
    </row>
    <row r="320" spans="1:19" x14ac:dyDescent="0.25">
      <c r="A320" s="133"/>
      <c r="B320" s="134"/>
      <c r="C320" s="134"/>
      <c r="D320" s="134"/>
      <c r="E320" s="134"/>
      <c r="F320" s="134"/>
      <c r="G320" s="135"/>
      <c r="H320" s="135"/>
      <c r="I320" s="135"/>
      <c r="J320" s="136"/>
      <c r="K320" s="134"/>
      <c r="L320" s="134"/>
      <c r="M320" s="134"/>
      <c r="N320" s="134"/>
      <c r="O320" s="134"/>
      <c r="P320" s="134"/>
      <c r="Q320" s="134"/>
      <c r="R320" s="134"/>
      <c r="S320" s="134"/>
    </row>
    <row r="321" spans="1:19" x14ac:dyDescent="0.25">
      <c r="A321" s="133"/>
      <c r="B321" s="134"/>
      <c r="C321" s="134"/>
      <c r="D321" s="134"/>
      <c r="E321" s="134"/>
      <c r="F321" s="134"/>
      <c r="G321" s="135"/>
      <c r="H321" s="135"/>
      <c r="I321" s="135"/>
      <c r="J321" s="136"/>
      <c r="K321" s="134"/>
      <c r="L321" s="134"/>
      <c r="M321" s="134"/>
      <c r="N321" s="134"/>
      <c r="O321" s="134"/>
      <c r="P321" s="134"/>
      <c r="Q321" s="134"/>
      <c r="R321" s="134"/>
      <c r="S321" s="134"/>
    </row>
    <row r="322" spans="1:19" x14ac:dyDescent="0.25">
      <c r="A322" s="133"/>
      <c r="B322" s="134"/>
      <c r="C322" s="134"/>
      <c r="D322" s="134"/>
      <c r="E322" s="134"/>
      <c r="F322" s="134"/>
      <c r="G322" s="135"/>
      <c r="H322" s="135"/>
      <c r="I322" s="135"/>
      <c r="J322" s="136"/>
      <c r="K322" s="134"/>
      <c r="L322" s="134"/>
      <c r="M322" s="134"/>
      <c r="N322" s="134"/>
      <c r="O322" s="134"/>
      <c r="P322" s="134"/>
      <c r="Q322" s="134"/>
      <c r="R322" s="134"/>
      <c r="S322" s="134"/>
    </row>
    <row r="323" spans="1:19" x14ac:dyDescent="0.25">
      <c r="A323" s="133"/>
      <c r="B323" s="134"/>
      <c r="C323" s="134"/>
      <c r="D323" s="134"/>
      <c r="E323" s="134"/>
      <c r="F323" s="134"/>
      <c r="G323" s="135"/>
      <c r="H323" s="135"/>
      <c r="I323" s="135"/>
      <c r="J323" s="136"/>
      <c r="K323" s="134"/>
      <c r="L323" s="134"/>
      <c r="M323" s="134"/>
      <c r="N323" s="134"/>
      <c r="O323" s="134"/>
      <c r="P323" s="134"/>
      <c r="Q323" s="134"/>
      <c r="R323" s="134"/>
      <c r="S323" s="134"/>
    </row>
    <row r="324" spans="1:19" x14ac:dyDescent="0.25">
      <c r="A324" s="133"/>
      <c r="B324" s="134"/>
      <c r="C324" s="134"/>
      <c r="D324" s="134"/>
      <c r="E324" s="134"/>
      <c r="F324" s="134"/>
      <c r="G324" s="135"/>
      <c r="H324" s="135"/>
      <c r="I324" s="135"/>
      <c r="J324" s="136"/>
      <c r="K324" s="134"/>
      <c r="L324" s="134"/>
      <c r="M324" s="134"/>
      <c r="N324" s="134"/>
      <c r="O324" s="134"/>
      <c r="P324" s="134"/>
      <c r="Q324" s="134"/>
      <c r="R324" s="134"/>
      <c r="S324" s="134"/>
    </row>
    <row r="325" spans="1:19" x14ac:dyDescent="0.25">
      <c r="A325" s="133"/>
      <c r="B325" s="134"/>
      <c r="C325" s="134"/>
      <c r="D325" s="134"/>
      <c r="E325" s="134"/>
      <c r="F325" s="134"/>
      <c r="G325" s="135"/>
      <c r="H325" s="135"/>
      <c r="I325" s="135"/>
      <c r="J325" s="136"/>
      <c r="K325" s="134"/>
      <c r="L325" s="134"/>
      <c r="M325" s="134"/>
      <c r="N325" s="134"/>
      <c r="O325" s="134"/>
      <c r="P325" s="134"/>
      <c r="Q325" s="134"/>
      <c r="R325" s="134"/>
      <c r="S325" s="134"/>
    </row>
    <row r="326" spans="1:19" x14ac:dyDescent="0.25">
      <c r="A326" s="133"/>
      <c r="B326" s="134"/>
      <c r="C326" s="134"/>
      <c r="D326" s="134"/>
      <c r="E326" s="134"/>
      <c r="F326" s="134"/>
      <c r="G326" s="135"/>
      <c r="H326" s="135"/>
      <c r="I326" s="135"/>
      <c r="J326" s="136"/>
      <c r="K326" s="134"/>
      <c r="L326" s="134"/>
      <c r="M326" s="134"/>
      <c r="N326" s="134"/>
      <c r="O326" s="134"/>
      <c r="P326" s="134"/>
      <c r="Q326" s="134"/>
      <c r="R326" s="134"/>
      <c r="S326" s="134"/>
    </row>
    <row r="327" spans="1:19" x14ac:dyDescent="0.25">
      <c r="A327" s="133"/>
      <c r="B327" s="134"/>
      <c r="C327" s="134"/>
      <c r="D327" s="134"/>
      <c r="E327" s="134"/>
      <c r="F327" s="134"/>
      <c r="G327" s="135"/>
      <c r="H327" s="135"/>
      <c r="I327" s="135"/>
      <c r="J327" s="136"/>
      <c r="K327" s="134"/>
      <c r="L327" s="134"/>
      <c r="M327" s="134"/>
      <c r="N327" s="134"/>
      <c r="O327" s="134"/>
      <c r="P327" s="134"/>
      <c r="Q327" s="134"/>
      <c r="R327" s="134"/>
      <c r="S327" s="134"/>
    </row>
    <row r="328" spans="1:19" x14ac:dyDescent="0.25">
      <c r="A328" s="133"/>
      <c r="B328" s="134"/>
      <c r="C328" s="134"/>
      <c r="D328" s="134"/>
      <c r="E328" s="134"/>
      <c r="F328" s="134"/>
      <c r="G328" s="135"/>
      <c r="H328" s="135"/>
      <c r="I328" s="135"/>
      <c r="J328" s="136"/>
      <c r="K328" s="134"/>
      <c r="L328" s="134"/>
      <c r="M328" s="134"/>
      <c r="N328" s="134"/>
      <c r="O328" s="134"/>
      <c r="P328" s="134"/>
      <c r="Q328" s="134"/>
      <c r="R328" s="134"/>
      <c r="S328" s="134"/>
    </row>
    <row r="329" spans="1:19" x14ac:dyDescent="0.25">
      <c r="A329" s="133"/>
      <c r="B329" s="134"/>
      <c r="C329" s="134"/>
      <c r="D329" s="134"/>
      <c r="E329" s="134"/>
      <c r="F329" s="134"/>
      <c r="G329" s="135"/>
      <c r="H329" s="135"/>
      <c r="I329" s="135"/>
      <c r="J329" s="136"/>
      <c r="K329" s="134"/>
      <c r="L329" s="134"/>
      <c r="M329" s="134"/>
      <c r="N329" s="134"/>
      <c r="O329" s="134"/>
      <c r="P329" s="134"/>
      <c r="Q329" s="134"/>
      <c r="R329" s="134"/>
      <c r="S329" s="134"/>
    </row>
    <row r="330" spans="1:19" x14ac:dyDescent="0.25">
      <c r="A330" s="133"/>
      <c r="B330" s="134"/>
      <c r="C330" s="134"/>
      <c r="D330" s="134"/>
      <c r="E330" s="134"/>
      <c r="F330" s="134"/>
      <c r="G330" s="135"/>
      <c r="H330" s="135"/>
      <c r="I330" s="135"/>
      <c r="J330" s="136"/>
      <c r="K330" s="134"/>
      <c r="L330" s="134"/>
      <c r="M330" s="134"/>
      <c r="N330" s="134"/>
      <c r="O330" s="134"/>
      <c r="P330" s="134"/>
      <c r="Q330" s="134"/>
      <c r="R330" s="134"/>
      <c r="S330" s="134"/>
    </row>
    <row r="331" spans="1:19" x14ac:dyDescent="0.25">
      <c r="A331" s="133"/>
      <c r="B331" s="134"/>
      <c r="C331" s="134"/>
      <c r="D331" s="134"/>
      <c r="E331" s="134"/>
      <c r="F331" s="134"/>
      <c r="G331" s="135"/>
      <c r="H331" s="135"/>
      <c r="I331" s="135"/>
      <c r="J331" s="136"/>
      <c r="K331" s="134"/>
      <c r="L331" s="134"/>
      <c r="M331" s="134"/>
      <c r="N331" s="134"/>
      <c r="O331" s="134"/>
      <c r="P331" s="134"/>
      <c r="Q331" s="134"/>
      <c r="R331" s="134"/>
      <c r="S331" s="134"/>
    </row>
    <row r="332" spans="1:19" x14ac:dyDescent="0.25">
      <c r="A332" s="133"/>
      <c r="B332" s="134"/>
      <c r="C332" s="134"/>
      <c r="D332" s="134"/>
      <c r="E332" s="134"/>
      <c r="F332" s="134"/>
      <c r="G332" s="135"/>
      <c r="H332" s="135"/>
      <c r="I332" s="135"/>
      <c r="J332" s="136"/>
      <c r="K332" s="134"/>
      <c r="L332" s="134"/>
      <c r="M332" s="134"/>
      <c r="N332" s="134"/>
      <c r="O332" s="134"/>
      <c r="P332" s="134"/>
      <c r="Q332" s="134"/>
      <c r="R332" s="134"/>
      <c r="S332" s="134"/>
    </row>
    <row r="333" spans="1:19" x14ac:dyDescent="0.25">
      <c r="A333" s="133"/>
      <c r="B333" s="134"/>
      <c r="C333" s="134"/>
      <c r="D333" s="134"/>
      <c r="E333" s="134"/>
      <c r="F333" s="134"/>
      <c r="G333" s="135"/>
      <c r="H333" s="135"/>
      <c r="I333" s="135"/>
      <c r="J333" s="136"/>
      <c r="K333" s="134"/>
      <c r="L333" s="134"/>
      <c r="M333" s="134"/>
      <c r="N333" s="134"/>
      <c r="O333" s="134"/>
      <c r="P333" s="134"/>
      <c r="Q333" s="134"/>
      <c r="R333" s="134"/>
      <c r="S333" s="134"/>
    </row>
    <row r="334" spans="1:19" x14ac:dyDescent="0.25">
      <c r="A334" s="133"/>
      <c r="B334" s="134"/>
      <c r="C334" s="134"/>
      <c r="D334" s="134"/>
      <c r="E334" s="134"/>
      <c r="F334" s="134"/>
      <c r="G334" s="135"/>
      <c r="H334" s="135"/>
      <c r="I334" s="135"/>
      <c r="J334" s="136"/>
      <c r="K334" s="134"/>
      <c r="L334" s="134"/>
      <c r="M334" s="134"/>
      <c r="N334" s="134"/>
      <c r="O334" s="134"/>
      <c r="P334" s="134"/>
      <c r="Q334" s="134"/>
      <c r="R334" s="134"/>
      <c r="S334" s="134"/>
    </row>
    <row r="335" spans="1:19" x14ac:dyDescent="0.25">
      <c r="A335" s="133"/>
      <c r="B335" s="134"/>
      <c r="C335" s="134"/>
      <c r="D335" s="134"/>
      <c r="E335" s="134"/>
      <c r="F335" s="134"/>
      <c r="G335" s="135"/>
      <c r="H335" s="135"/>
      <c r="I335" s="135"/>
      <c r="J335" s="136"/>
      <c r="K335" s="134"/>
      <c r="L335" s="134"/>
      <c r="M335" s="134"/>
      <c r="N335" s="134"/>
      <c r="O335" s="134"/>
      <c r="P335" s="134"/>
      <c r="Q335" s="134"/>
      <c r="R335" s="134"/>
      <c r="S335" s="134"/>
    </row>
    <row r="336" spans="1:19" x14ac:dyDescent="0.25">
      <c r="A336" s="133"/>
      <c r="B336" s="134"/>
      <c r="C336" s="134"/>
      <c r="D336" s="134"/>
      <c r="E336" s="134"/>
      <c r="F336" s="134"/>
      <c r="G336" s="135"/>
      <c r="H336" s="135"/>
      <c r="I336" s="135"/>
      <c r="J336" s="136"/>
      <c r="K336" s="134"/>
      <c r="L336" s="134"/>
      <c r="M336" s="134"/>
      <c r="N336" s="134"/>
      <c r="O336" s="134"/>
      <c r="P336" s="134"/>
      <c r="Q336" s="134"/>
      <c r="R336" s="134"/>
      <c r="S336" s="134"/>
    </row>
    <row r="337" spans="1:19" x14ac:dyDescent="0.25">
      <c r="A337" s="133"/>
      <c r="B337" s="134"/>
      <c r="C337" s="134"/>
      <c r="D337" s="134"/>
      <c r="E337" s="134"/>
      <c r="F337" s="134"/>
      <c r="G337" s="135"/>
      <c r="H337" s="135"/>
      <c r="I337" s="135"/>
      <c r="J337" s="136"/>
      <c r="K337" s="134"/>
      <c r="L337" s="134"/>
      <c r="M337" s="134"/>
      <c r="N337" s="134"/>
      <c r="O337" s="134"/>
      <c r="P337" s="134"/>
      <c r="Q337" s="134"/>
      <c r="R337" s="134"/>
      <c r="S337" s="134"/>
    </row>
    <row r="338" spans="1:19" x14ac:dyDescent="0.25">
      <c r="A338" s="133"/>
      <c r="B338" s="134"/>
      <c r="C338" s="134"/>
      <c r="D338" s="134"/>
      <c r="E338" s="134"/>
      <c r="F338" s="134"/>
      <c r="G338" s="135"/>
      <c r="H338" s="135"/>
      <c r="I338" s="135"/>
      <c r="J338" s="136"/>
      <c r="K338" s="134"/>
      <c r="L338" s="134"/>
      <c r="M338" s="134"/>
      <c r="N338" s="134"/>
      <c r="O338" s="134"/>
      <c r="P338" s="134"/>
      <c r="Q338" s="134"/>
      <c r="R338" s="134"/>
      <c r="S338" s="134"/>
    </row>
    <row r="339" spans="1:19" x14ac:dyDescent="0.25">
      <c r="A339" s="133"/>
      <c r="B339" s="134"/>
      <c r="C339" s="134"/>
      <c r="D339" s="134"/>
      <c r="E339" s="134"/>
      <c r="F339" s="134"/>
      <c r="G339" s="135"/>
      <c r="H339" s="135"/>
      <c r="I339" s="135"/>
      <c r="J339" s="136"/>
      <c r="K339" s="134"/>
      <c r="L339" s="134"/>
      <c r="M339" s="134"/>
      <c r="N339" s="134"/>
      <c r="O339" s="134"/>
      <c r="P339" s="134"/>
      <c r="Q339" s="134"/>
      <c r="R339" s="134"/>
      <c r="S339" s="134"/>
    </row>
    <row r="340" spans="1:19" x14ac:dyDescent="0.25">
      <c r="A340" s="133"/>
      <c r="B340" s="134"/>
      <c r="C340" s="134"/>
      <c r="D340" s="134"/>
      <c r="E340" s="134"/>
      <c r="F340" s="134"/>
      <c r="G340" s="135"/>
      <c r="H340" s="135"/>
      <c r="I340" s="135"/>
      <c r="J340" s="136"/>
      <c r="K340" s="134"/>
      <c r="L340" s="134"/>
      <c r="M340" s="134"/>
      <c r="N340" s="134"/>
      <c r="O340" s="134"/>
      <c r="P340" s="134"/>
      <c r="Q340" s="134"/>
      <c r="R340" s="134"/>
      <c r="S340" s="134"/>
    </row>
    <row r="341" spans="1:19" x14ac:dyDescent="0.25">
      <c r="A341" s="133"/>
      <c r="B341" s="134"/>
      <c r="C341" s="134"/>
      <c r="D341" s="134"/>
      <c r="E341" s="134"/>
      <c r="F341" s="134"/>
      <c r="G341" s="135"/>
      <c r="H341" s="135"/>
      <c r="I341" s="135"/>
      <c r="J341" s="136"/>
      <c r="K341" s="134"/>
      <c r="L341" s="134"/>
      <c r="M341" s="134"/>
      <c r="N341" s="134"/>
      <c r="O341" s="134"/>
      <c r="P341" s="134"/>
      <c r="Q341" s="134"/>
      <c r="R341" s="134"/>
      <c r="S341" s="134"/>
    </row>
    <row r="342" spans="1:19" x14ac:dyDescent="0.25">
      <c r="A342" s="133"/>
      <c r="B342" s="134"/>
      <c r="C342" s="134"/>
      <c r="D342" s="134"/>
      <c r="E342" s="134"/>
      <c r="F342" s="134"/>
      <c r="G342" s="135"/>
      <c r="H342" s="135"/>
      <c r="I342" s="135"/>
      <c r="J342" s="136"/>
      <c r="K342" s="134"/>
      <c r="L342" s="134"/>
      <c r="M342" s="134"/>
      <c r="N342" s="134"/>
      <c r="O342" s="134"/>
      <c r="P342" s="134"/>
      <c r="Q342" s="134"/>
      <c r="R342" s="134"/>
      <c r="S342" s="134"/>
    </row>
    <row r="343" spans="1:19" x14ac:dyDescent="0.25">
      <c r="A343" s="133"/>
      <c r="B343" s="134"/>
      <c r="C343" s="134"/>
      <c r="D343" s="134"/>
      <c r="E343" s="134"/>
      <c r="F343" s="134"/>
      <c r="G343" s="135"/>
      <c r="H343" s="135"/>
      <c r="I343" s="135"/>
      <c r="J343" s="136"/>
      <c r="K343" s="134"/>
      <c r="L343" s="134"/>
      <c r="M343" s="134"/>
      <c r="N343" s="134"/>
      <c r="O343" s="134"/>
      <c r="P343" s="134"/>
      <c r="Q343" s="134"/>
      <c r="R343" s="134"/>
      <c r="S343" s="134"/>
    </row>
    <row r="344" spans="1:19" x14ac:dyDescent="0.25">
      <c r="A344" s="133"/>
      <c r="B344" s="134"/>
      <c r="C344" s="134"/>
      <c r="D344" s="134"/>
      <c r="E344" s="134"/>
      <c r="F344" s="134"/>
      <c r="G344" s="135"/>
      <c r="H344" s="135"/>
      <c r="I344" s="135"/>
      <c r="J344" s="136"/>
      <c r="K344" s="134"/>
      <c r="L344" s="134"/>
      <c r="M344" s="134"/>
      <c r="N344" s="134"/>
      <c r="O344" s="134"/>
      <c r="P344" s="134"/>
      <c r="Q344" s="134"/>
      <c r="R344" s="134"/>
      <c r="S344" s="134"/>
    </row>
    <row r="345" spans="1:19" x14ac:dyDescent="0.25">
      <c r="A345" s="133"/>
      <c r="B345" s="134"/>
      <c r="C345" s="134"/>
      <c r="D345" s="134"/>
      <c r="E345" s="134"/>
      <c r="F345" s="134"/>
      <c r="G345" s="135"/>
      <c r="H345" s="135"/>
      <c r="I345" s="135"/>
      <c r="J345" s="136"/>
      <c r="K345" s="134"/>
      <c r="L345" s="134"/>
      <c r="M345" s="134"/>
      <c r="N345" s="134"/>
      <c r="O345" s="134"/>
      <c r="P345" s="134"/>
      <c r="Q345" s="134"/>
      <c r="R345" s="134"/>
      <c r="S345" s="134"/>
    </row>
    <row r="346" spans="1:19" x14ac:dyDescent="0.25">
      <c r="A346" s="133"/>
      <c r="B346" s="134"/>
      <c r="C346" s="134"/>
      <c r="D346" s="134"/>
      <c r="E346" s="134"/>
      <c r="F346" s="134"/>
      <c r="G346" s="135"/>
      <c r="H346" s="135"/>
      <c r="I346" s="135"/>
      <c r="J346" s="136"/>
      <c r="K346" s="134"/>
      <c r="L346" s="134"/>
      <c r="M346" s="134"/>
      <c r="N346" s="134"/>
      <c r="O346" s="134"/>
      <c r="P346" s="134"/>
      <c r="Q346" s="134"/>
      <c r="R346" s="134"/>
      <c r="S346" s="134"/>
    </row>
    <row r="347" spans="1:19" x14ac:dyDescent="0.25">
      <c r="A347" s="133"/>
      <c r="B347" s="134"/>
      <c r="C347" s="134"/>
      <c r="D347" s="134"/>
      <c r="E347" s="134"/>
      <c r="F347" s="134"/>
      <c r="G347" s="135"/>
      <c r="H347" s="135"/>
      <c r="I347" s="135"/>
      <c r="J347" s="136"/>
      <c r="K347" s="134"/>
      <c r="L347" s="134"/>
      <c r="M347" s="134"/>
      <c r="N347" s="134"/>
      <c r="O347" s="134"/>
      <c r="P347" s="134"/>
      <c r="Q347" s="134"/>
      <c r="R347" s="134"/>
      <c r="S347" s="134"/>
    </row>
    <row r="348" spans="1:19" x14ac:dyDescent="0.25">
      <c r="A348" s="133"/>
      <c r="B348" s="134"/>
      <c r="C348" s="134"/>
      <c r="D348" s="134"/>
      <c r="E348" s="134"/>
      <c r="F348" s="134"/>
      <c r="G348" s="135"/>
      <c r="H348" s="135"/>
      <c r="I348" s="135"/>
      <c r="J348" s="136"/>
      <c r="K348" s="134"/>
      <c r="L348" s="134"/>
      <c r="M348" s="134"/>
      <c r="N348" s="134"/>
      <c r="O348" s="134"/>
      <c r="P348" s="134"/>
      <c r="Q348" s="134"/>
      <c r="R348" s="134"/>
      <c r="S348" s="134"/>
    </row>
    <row r="349" spans="1:19" x14ac:dyDescent="0.25">
      <c r="A349" s="133"/>
      <c r="B349" s="134"/>
      <c r="C349" s="134"/>
      <c r="D349" s="134"/>
      <c r="E349" s="134"/>
      <c r="F349" s="134"/>
      <c r="G349" s="135"/>
      <c r="H349" s="135"/>
      <c r="I349" s="135"/>
      <c r="J349" s="136"/>
      <c r="K349" s="134"/>
      <c r="L349" s="134"/>
      <c r="M349" s="134"/>
      <c r="N349" s="134"/>
      <c r="O349" s="134"/>
      <c r="P349" s="134"/>
      <c r="Q349" s="134"/>
      <c r="R349" s="134"/>
      <c r="S349" s="134"/>
    </row>
    <row r="350" spans="1:19" x14ac:dyDescent="0.25">
      <c r="A350" s="133"/>
      <c r="B350" s="134"/>
      <c r="C350" s="134"/>
      <c r="D350" s="134"/>
      <c r="E350" s="134"/>
      <c r="F350" s="134"/>
      <c r="G350" s="135"/>
      <c r="H350" s="135"/>
      <c r="I350" s="135"/>
      <c r="J350" s="136"/>
      <c r="K350" s="134"/>
      <c r="L350" s="134"/>
      <c r="M350" s="134"/>
      <c r="N350" s="134"/>
      <c r="O350" s="134"/>
      <c r="P350" s="134"/>
      <c r="Q350" s="134"/>
      <c r="R350" s="134"/>
      <c r="S350" s="134"/>
    </row>
    <row r="351" spans="1:19" x14ac:dyDescent="0.25">
      <c r="A351" s="133"/>
      <c r="B351" s="134"/>
      <c r="C351" s="134"/>
      <c r="D351" s="134"/>
      <c r="E351" s="134"/>
      <c r="F351" s="134"/>
      <c r="G351" s="135"/>
      <c r="H351" s="135"/>
      <c r="I351" s="135"/>
      <c r="J351" s="136"/>
      <c r="K351" s="134"/>
      <c r="L351" s="134"/>
      <c r="M351" s="134"/>
      <c r="N351" s="134"/>
      <c r="O351" s="134"/>
      <c r="P351" s="134"/>
      <c r="Q351" s="134"/>
      <c r="R351" s="134"/>
      <c r="S351" s="134"/>
    </row>
    <row r="352" spans="1:19" x14ac:dyDescent="0.25">
      <c r="A352" s="133"/>
      <c r="B352" s="134"/>
      <c r="C352" s="134"/>
      <c r="D352" s="134"/>
      <c r="E352" s="134"/>
      <c r="F352" s="134"/>
      <c r="G352" s="135"/>
      <c r="H352" s="135"/>
      <c r="I352" s="135"/>
      <c r="J352" s="136"/>
      <c r="K352" s="134"/>
      <c r="L352" s="134"/>
      <c r="M352" s="134"/>
      <c r="N352" s="134"/>
      <c r="O352" s="134"/>
      <c r="P352" s="134"/>
      <c r="Q352" s="134"/>
      <c r="R352" s="134"/>
      <c r="S352" s="134"/>
    </row>
    <row r="353" spans="1:19" x14ac:dyDescent="0.25">
      <c r="A353" s="133"/>
      <c r="B353" s="134"/>
      <c r="C353" s="134"/>
      <c r="D353" s="134"/>
      <c r="E353" s="134"/>
      <c r="F353" s="134"/>
      <c r="G353" s="135"/>
      <c r="H353" s="135"/>
      <c r="I353" s="135"/>
      <c r="J353" s="136"/>
      <c r="K353" s="134"/>
      <c r="L353" s="134"/>
      <c r="M353" s="134"/>
      <c r="N353" s="134"/>
      <c r="O353" s="134"/>
      <c r="P353" s="134"/>
      <c r="Q353" s="134"/>
      <c r="R353" s="134"/>
      <c r="S353" s="134"/>
    </row>
    <row r="354" spans="1:19" x14ac:dyDescent="0.25">
      <c r="A354" s="133"/>
      <c r="B354" s="134"/>
      <c r="C354" s="134"/>
      <c r="D354" s="134"/>
      <c r="E354" s="134"/>
      <c r="F354" s="134"/>
      <c r="G354" s="135"/>
      <c r="H354" s="135"/>
      <c r="I354" s="135"/>
      <c r="J354" s="136"/>
      <c r="K354" s="134"/>
      <c r="L354" s="134"/>
      <c r="M354" s="134"/>
      <c r="N354" s="134"/>
      <c r="O354" s="134"/>
      <c r="P354" s="134"/>
      <c r="Q354" s="134"/>
      <c r="R354" s="134"/>
      <c r="S354" s="134"/>
    </row>
    <row r="355" spans="1:19" x14ac:dyDescent="0.25">
      <c r="A355" s="133"/>
      <c r="B355" s="134"/>
      <c r="C355" s="134"/>
      <c r="D355" s="134"/>
      <c r="E355" s="134"/>
      <c r="F355" s="134"/>
      <c r="G355" s="135"/>
      <c r="H355" s="135"/>
      <c r="I355" s="135"/>
      <c r="J355" s="136"/>
      <c r="K355" s="134"/>
      <c r="L355" s="134"/>
      <c r="M355" s="134"/>
      <c r="N355" s="134"/>
      <c r="O355" s="134"/>
      <c r="P355" s="134"/>
      <c r="Q355" s="134"/>
      <c r="R355" s="134"/>
      <c r="S355" s="134"/>
    </row>
    <row r="356" spans="1:19" x14ac:dyDescent="0.25">
      <c r="A356" s="133"/>
      <c r="B356" s="134"/>
      <c r="C356" s="134"/>
      <c r="D356" s="134"/>
      <c r="E356" s="134"/>
      <c r="F356" s="134"/>
      <c r="G356" s="135"/>
      <c r="H356" s="135"/>
      <c r="I356" s="135"/>
      <c r="J356" s="136"/>
      <c r="K356" s="134"/>
      <c r="L356" s="134"/>
      <c r="M356" s="134"/>
      <c r="N356" s="134"/>
      <c r="O356" s="134"/>
      <c r="P356" s="134"/>
      <c r="Q356" s="134"/>
      <c r="R356" s="134"/>
      <c r="S356" s="134"/>
    </row>
    <row r="357" spans="1:19" x14ac:dyDescent="0.25">
      <c r="A357" s="133"/>
      <c r="B357" s="134"/>
      <c r="C357" s="134"/>
      <c r="D357" s="134"/>
      <c r="E357" s="134"/>
      <c r="F357" s="134"/>
      <c r="G357" s="135"/>
      <c r="H357" s="135"/>
      <c r="I357" s="135"/>
      <c r="J357" s="136"/>
      <c r="K357" s="134"/>
      <c r="L357" s="134"/>
      <c r="M357" s="134"/>
      <c r="N357" s="134"/>
      <c r="O357" s="134"/>
      <c r="P357" s="134"/>
      <c r="Q357" s="134"/>
      <c r="R357" s="134"/>
      <c r="S357" s="134"/>
    </row>
    <row r="358" spans="1:19" x14ac:dyDescent="0.25">
      <c r="A358" s="133"/>
      <c r="B358" s="134"/>
      <c r="C358" s="134"/>
      <c r="D358" s="134"/>
      <c r="E358" s="134"/>
      <c r="F358" s="134"/>
      <c r="G358" s="135"/>
      <c r="H358" s="135"/>
      <c r="I358" s="135"/>
      <c r="J358" s="136"/>
      <c r="K358" s="134"/>
      <c r="L358" s="134"/>
      <c r="M358" s="134"/>
      <c r="N358" s="134"/>
      <c r="O358" s="134"/>
      <c r="P358" s="134"/>
      <c r="Q358" s="134"/>
      <c r="R358" s="134"/>
      <c r="S358" s="134"/>
    </row>
    <row r="359" spans="1:19" x14ac:dyDescent="0.25">
      <c r="A359" s="133"/>
      <c r="B359" s="134"/>
      <c r="C359" s="134"/>
      <c r="D359" s="134"/>
      <c r="E359" s="134"/>
      <c r="F359" s="134"/>
      <c r="G359" s="135"/>
      <c r="H359" s="135"/>
      <c r="I359" s="135"/>
      <c r="J359" s="136"/>
      <c r="K359" s="134"/>
      <c r="L359" s="134"/>
      <c r="M359" s="134"/>
      <c r="N359" s="134"/>
      <c r="O359" s="134"/>
      <c r="P359" s="134"/>
      <c r="Q359" s="134"/>
      <c r="R359" s="134"/>
      <c r="S359" s="134"/>
    </row>
    <row r="360" spans="1:19" x14ac:dyDescent="0.25">
      <c r="A360" s="133"/>
      <c r="B360" s="134"/>
      <c r="C360" s="134"/>
      <c r="D360" s="134"/>
      <c r="E360" s="134"/>
      <c r="F360" s="134"/>
      <c r="G360" s="135"/>
      <c r="H360" s="135"/>
      <c r="I360" s="135"/>
      <c r="J360" s="136"/>
      <c r="K360" s="134"/>
      <c r="L360" s="134"/>
      <c r="M360" s="134"/>
      <c r="N360" s="134"/>
      <c r="O360" s="134"/>
      <c r="P360" s="134"/>
      <c r="Q360" s="134"/>
      <c r="R360" s="134"/>
      <c r="S360" s="134"/>
    </row>
    <row r="361" spans="1:19" x14ac:dyDescent="0.25">
      <c r="A361" s="133"/>
      <c r="B361" s="134"/>
      <c r="C361" s="134"/>
      <c r="D361" s="134"/>
      <c r="E361" s="134"/>
      <c r="F361" s="134"/>
      <c r="G361" s="135"/>
      <c r="H361" s="135"/>
      <c r="I361" s="135"/>
      <c r="J361" s="136"/>
      <c r="K361" s="134"/>
      <c r="L361" s="134"/>
      <c r="M361" s="134"/>
      <c r="N361" s="134"/>
      <c r="O361" s="134"/>
      <c r="P361" s="134"/>
      <c r="Q361" s="134"/>
      <c r="R361" s="134"/>
      <c r="S361" s="134"/>
    </row>
    <row r="362" spans="1:19" x14ac:dyDescent="0.25">
      <c r="A362" s="133"/>
      <c r="B362" s="134"/>
      <c r="C362" s="134"/>
      <c r="D362" s="134"/>
      <c r="E362" s="134"/>
      <c r="F362" s="134"/>
      <c r="G362" s="135"/>
      <c r="H362" s="135"/>
      <c r="I362" s="135"/>
      <c r="J362" s="136"/>
      <c r="K362" s="134"/>
      <c r="L362" s="134"/>
      <c r="M362" s="134"/>
      <c r="N362" s="134"/>
      <c r="O362" s="134"/>
      <c r="P362" s="134"/>
      <c r="Q362" s="134"/>
      <c r="R362" s="134"/>
      <c r="S362" s="134"/>
    </row>
    <row r="363" spans="1:19" x14ac:dyDescent="0.25">
      <c r="A363" s="133"/>
      <c r="B363" s="134"/>
      <c r="C363" s="134"/>
      <c r="D363" s="134"/>
      <c r="E363" s="134"/>
      <c r="F363" s="134"/>
      <c r="G363" s="135"/>
      <c r="H363" s="135"/>
      <c r="I363" s="135"/>
      <c r="J363" s="136"/>
      <c r="K363" s="134"/>
      <c r="L363" s="134"/>
      <c r="M363" s="134"/>
      <c r="N363" s="134"/>
      <c r="O363" s="134"/>
      <c r="P363" s="134"/>
      <c r="Q363" s="134"/>
      <c r="R363" s="134"/>
      <c r="S363" s="134"/>
    </row>
    <row r="364" spans="1:19" x14ac:dyDescent="0.25">
      <c r="A364" s="133"/>
      <c r="B364" s="134"/>
      <c r="C364" s="134"/>
      <c r="D364" s="134"/>
      <c r="E364" s="134"/>
      <c r="F364" s="134"/>
      <c r="G364" s="135"/>
      <c r="H364" s="135"/>
      <c r="I364" s="135"/>
      <c r="J364" s="136"/>
      <c r="K364" s="134"/>
      <c r="L364" s="134"/>
      <c r="M364" s="134"/>
      <c r="N364" s="134"/>
      <c r="O364" s="134"/>
      <c r="P364" s="134"/>
      <c r="Q364" s="134"/>
      <c r="R364" s="134"/>
      <c r="S364" s="134"/>
    </row>
    <row r="365" spans="1:19" x14ac:dyDescent="0.25">
      <c r="A365" s="133"/>
      <c r="B365" s="134"/>
      <c r="C365" s="134"/>
      <c r="D365" s="134"/>
      <c r="E365" s="134"/>
      <c r="F365" s="134"/>
      <c r="G365" s="135"/>
      <c r="H365" s="135"/>
      <c r="I365" s="135"/>
      <c r="J365" s="136"/>
      <c r="K365" s="134"/>
      <c r="L365" s="134"/>
      <c r="M365" s="134"/>
      <c r="N365" s="134"/>
      <c r="O365" s="134"/>
      <c r="P365" s="134"/>
      <c r="Q365" s="134"/>
      <c r="R365" s="134"/>
      <c r="S365" s="134"/>
    </row>
    <row r="366" spans="1:19" x14ac:dyDescent="0.25">
      <c r="A366" s="133"/>
      <c r="B366" s="134"/>
      <c r="C366" s="134"/>
      <c r="D366" s="134"/>
      <c r="E366" s="134"/>
      <c r="F366" s="134"/>
      <c r="G366" s="135"/>
      <c r="H366" s="135"/>
      <c r="I366" s="135"/>
      <c r="J366" s="136"/>
      <c r="K366" s="134"/>
      <c r="L366" s="134"/>
      <c r="M366" s="134"/>
      <c r="N366" s="134"/>
      <c r="O366" s="134"/>
      <c r="P366" s="134"/>
      <c r="Q366" s="134"/>
      <c r="R366" s="134"/>
      <c r="S366" s="134"/>
    </row>
    <row r="367" spans="1:19" x14ac:dyDescent="0.25">
      <c r="A367" s="133"/>
      <c r="B367" s="134"/>
      <c r="C367" s="134"/>
      <c r="D367" s="134"/>
      <c r="E367" s="134"/>
      <c r="F367" s="134"/>
      <c r="G367" s="135"/>
      <c r="H367" s="135"/>
      <c r="I367" s="135"/>
      <c r="J367" s="136"/>
      <c r="K367" s="134"/>
      <c r="L367" s="134"/>
      <c r="M367" s="134"/>
      <c r="N367" s="134"/>
      <c r="O367" s="134"/>
      <c r="P367" s="134"/>
      <c r="Q367" s="134"/>
      <c r="R367" s="134"/>
      <c r="S367" s="134"/>
    </row>
    <row r="368" spans="1:19" x14ac:dyDescent="0.25">
      <c r="A368" s="133"/>
      <c r="B368" s="134"/>
      <c r="C368" s="134"/>
      <c r="D368" s="134"/>
      <c r="E368" s="134"/>
      <c r="F368" s="134"/>
      <c r="G368" s="135"/>
      <c r="H368" s="135"/>
      <c r="I368" s="135"/>
      <c r="J368" s="136"/>
      <c r="K368" s="134"/>
      <c r="L368" s="134"/>
      <c r="M368" s="134"/>
      <c r="N368" s="134"/>
      <c r="O368" s="134"/>
      <c r="P368" s="134"/>
      <c r="Q368" s="134"/>
      <c r="R368" s="134"/>
      <c r="S368" s="134"/>
    </row>
    <row r="369" spans="1:19" x14ac:dyDescent="0.25">
      <c r="A369" s="133"/>
      <c r="B369" s="134"/>
      <c r="C369" s="134"/>
      <c r="D369" s="134"/>
      <c r="E369" s="134"/>
      <c r="F369" s="134"/>
      <c r="G369" s="135"/>
      <c r="H369" s="135"/>
      <c r="I369" s="135"/>
      <c r="J369" s="136"/>
      <c r="K369" s="134"/>
      <c r="L369" s="134"/>
      <c r="M369" s="134"/>
      <c r="N369" s="134"/>
      <c r="O369" s="134"/>
      <c r="P369" s="134"/>
      <c r="Q369" s="134"/>
      <c r="R369" s="134"/>
      <c r="S369" s="134"/>
    </row>
    <row r="370" spans="1:19" x14ac:dyDescent="0.25">
      <c r="A370" s="133"/>
      <c r="B370" s="134"/>
      <c r="C370" s="134"/>
      <c r="D370" s="134"/>
      <c r="E370" s="134"/>
      <c r="F370" s="134"/>
      <c r="G370" s="135"/>
      <c r="H370" s="135"/>
      <c r="I370" s="135"/>
      <c r="J370" s="136"/>
      <c r="K370" s="134"/>
      <c r="L370" s="134"/>
      <c r="M370" s="134"/>
      <c r="N370" s="134"/>
      <c r="O370" s="134"/>
      <c r="P370" s="134"/>
      <c r="Q370" s="134"/>
      <c r="R370" s="134"/>
      <c r="S370" s="134"/>
    </row>
    <row r="371" spans="1:19" x14ac:dyDescent="0.25">
      <c r="A371" s="133"/>
      <c r="B371" s="134"/>
      <c r="C371" s="134"/>
      <c r="D371" s="134"/>
      <c r="E371" s="134"/>
      <c r="F371" s="134"/>
      <c r="G371" s="135"/>
      <c r="H371" s="135"/>
      <c r="I371" s="135"/>
      <c r="J371" s="136"/>
      <c r="K371" s="134"/>
      <c r="L371" s="134"/>
      <c r="M371" s="134"/>
      <c r="N371" s="134"/>
      <c r="O371" s="134"/>
      <c r="P371" s="134"/>
      <c r="Q371" s="134"/>
      <c r="R371" s="134"/>
      <c r="S371" s="134"/>
    </row>
    <row r="372" spans="1:19" x14ac:dyDescent="0.25">
      <c r="A372" s="133"/>
      <c r="B372" s="134"/>
      <c r="C372" s="134"/>
      <c r="D372" s="134"/>
      <c r="E372" s="134"/>
      <c r="F372" s="134"/>
      <c r="G372" s="135"/>
      <c r="H372" s="135"/>
      <c r="I372" s="135"/>
      <c r="J372" s="136"/>
      <c r="K372" s="134"/>
      <c r="L372" s="134"/>
      <c r="M372" s="134"/>
      <c r="N372" s="134"/>
      <c r="O372" s="134"/>
      <c r="P372" s="134"/>
      <c r="Q372" s="134"/>
      <c r="R372" s="134"/>
      <c r="S372" s="134"/>
    </row>
    <row r="373" spans="1:19" x14ac:dyDescent="0.25">
      <c r="A373" s="133"/>
      <c r="B373" s="134"/>
      <c r="C373" s="134"/>
      <c r="D373" s="134"/>
      <c r="E373" s="134"/>
      <c r="F373" s="134"/>
      <c r="G373" s="135"/>
      <c r="H373" s="135"/>
      <c r="I373" s="135"/>
      <c r="J373" s="136"/>
      <c r="K373" s="134"/>
      <c r="L373" s="134"/>
      <c r="M373" s="134"/>
      <c r="N373" s="134"/>
      <c r="O373" s="134"/>
      <c r="P373" s="134"/>
      <c r="Q373" s="134"/>
      <c r="R373" s="134"/>
      <c r="S373" s="134"/>
    </row>
    <row r="374" spans="1:19" x14ac:dyDescent="0.25">
      <c r="A374" s="133"/>
      <c r="B374" s="134"/>
      <c r="C374" s="134"/>
      <c r="D374" s="134"/>
      <c r="E374" s="134"/>
      <c r="F374" s="134"/>
      <c r="G374" s="135"/>
      <c r="H374" s="135"/>
      <c r="I374" s="135"/>
      <c r="J374" s="136"/>
      <c r="K374" s="134"/>
      <c r="L374" s="134"/>
      <c r="M374" s="134"/>
      <c r="N374" s="134"/>
      <c r="O374" s="134"/>
      <c r="P374" s="134"/>
      <c r="Q374" s="134"/>
      <c r="R374" s="134"/>
      <c r="S374" s="134"/>
    </row>
    <row r="375" spans="1:19" x14ac:dyDescent="0.25">
      <c r="A375" s="133"/>
      <c r="B375" s="134"/>
      <c r="C375" s="134"/>
      <c r="D375" s="134"/>
      <c r="E375" s="134"/>
      <c r="F375" s="134"/>
      <c r="G375" s="135"/>
      <c r="H375" s="135"/>
      <c r="I375" s="135"/>
      <c r="J375" s="136"/>
      <c r="K375" s="134"/>
      <c r="L375" s="134"/>
      <c r="M375" s="134"/>
      <c r="N375" s="134"/>
      <c r="O375" s="134"/>
      <c r="P375" s="134"/>
      <c r="Q375" s="134"/>
      <c r="R375" s="134"/>
      <c r="S375" s="134"/>
    </row>
    <row r="376" spans="1:19" x14ac:dyDescent="0.25">
      <c r="A376" s="133"/>
      <c r="B376" s="134"/>
      <c r="C376" s="134"/>
      <c r="D376" s="134"/>
      <c r="E376" s="134"/>
      <c r="F376" s="134"/>
      <c r="G376" s="135"/>
      <c r="H376" s="135"/>
      <c r="I376" s="135"/>
      <c r="J376" s="136"/>
      <c r="K376" s="134"/>
      <c r="L376" s="134"/>
      <c r="M376" s="134"/>
      <c r="N376" s="134"/>
      <c r="O376" s="134"/>
      <c r="P376" s="134"/>
      <c r="Q376" s="134"/>
      <c r="R376" s="134"/>
      <c r="S376" s="134"/>
    </row>
    <row r="377" spans="1:19" x14ac:dyDescent="0.25">
      <c r="A377" s="133"/>
      <c r="B377" s="134"/>
      <c r="C377" s="134"/>
      <c r="D377" s="134"/>
      <c r="E377" s="134"/>
      <c r="F377" s="134"/>
      <c r="G377" s="135"/>
      <c r="H377" s="135"/>
      <c r="I377" s="135"/>
      <c r="J377" s="136"/>
      <c r="K377" s="134"/>
      <c r="L377" s="134"/>
      <c r="M377" s="134"/>
      <c r="N377" s="134"/>
      <c r="O377" s="134"/>
      <c r="P377" s="134"/>
      <c r="Q377" s="134"/>
      <c r="R377" s="134"/>
      <c r="S377" s="134"/>
    </row>
    <row r="378" spans="1:19" x14ac:dyDescent="0.25">
      <c r="A378" s="133"/>
      <c r="B378" s="134"/>
      <c r="C378" s="134"/>
      <c r="D378" s="134"/>
      <c r="E378" s="134"/>
      <c r="F378" s="134"/>
      <c r="G378" s="135"/>
      <c r="H378" s="135"/>
      <c r="I378" s="135"/>
      <c r="J378" s="136"/>
      <c r="K378" s="134"/>
      <c r="L378" s="134"/>
      <c r="M378" s="134"/>
      <c r="N378" s="134"/>
      <c r="O378" s="134"/>
      <c r="P378" s="134"/>
      <c r="Q378" s="134"/>
      <c r="R378" s="134"/>
      <c r="S378" s="134"/>
    </row>
    <row r="379" spans="1:19" x14ac:dyDescent="0.25">
      <c r="A379" s="133"/>
      <c r="B379" s="134"/>
      <c r="C379" s="134"/>
      <c r="D379" s="134"/>
      <c r="E379" s="134"/>
      <c r="F379" s="134"/>
      <c r="G379" s="135"/>
      <c r="H379" s="135"/>
      <c r="I379" s="135"/>
      <c r="J379" s="136"/>
      <c r="K379" s="134"/>
      <c r="L379" s="134"/>
      <c r="M379" s="134"/>
      <c r="N379" s="134"/>
      <c r="O379" s="134"/>
      <c r="P379" s="134"/>
      <c r="Q379" s="134"/>
      <c r="R379" s="134"/>
      <c r="S379" s="134"/>
    </row>
    <row r="380" spans="1:19" x14ac:dyDescent="0.25">
      <c r="A380" s="133"/>
      <c r="B380" s="134"/>
      <c r="C380" s="134"/>
      <c r="D380" s="134"/>
      <c r="E380" s="134"/>
      <c r="F380" s="134"/>
      <c r="G380" s="135"/>
      <c r="H380" s="135"/>
      <c r="I380" s="135"/>
      <c r="J380" s="136"/>
      <c r="K380" s="134"/>
      <c r="L380" s="134"/>
      <c r="M380" s="134"/>
      <c r="N380" s="134"/>
      <c r="O380" s="134"/>
      <c r="P380" s="134"/>
      <c r="Q380" s="134"/>
      <c r="R380" s="134"/>
      <c r="S380" s="134"/>
    </row>
    <row r="381" spans="1:19" x14ac:dyDescent="0.25">
      <c r="A381" s="133"/>
      <c r="B381" s="134"/>
      <c r="C381" s="134"/>
      <c r="D381" s="134"/>
      <c r="E381" s="134"/>
      <c r="F381" s="134"/>
      <c r="G381" s="135"/>
      <c r="H381" s="135"/>
      <c r="I381" s="135"/>
      <c r="J381" s="136"/>
      <c r="K381" s="134"/>
      <c r="L381" s="134"/>
      <c r="M381" s="134"/>
      <c r="N381" s="134"/>
      <c r="O381" s="134"/>
      <c r="P381" s="134"/>
      <c r="Q381" s="134"/>
      <c r="R381" s="134"/>
      <c r="S381" s="134"/>
    </row>
    <row r="382" spans="1:19" x14ac:dyDescent="0.25">
      <c r="A382" s="133"/>
      <c r="B382" s="134"/>
      <c r="C382" s="134"/>
      <c r="D382" s="134"/>
      <c r="E382" s="134"/>
      <c r="F382" s="134"/>
      <c r="G382" s="135"/>
      <c r="H382" s="135"/>
      <c r="I382" s="135"/>
      <c r="J382" s="136"/>
      <c r="K382" s="134"/>
      <c r="L382" s="134"/>
      <c r="M382" s="134"/>
      <c r="N382" s="134"/>
      <c r="O382" s="134"/>
      <c r="P382" s="134"/>
      <c r="Q382" s="134"/>
      <c r="R382" s="134"/>
      <c r="S382" s="134"/>
    </row>
    <row r="383" spans="1:19" x14ac:dyDescent="0.25">
      <c r="A383" s="133"/>
      <c r="B383" s="134"/>
      <c r="C383" s="134"/>
      <c r="D383" s="134"/>
      <c r="E383" s="134"/>
      <c r="F383" s="134"/>
      <c r="G383" s="135"/>
      <c r="H383" s="135"/>
      <c r="I383" s="135"/>
      <c r="J383" s="136"/>
      <c r="K383" s="134"/>
      <c r="L383" s="134"/>
      <c r="M383" s="134"/>
      <c r="N383" s="134"/>
      <c r="O383" s="134"/>
      <c r="P383" s="134"/>
      <c r="Q383" s="134"/>
      <c r="R383" s="134"/>
      <c r="S383" s="134"/>
    </row>
    <row r="384" spans="1:19" x14ac:dyDescent="0.25">
      <c r="A384" s="133"/>
      <c r="B384" s="134"/>
      <c r="C384" s="134"/>
      <c r="D384" s="134"/>
      <c r="E384" s="134"/>
      <c r="F384" s="134"/>
      <c r="G384" s="135"/>
      <c r="H384" s="135"/>
      <c r="I384" s="135"/>
      <c r="J384" s="136"/>
      <c r="K384" s="134"/>
      <c r="L384" s="134"/>
      <c r="M384" s="134"/>
      <c r="N384" s="134"/>
      <c r="O384" s="134"/>
      <c r="P384" s="134"/>
      <c r="Q384" s="134"/>
      <c r="R384" s="134"/>
      <c r="S384" s="134"/>
    </row>
    <row r="385" spans="1:19" x14ac:dyDescent="0.25">
      <c r="A385" s="133"/>
      <c r="B385" s="134"/>
      <c r="C385" s="134"/>
      <c r="D385" s="134"/>
      <c r="E385" s="134"/>
      <c r="F385" s="134"/>
      <c r="G385" s="135"/>
      <c r="H385" s="135"/>
      <c r="I385" s="135"/>
      <c r="J385" s="136"/>
      <c r="K385" s="134"/>
      <c r="L385" s="134"/>
      <c r="M385" s="134"/>
      <c r="N385" s="134"/>
      <c r="O385" s="134"/>
      <c r="P385" s="134"/>
      <c r="Q385" s="134"/>
      <c r="R385" s="134"/>
      <c r="S385" s="134"/>
    </row>
    <row r="386" spans="1:19" x14ac:dyDescent="0.25">
      <c r="A386" s="133"/>
      <c r="B386" s="134"/>
      <c r="C386" s="134"/>
      <c r="D386" s="134"/>
      <c r="E386" s="134"/>
      <c r="F386" s="134"/>
      <c r="G386" s="135"/>
      <c r="H386" s="135"/>
      <c r="I386" s="135"/>
      <c r="J386" s="136"/>
      <c r="K386" s="134"/>
      <c r="L386" s="134"/>
      <c r="M386" s="134"/>
      <c r="N386" s="134"/>
      <c r="O386" s="134"/>
      <c r="P386" s="134"/>
      <c r="Q386" s="134"/>
      <c r="R386" s="134"/>
      <c r="S386" s="134"/>
    </row>
    <row r="387" spans="1:19" x14ac:dyDescent="0.25">
      <c r="A387" s="133"/>
      <c r="B387" s="134"/>
      <c r="C387" s="134"/>
      <c r="D387" s="134"/>
      <c r="E387" s="134"/>
      <c r="F387" s="134"/>
      <c r="G387" s="135"/>
      <c r="H387" s="135"/>
      <c r="I387" s="135"/>
      <c r="J387" s="136"/>
      <c r="K387" s="134"/>
      <c r="L387" s="134"/>
      <c r="M387" s="134"/>
      <c r="N387" s="134"/>
      <c r="O387" s="134"/>
      <c r="P387" s="134"/>
      <c r="Q387" s="134"/>
      <c r="R387" s="134"/>
      <c r="S387" s="134"/>
    </row>
    <row r="388" spans="1:19" x14ac:dyDescent="0.25">
      <c r="A388" s="133"/>
      <c r="B388" s="134"/>
      <c r="C388" s="134"/>
      <c r="D388" s="134"/>
      <c r="E388" s="134"/>
      <c r="F388" s="134"/>
      <c r="G388" s="135"/>
      <c r="H388" s="135"/>
      <c r="I388" s="135"/>
      <c r="J388" s="136"/>
      <c r="K388" s="134"/>
      <c r="L388" s="134"/>
      <c r="M388" s="134"/>
      <c r="N388" s="134"/>
      <c r="O388" s="134"/>
      <c r="P388" s="134"/>
      <c r="Q388" s="134"/>
      <c r="R388" s="134"/>
      <c r="S388" s="134"/>
    </row>
    <row r="389" spans="1:19" x14ac:dyDescent="0.25">
      <c r="A389" s="133"/>
      <c r="B389" s="134"/>
      <c r="C389" s="134"/>
      <c r="D389" s="134"/>
      <c r="E389" s="134"/>
      <c r="F389" s="134"/>
      <c r="G389" s="135"/>
      <c r="H389" s="135"/>
      <c r="I389" s="135"/>
      <c r="J389" s="136"/>
      <c r="K389" s="134"/>
      <c r="L389" s="134"/>
      <c r="M389" s="134"/>
      <c r="N389" s="134"/>
      <c r="O389" s="134"/>
      <c r="P389" s="134"/>
      <c r="Q389" s="134"/>
      <c r="R389" s="134"/>
      <c r="S389" s="134"/>
    </row>
    <row r="390" spans="1:19" x14ac:dyDescent="0.25">
      <c r="A390" s="133"/>
      <c r="B390" s="134"/>
      <c r="C390" s="134"/>
      <c r="D390" s="134"/>
      <c r="E390" s="134"/>
      <c r="F390" s="134"/>
      <c r="G390" s="135"/>
      <c r="H390" s="135"/>
      <c r="I390" s="135"/>
      <c r="J390" s="136"/>
      <c r="K390" s="134"/>
      <c r="L390" s="134"/>
      <c r="M390" s="134"/>
      <c r="N390" s="134"/>
      <c r="O390" s="134"/>
      <c r="P390" s="134"/>
      <c r="Q390" s="134"/>
      <c r="R390" s="134"/>
      <c r="S390" s="134"/>
    </row>
    <row r="391" spans="1:19" x14ac:dyDescent="0.25">
      <c r="A391" s="133"/>
      <c r="B391" s="134"/>
      <c r="C391" s="134"/>
      <c r="D391" s="134"/>
      <c r="E391" s="134"/>
      <c r="F391" s="134"/>
      <c r="G391" s="135"/>
      <c r="H391" s="135"/>
      <c r="I391" s="135"/>
      <c r="J391" s="136"/>
      <c r="K391" s="134"/>
      <c r="L391" s="134"/>
      <c r="M391" s="134"/>
      <c r="N391" s="134"/>
      <c r="O391" s="134"/>
      <c r="P391" s="134"/>
      <c r="Q391" s="134"/>
      <c r="R391" s="134"/>
      <c r="S391" s="134"/>
    </row>
    <row r="392" spans="1:19" x14ac:dyDescent="0.25">
      <c r="A392" s="133"/>
      <c r="B392" s="134"/>
      <c r="C392" s="134"/>
      <c r="D392" s="134"/>
      <c r="E392" s="134"/>
      <c r="F392" s="134"/>
      <c r="G392" s="135"/>
      <c r="H392" s="135"/>
      <c r="I392" s="135"/>
      <c r="J392" s="136"/>
      <c r="K392" s="134"/>
      <c r="L392" s="134"/>
      <c r="M392" s="134"/>
      <c r="N392" s="134"/>
      <c r="O392" s="134"/>
      <c r="P392" s="134"/>
      <c r="Q392" s="134"/>
      <c r="R392" s="134"/>
      <c r="S392" s="134"/>
    </row>
    <row r="393" spans="1:19" x14ac:dyDescent="0.25">
      <c r="A393" s="133"/>
      <c r="B393" s="134"/>
      <c r="C393" s="134"/>
      <c r="D393" s="134"/>
      <c r="E393" s="134"/>
      <c r="F393" s="134"/>
      <c r="G393" s="135"/>
      <c r="H393" s="135"/>
      <c r="I393" s="135"/>
      <c r="J393" s="136"/>
      <c r="K393" s="134"/>
      <c r="L393" s="134"/>
      <c r="M393" s="134"/>
      <c r="N393" s="134"/>
      <c r="O393" s="134"/>
      <c r="P393" s="134"/>
      <c r="Q393" s="134"/>
      <c r="R393" s="134"/>
      <c r="S393" s="134"/>
    </row>
    <row r="394" spans="1:19" x14ac:dyDescent="0.25">
      <c r="A394" s="133"/>
      <c r="B394" s="134"/>
      <c r="C394" s="134"/>
      <c r="D394" s="134"/>
      <c r="E394" s="134"/>
      <c r="F394" s="134"/>
      <c r="G394" s="135"/>
      <c r="H394" s="135"/>
      <c r="I394" s="135"/>
      <c r="J394" s="136"/>
      <c r="K394" s="134"/>
      <c r="L394" s="134"/>
      <c r="M394" s="134"/>
      <c r="N394" s="134"/>
      <c r="O394" s="134"/>
      <c r="P394" s="134"/>
      <c r="Q394" s="134"/>
      <c r="R394" s="134"/>
      <c r="S394" s="134"/>
    </row>
    <row r="395" spans="1:19" x14ac:dyDescent="0.25">
      <c r="A395" s="133"/>
      <c r="B395" s="134"/>
      <c r="C395" s="134"/>
      <c r="D395" s="134"/>
      <c r="E395" s="134"/>
      <c r="F395" s="134"/>
      <c r="G395" s="135"/>
      <c r="H395" s="135"/>
      <c r="I395" s="135"/>
      <c r="J395" s="136"/>
      <c r="K395" s="134"/>
      <c r="L395" s="134"/>
      <c r="M395" s="134"/>
      <c r="N395" s="134"/>
      <c r="O395" s="134"/>
      <c r="P395" s="134"/>
      <c r="Q395" s="134"/>
      <c r="R395" s="134"/>
      <c r="S395" s="134"/>
    </row>
    <row r="396" spans="1:19" x14ac:dyDescent="0.25">
      <c r="A396" s="133"/>
      <c r="B396" s="134"/>
      <c r="C396" s="134"/>
      <c r="D396" s="134"/>
      <c r="E396" s="134"/>
      <c r="F396" s="134"/>
      <c r="G396" s="135"/>
      <c r="H396" s="135"/>
      <c r="I396" s="135"/>
      <c r="J396" s="136"/>
      <c r="K396" s="134"/>
      <c r="L396" s="134"/>
      <c r="M396" s="134"/>
      <c r="N396" s="134"/>
      <c r="O396" s="134"/>
      <c r="P396" s="134"/>
      <c r="Q396" s="134"/>
      <c r="R396" s="134"/>
      <c r="S396" s="134"/>
    </row>
    <row r="397" spans="1:19" x14ac:dyDescent="0.25">
      <c r="A397" s="133"/>
      <c r="B397" s="134"/>
      <c r="C397" s="134"/>
      <c r="D397" s="134"/>
      <c r="E397" s="134"/>
      <c r="F397" s="134"/>
      <c r="G397" s="135"/>
      <c r="H397" s="135"/>
      <c r="I397" s="135"/>
      <c r="J397" s="136"/>
      <c r="K397" s="134"/>
      <c r="L397" s="134"/>
      <c r="M397" s="134"/>
      <c r="N397" s="134"/>
      <c r="O397" s="134"/>
      <c r="P397" s="134"/>
      <c r="Q397" s="134"/>
      <c r="R397" s="134"/>
      <c r="S397" s="134"/>
    </row>
    <row r="398" spans="1:19" x14ac:dyDescent="0.25">
      <c r="A398" s="133"/>
      <c r="B398" s="134"/>
      <c r="C398" s="134"/>
      <c r="D398" s="134"/>
      <c r="E398" s="134"/>
      <c r="F398" s="134"/>
      <c r="G398" s="135"/>
      <c r="H398" s="135"/>
      <c r="I398" s="135"/>
      <c r="J398" s="136"/>
      <c r="K398" s="134"/>
      <c r="L398" s="134"/>
      <c r="M398" s="134"/>
      <c r="N398" s="134"/>
      <c r="O398" s="134"/>
      <c r="P398" s="134"/>
      <c r="Q398" s="134"/>
      <c r="R398" s="134"/>
      <c r="S398" s="134"/>
    </row>
    <row r="399" spans="1:19" x14ac:dyDescent="0.25">
      <c r="A399" s="133"/>
      <c r="B399" s="134"/>
      <c r="C399" s="134"/>
      <c r="D399" s="134"/>
      <c r="E399" s="134"/>
      <c r="F399" s="134"/>
      <c r="G399" s="135"/>
      <c r="H399" s="135"/>
      <c r="I399" s="135"/>
      <c r="J399" s="136"/>
      <c r="K399" s="134"/>
      <c r="L399" s="134"/>
      <c r="M399" s="134"/>
      <c r="N399" s="134"/>
      <c r="O399" s="134"/>
      <c r="P399" s="134"/>
      <c r="Q399" s="134"/>
      <c r="R399" s="134"/>
      <c r="S399" s="134"/>
    </row>
    <row r="400" spans="1:19" x14ac:dyDescent="0.25">
      <c r="A400" s="133"/>
      <c r="B400" s="134"/>
      <c r="C400" s="134"/>
      <c r="D400" s="134"/>
      <c r="E400" s="134"/>
      <c r="F400" s="134"/>
      <c r="G400" s="135"/>
      <c r="H400" s="135"/>
      <c r="I400" s="135"/>
      <c r="J400" s="136"/>
      <c r="K400" s="134"/>
      <c r="L400" s="134"/>
      <c r="M400" s="134"/>
      <c r="N400" s="134"/>
      <c r="O400" s="134"/>
      <c r="P400" s="134"/>
      <c r="Q400" s="134"/>
      <c r="R400" s="134"/>
      <c r="S400" s="134"/>
    </row>
    <row r="401" spans="1:19" x14ac:dyDescent="0.25">
      <c r="A401" s="133"/>
      <c r="B401" s="134"/>
      <c r="C401" s="134"/>
      <c r="D401" s="134"/>
      <c r="E401" s="134"/>
      <c r="F401" s="134"/>
      <c r="G401" s="135"/>
      <c r="H401" s="135"/>
      <c r="I401" s="135"/>
      <c r="J401" s="136"/>
      <c r="K401" s="134"/>
      <c r="L401" s="134"/>
      <c r="M401" s="134"/>
      <c r="N401" s="134"/>
      <c r="O401" s="134"/>
      <c r="P401" s="134"/>
      <c r="Q401" s="134"/>
      <c r="R401" s="134"/>
      <c r="S401" s="134"/>
    </row>
    <row r="402" spans="1:19" x14ac:dyDescent="0.25">
      <c r="A402" s="133"/>
      <c r="B402" s="134"/>
      <c r="C402" s="134"/>
      <c r="D402" s="134"/>
      <c r="E402" s="134"/>
      <c r="F402" s="134"/>
      <c r="G402" s="135"/>
      <c r="H402" s="135"/>
      <c r="I402" s="135"/>
      <c r="J402" s="136"/>
      <c r="K402" s="134"/>
      <c r="L402" s="134"/>
      <c r="M402" s="134"/>
      <c r="N402" s="134"/>
      <c r="O402" s="134"/>
      <c r="P402" s="134"/>
      <c r="Q402" s="134"/>
      <c r="R402" s="134"/>
      <c r="S402" s="134"/>
    </row>
    <row r="403" spans="1:19" x14ac:dyDescent="0.25">
      <c r="A403" s="133"/>
      <c r="B403" s="134"/>
      <c r="C403" s="134"/>
      <c r="D403" s="134"/>
      <c r="E403" s="134"/>
      <c r="F403" s="134"/>
      <c r="G403" s="135"/>
      <c r="H403" s="135"/>
      <c r="I403" s="135"/>
      <c r="J403" s="136"/>
      <c r="K403" s="134"/>
      <c r="L403" s="134"/>
      <c r="M403" s="134"/>
      <c r="N403" s="134"/>
      <c r="O403" s="134"/>
      <c r="P403" s="134"/>
      <c r="Q403" s="134"/>
      <c r="R403" s="134"/>
      <c r="S403" s="134"/>
    </row>
    <row r="404" spans="1:19" x14ac:dyDescent="0.25">
      <c r="A404" s="133"/>
      <c r="B404" s="134"/>
      <c r="C404" s="134"/>
      <c r="D404" s="134"/>
      <c r="E404" s="134"/>
      <c r="F404" s="134"/>
      <c r="G404" s="135"/>
      <c r="H404" s="135"/>
      <c r="I404" s="135"/>
      <c r="J404" s="136"/>
      <c r="K404" s="134"/>
      <c r="L404" s="134"/>
      <c r="M404" s="134"/>
      <c r="N404" s="134"/>
      <c r="O404" s="134"/>
      <c r="P404" s="134"/>
      <c r="Q404" s="134"/>
      <c r="R404" s="134"/>
      <c r="S404" s="134"/>
    </row>
    <row r="405" spans="1:19" x14ac:dyDescent="0.25">
      <c r="A405" s="133"/>
      <c r="B405" s="134"/>
      <c r="C405" s="134"/>
      <c r="D405" s="134"/>
      <c r="E405" s="134"/>
      <c r="F405" s="134"/>
      <c r="G405" s="135"/>
      <c r="H405" s="135"/>
      <c r="I405" s="135"/>
      <c r="J405" s="136"/>
      <c r="K405" s="134"/>
      <c r="L405" s="134"/>
      <c r="M405" s="134"/>
      <c r="N405" s="134"/>
      <c r="O405" s="134"/>
      <c r="P405" s="134"/>
      <c r="Q405" s="134"/>
      <c r="R405" s="134"/>
      <c r="S405" s="134"/>
    </row>
    <row r="406" spans="1:19" x14ac:dyDescent="0.25">
      <c r="A406" s="133"/>
      <c r="B406" s="134"/>
      <c r="C406" s="134"/>
      <c r="D406" s="134"/>
      <c r="E406" s="134"/>
      <c r="F406" s="134"/>
      <c r="G406" s="135"/>
      <c r="H406" s="135"/>
      <c r="I406" s="135"/>
      <c r="J406" s="136"/>
      <c r="K406" s="134"/>
      <c r="L406" s="134"/>
      <c r="M406" s="134"/>
      <c r="N406" s="134"/>
      <c r="O406" s="134"/>
      <c r="P406" s="134"/>
      <c r="Q406" s="134"/>
      <c r="R406" s="134"/>
      <c r="S406" s="134"/>
    </row>
    <row r="407" spans="1:19" x14ac:dyDescent="0.25">
      <c r="A407" s="133"/>
      <c r="B407" s="134"/>
      <c r="C407" s="134"/>
      <c r="D407" s="134"/>
      <c r="E407" s="134"/>
      <c r="F407" s="134"/>
      <c r="G407" s="135"/>
      <c r="H407" s="135"/>
      <c r="I407" s="135"/>
      <c r="J407" s="136"/>
      <c r="K407" s="134"/>
      <c r="L407" s="134"/>
      <c r="M407" s="134"/>
      <c r="N407" s="134"/>
      <c r="O407" s="134"/>
      <c r="P407" s="134"/>
      <c r="Q407" s="134"/>
      <c r="R407" s="134"/>
      <c r="S407" s="134"/>
    </row>
    <row r="408" spans="1:19" x14ac:dyDescent="0.25">
      <c r="A408" s="133"/>
      <c r="B408" s="134"/>
      <c r="C408" s="134"/>
      <c r="D408" s="134"/>
      <c r="E408" s="134"/>
      <c r="F408" s="134"/>
      <c r="G408" s="135"/>
      <c r="H408" s="135"/>
      <c r="I408" s="135"/>
      <c r="J408" s="136"/>
      <c r="K408" s="134"/>
      <c r="L408" s="134"/>
      <c r="M408" s="134"/>
      <c r="N408" s="134"/>
      <c r="O408" s="134"/>
      <c r="P408" s="134"/>
      <c r="Q408" s="134"/>
      <c r="R408" s="134"/>
      <c r="S408" s="134"/>
    </row>
    <row r="409" spans="1:19" x14ac:dyDescent="0.25">
      <c r="A409" s="133"/>
      <c r="B409" s="134"/>
      <c r="C409" s="134"/>
      <c r="D409" s="134"/>
      <c r="E409" s="134"/>
      <c r="F409" s="134"/>
      <c r="G409" s="135"/>
      <c r="H409" s="135"/>
      <c r="I409" s="135"/>
      <c r="J409" s="136"/>
      <c r="K409" s="134"/>
      <c r="L409" s="134"/>
      <c r="M409" s="134"/>
      <c r="N409" s="134"/>
      <c r="O409" s="134"/>
      <c r="P409" s="134"/>
      <c r="Q409" s="134"/>
      <c r="R409" s="134"/>
      <c r="S409" s="134"/>
    </row>
    <row r="410" spans="1:19" x14ac:dyDescent="0.25">
      <c r="A410" s="133"/>
      <c r="B410" s="134"/>
      <c r="C410" s="134"/>
      <c r="D410" s="134"/>
      <c r="E410" s="134"/>
      <c r="F410" s="134"/>
      <c r="G410" s="135"/>
      <c r="H410" s="135"/>
      <c r="I410" s="135"/>
      <c r="J410" s="136"/>
      <c r="K410" s="134"/>
      <c r="L410" s="134"/>
      <c r="M410" s="134"/>
      <c r="N410" s="134"/>
      <c r="O410" s="134"/>
      <c r="P410" s="134"/>
      <c r="Q410" s="134"/>
      <c r="R410" s="134"/>
      <c r="S410" s="134"/>
    </row>
    <row r="411" spans="1:19" x14ac:dyDescent="0.25">
      <c r="A411" s="133"/>
      <c r="B411" s="134"/>
      <c r="C411" s="134"/>
      <c r="D411" s="134"/>
      <c r="E411" s="134"/>
      <c r="F411" s="134"/>
      <c r="G411" s="135"/>
      <c r="H411" s="135"/>
      <c r="I411" s="135"/>
      <c r="J411" s="136"/>
      <c r="K411" s="134"/>
      <c r="L411" s="134"/>
      <c r="M411" s="134"/>
      <c r="N411" s="134"/>
      <c r="O411" s="134"/>
      <c r="P411" s="134"/>
      <c r="Q411" s="134"/>
      <c r="R411" s="134"/>
      <c r="S411" s="134"/>
    </row>
    <row r="412" spans="1:19" x14ac:dyDescent="0.25">
      <c r="A412" s="133"/>
      <c r="B412" s="134"/>
      <c r="C412" s="134"/>
      <c r="D412" s="134"/>
      <c r="E412" s="134"/>
      <c r="F412" s="134"/>
      <c r="G412" s="135"/>
      <c r="H412" s="135"/>
      <c r="I412" s="135"/>
      <c r="J412" s="136"/>
      <c r="K412" s="134"/>
      <c r="L412" s="134"/>
      <c r="M412" s="134"/>
      <c r="N412" s="134"/>
      <c r="O412" s="134"/>
      <c r="P412" s="134"/>
      <c r="Q412" s="134"/>
      <c r="R412" s="134"/>
      <c r="S412" s="134"/>
    </row>
    <row r="413" spans="1:19" x14ac:dyDescent="0.25">
      <c r="A413" s="133"/>
      <c r="B413" s="134"/>
      <c r="C413" s="134"/>
      <c r="D413" s="134"/>
      <c r="E413" s="134"/>
      <c r="F413" s="134"/>
      <c r="G413" s="135"/>
      <c r="H413" s="135"/>
      <c r="I413" s="135"/>
      <c r="J413" s="136"/>
      <c r="K413" s="134"/>
      <c r="L413" s="134"/>
      <c r="M413" s="134"/>
      <c r="N413" s="134"/>
      <c r="O413" s="134"/>
      <c r="P413" s="134"/>
      <c r="Q413" s="134"/>
      <c r="R413" s="134"/>
      <c r="S413" s="134"/>
    </row>
    <row r="414" spans="1:19" x14ac:dyDescent="0.25">
      <c r="A414" s="133"/>
      <c r="B414" s="134"/>
      <c r="C414" s="134"/>
      <c r="D414" s="134"/>
      <c r="E414" s="134"/>
      <c r="F414" s="134"/>
      <c r="G414" s="135"/>
      <c r="H414" s="135"/>
      <c r="I414" s="135"/>
      <c r="J414" s="136"/>
      <c r="K414" s="134"/>
      <c r="L414" s="134"/>
      <c r="M414" s="134"/>
      <c r="N414" s="134"/>
      <c r="O414" s="134"/>
      <c r="P414" s="134"/>
      <c r="Q414" s="134"/>
      <c r="R414" s="134"/>
      <c r="S414" s="134"/>
    </row>
    <row r="415" spans="1:19" x14ac:dyDescent="0.25">
      <c r="A415" s="133"/>
      <c r="B415" s="134"/>
      <c r="C415" s="134"/>
      <c r="D415" s="134"/>
      <c r="E415" s="134"/>
      <c r="F415" s="134"/>
      <c r="G415" s="135"/>
      <c r="H415" s="135"/>
      <c r="I415" s="135"/>
      <c r="J415" s="136"/>
      <c r="K415" s="134"/>
      <c r="L415" s="134"/>
      <c r="M415" s="134"/>
      <c r="N415" s="134"/>
      <c r="O415" s="134"/>
      <c r="P415" s="134"/>
      <c r="Q415" s="134"/>
      <c r="R415" s="134"/>
      <c r="S415" s="134"/>
    </row>
    <row r="416" spans="1:19" x14ac:dyDescent="0.25">
      <c r="A416" s="133"/>
      <c r="B416" s="134"/>
      <c r="C416" s="134"/>
      <c r="D416" s="134"/>
      <c r="E416" s="134"/>
      <c r="F416" s="134"/>
      <c r="G416" s="135"/>
      <c r="H416" s="135"/>
      <c r="I416" s="135"/>
      <c r="J416" s="136"/>
      <c r="K416" s="134"/>
      <c r="L416" s="134"/>
      <c r="M416" s="134"/>
      <c r="N416" s="134"/>
      <c r="O416" s="134"/>
      <c r="P416" s="134"/>
      <c r="Q416" s="134"/>
      <c r="R416" s="134"/>
      <c r="S416" s="134"/>
    </row>
    <row r="417" spans="1:19" x14ac:dyDescent="0.25">
      <c r="A417" s="133"/>
      <c r="B417" s="134"/>
      <c r="C417" s="134"/>
      <c r="D417" s="134"/>
      <c r="E417" s="134"/>
      <c r="F417" s="134"/>
      <c r="G417" s="135"/>
      <c r="H417" s="135"/>
      <c r="I417" s="135"/>
      <c r="J417" s="136"/>
      <c r="K417" s="134"/>
      <c r="L417" s="134"/>
      <c r="M417" s="134"/>
      <c r="N417" s="134"/>
      <c r="O417" s="134"/>
      <c r="P417" s="134"/>
      <c r="Q417" s="134"/>
      <c r="R417" s="134"/>
      <c r="S417" s="134"/>
    </row>
    <row r="418" spans="1:19" x14ac:dyDescent="0.25">
      <c r="A418" s="133"/>
      <c r="B418" s="134"/>
      <c r="C418" s="134"/>
      <c r="D418" s="134"/>
      <c r="E418" s="134"/>
      <c r="F418" s="134"/>
      <c r="G418" s="135"/>
      <c r="H418" s="135"/>
      <c r="I418" s="135"/>
      <c r="J418" s="136"/>
      <c r="K418" s="134"/>
      <c r="L418" s="134"/>
      <c r="M418" s="134"/>
      <c r="N418" s="134"/>
      <c r="O418" s="134"/>
      <c r="P418" s="134"/>
      <c r="Q418" s="134"/>
      <c r="R418" s="134"/>
      <c r="S418" s="134"/>
    </row>
    <row r="419" spans="1:19" x14ac:dyDescent="0.25">
      <c r="A419" s="133"/>
      <c r="B419" s="134"/>
      <c r="C419" s="134"/>
      <c r="D419" s="134"/>
      <c r="E419" s="134"/>
      <c r="F419" s="134"/>
      <c r="G419" s="135"/>
      <c r="H419" s="135"/>
      <c r="I419" s="135"/>
      <c r="J419" s="136"/>
      <c r="K419" s="134"/>
      <c r="L419" s="134"/>
      <c r="M419" s="134"/>
      <c r="N419" s="134"/>
      <c r="O419" s="134"/>
      <c r="P419" s="134"/>
      <c r="Q419" s="134"/>
      <c r="R419" s="134"/>
      <c r="S419" s="134"/>
    </row>
    <row r="420" spans="1:19" x14ac:dyDescent="0.25">
      <c r="A420" s="133"/>
      <c r="B420" s="134"/>
      <c r="C420" s="134"/>
      <c r="D420" s="134"/>
      <c r="E420" s="134"/>
      <c r="F420" s="134"/>
      <c r="G420" s="135"/>
      <c r="H420" s="135"/>
      <c r="I420" s="135"/>
      <c r="J420" s="136"/>
      <c r="K420" s="134"/>
      <c r="L420" s="134"/>
      <c r="M420" s="134"/>
      <c r="N420" s="134"/>
      <c r="O420" s="134"/>
      <c r="P420" s="134"/>
      <c r="Q420" s="134"/>
      <c r="R420" s="134"/>
      <c r="S420" s="134"/>
    </row>
    <row r="421" spans="1:19" x14ac:dyDescent="0.25">
      <c r="A421" s="133"/>
      <c r="B421" s="134"/>
      <c r="C421" s="134"/>
      <c r="D421" s="134"/>
      <c r="E421" s="134"/>
      <c r="F421" s="134"/>
      <c r="G421" s="135"/>
      <c r="H421" s="135"/>
      <c r="I421" s="135"/>
      <c r="J421" s="136"/>
      <c r="K421" s="134"/>
      <c r="L421" s="134"/>
      <c r="M421" s="134"/>
      <c r="N421" s="134"/>
      <c r="O421" s="134"/>
      <c r="P421" s="134"/>
      <c r="Q421" s="134"/>
      <c r="R421" s="134"/>
      <c r="S421" s="134"/>
    </row>
    <row r="422" spans="1:19" x14ac:dyDescent="0.25">
      <c r="A422" s="133"/>
      <c r="B422" s="134"/>
      <c r="C422" s="134"/>
      <c r="D422" s="134"/>
      <c r="E422" s="134"/>
      <c r="F422" s="134"/>
      <c r="G422" s="135"/>
      <c r="H422" s="135"/>
      <c r="I422" s="135"/>
      <c r="J422" s="136"/>
      <c r="K422" s="134"/>
      <c r="L422" s="134"/>
      <c r="M422" s="134"/>
      <c r="N422" s="134"/>
      <c r="O422" s="134"/>
      <c r="P422" s="134"/>
      <c r="Q422" s="134"/>
      <c r="R422" s="134"/>
      <c r="S422" s="134"/>
    </row>
    <row r="423" spans="1:19" x14ac:dyDescent="0.25">
      <c r="A423" s="133"/>
      <c r="B423" s="134"/>
      <c r="C423" s="134"/>
      <c r="D423" s="134"/>
      <c r="E423" s="134"/>
      <c r="F423" s="134"/>
      <c r="G423" s="135"/>
      <c r="H423" s="135"/>
      <c r="I423" s="135"/>
      <c r="J423" s="136"/>
      <c r="K423" s="134"/>
      <c r="L423" s="134"/>
      <c r="M423" s="134"/>
      <c r="N423" s="134"/>
      <c r="O423" s="134"/>
      <c r="P423" s="134"/>
      <c r="Q423" s="134"/>
      <c r="R423" s="134"/>
      <c r="S423" s="134"/>
    </row>
    <row r="424" spans="1:19" x14ac:dyDescent="0.25">
      <c r="A424" s="133"/>
      <c r="B424" s="134"/>
      <c r="C424" s="134"/>
      <c r="D424" s="134"/>
      <c r="E424" s="134"/>
      <c r="F424" s="134"/>
      <c r="G424" s="135"/>
      <c r="H424" s="135"/>
      <c r="I424" s="135"/>
      <c r="J424" s="136"/>
      <c r="K424" s="134"/>
      <c r="L424" s="134"/>
      <c r="M424" s="134"/>
      <c r="N424" s="134"/>
      <c r="O424" s="134"/>
      <c r="P424" s="134"/>
      <c r="Q424" s="134"/>
      <c r="R424" s="134"/>
      <c r="S424" s="134"/>
    </row>
    <row r="425" spans="1:19" x14ac:dyDescent="0.25">
      <c r="A425" s="133"/>
      <c r="B425" s="134"/>
      <c r="C425" s="134"/>
      <c r="D425" s="134"/>
      <c r="E425" s="134"/>
      <c r="F425" s="134"/>
      <c r="G425" s="135"/>
      <c r="H425" s="135"/>
      <c r="I425" s="135"/>
      <c r="J425" s="136"/>
      <c r="K425" s="134"/>
      <c r="L425" s="134"/>
      <c r="M425" s="134"/>
      <c r="N425" s="134"/>
      <c r="O425" s="134"/>
      <c r="P425" s="134"/>
      <c r="Q425" s="134"/>
      <c r="R425" s="134"/>
      <c r="S425" s="134"/>
    </row>
    <row r="426" spans="1:19" x14ac:dyDescent="0.25">
      <c r="A426" s="133"/>
      <c r="B426" s="134"/>
      <c r="C426" s="134"/>
      <c r="D426" s="134"/>
      <c r="E426" s="134"/>
      <c r="F426" s="134"/>
      <c r="G426" s="135"/>
      <c r="H426" s="135"/>
      <c r="I426" s="135"/>
      <c r="J426" s="136"/>
      <c r="K426" s="134"/>
      <c r="L426" s="134"/>
      <c r="M426" s="134"/>
      <c r="N426" s="134"/>
      <c r="O426" s="134"/>
      <c r="P426" s="134"/>
      <c r="Q426" s="134"/>
      <c r="R426" s="134"/>
      <c r="S426" s="134"/>
    </row>
    <row r="427" spans="1:19" x14ac:dyDescent="0.25">
      <c r="A427" s="133"/>
      <c r="B427" s="134"/>
      <c r="C427" s="134"/>
      <c r="D427" s="134"/>
      <c r="E427" s="134"/>
      <c r="F427" s="134"/>
      <c r="G427" s="135"/>
      <c r="H427" s="135"/>
      <c r="I427" s="135"/>
      <c r="J427" s="136"/>
      <c r="K427" s="134"/>
      <c r="L427" s="134"/>
      <c r="M427" s="134"/>
      <c r="N427" s="134"/>
      <c r="O427" s="134"/>
      <c r="P427" s="134"/>
      <c r="Q427" s="134"/>
      <c r="R427" s="134"/>
      <c r="S427" s="134"/>
    </row>
    <row r="428" spans="1:19" x14ac:dyDescent="0.25">
      <c r="A428" s="133"/>
      <c r="B428" s="134"/>
      <c r="C428" s="134"/>
      <c r="D428" s="134"/>
      <c r="E428" s="134"/>
      <c r="F428" s="134"/>
      <c r="G428" s="135"/>
      <c r="H428" s="135"/>
      <c r="I428" s="135"/>
      <c r="J428" s="136"/>
      <c r="K428" s="134"/>
      <c r="L428" s="134"/>
      <c r="M428" s="134"/>
      <c r="N428" s="134"/>
      <c r="O428" s="134"/>
      <c r="P428" s="134"/>
      <c r="Q428" s="134"/>
      <c r="R428" s="134"/>
      <c r="S428" s="134"/>
    </row>
    <row r="429" spans="1:19" x14ac:dyDescent="0.25">
      <c r="A429" s="133"/>
      <c r="B429" s="134"/>
      <c r="C429" s="134"/>
      <c r="D429" s="134"/>
      <c r="E429" s="134"/>
      <c r="F429" s="134"/>
      <c r="G429" s="135"/>
      <c r="H429" s="135"/>
      <c r="I429" s="135"/>
      <c r="J429" s="136"/>
      <c r="K429" s="134"/>
      <c r="L429" s="134"/>
      <c r="M429" s="134"/>
      <c r="N429" s="134"/>
      <c r="O429" s="134"/>
      <c r="P429" s="134"/>
      <c r="Q429" s="134"/>
      <c r="R429" s="134"/>
      <c r="S429" s="134"/>
    </row>
    <row r="430" spans="1:19" x14ac:dyDescent="0.25">
      <c r="A430" s="133"/>
      <c r="B430" s="134"/>
      <c r="C430" s="134"/>
      <c r="D430" s="134"/>
      <c r="E430" s="134"/>
      <c r="F430" s="134"/>
      <c r="G430" s="135"/>
      <c r="H430" s="135"/>
      <c r="I430" s="135"/>
      <c r="J430" s="136"/>
      <c r="K430" s="134"/>
      <c r="L430" s="134"/>
      <c r="M430" s="134"/>
      <c r="N430" s="134"/>
      <c r="O430" s="134"/>
      <c r="P430" s="134"/>
      <c r="Q430" s="134"/>
      <c r="R430" s="134"/>
      <c r="S430" s="134"/>
    </row>
    <row r="431" spans="1:19" x14ac:dyDescent="0.25">
      <c r="A431" s="133"/>
      <c r="B431" s="134"/>
      <c r="C431" s="134"/>
      <c r="D431" s="134"/>
      <c r="E431" s="134"/>
      <c r="F431" s="134"/>
      <c r="G431" s="135"/>
      <c r="H431" s="135"/>
      <c r="I431" s="135"/>
      <c r="J431" s="136"/>
      <c r="K431" s="134"/>
      <c r="L431" s="134"/>
      <c r="M431" s="134"/>
      <c r="N431" s="134"/>
      <c r="O431" s="134"/>
      <c r="P431" s="134"/>
      <c r="Q431" s="134"/>
      <c r="R431" s="134"/>
      <c r="S431" s="134"/>
    </row>
    <row r="432" spans="1:19" x14ac:dyDescent="0.25">
      <c r="A432" s="133"/>
      <c r="B432" s="134"/>
      <c r="C432" s="134"/>
      <c r="D432" s="134"/>
      <c r="E432" s="134"/>
      <c r="F432" s="134"/>
      <c r="G432" s="135"/>
      <c r="H432" s="135"/>
      <c r="I432" s="135"/>
      <c r="J432" s="136"/>
      <c r="K432" s="134"/>
      <c r="L432" s="134"/>
      <c r="M432" s="134"/>
      <c r="N432" s="134"/>
      <c r="O432" s="134"/>
      <c r="P432" s="134"/>
      <c r="Q432" s="134"/>
      <c r="R432" s="134"/>
      <c r="S432" s="134"/>
    </row>
    <row r="433" spans="1:19" x14ac:dyDescent="0.25">
      <c r="A433" s="133"/>
      <c r="B433" s="134"/>
      <c r="C433" s="134"/>
      <c r="D433" s="134"/>
      <c r="E433" s="134"/>
      <c r="F433" s="134"/>
      <c r="G433" s="135"/>
      <c r="H433" s="135"/>
      <c r="I433" s="135"/>
      <c r="J433" s="136"/>
      <c r="K433" s="134"/>
      <c r="L433" s="134"/>
      <c r="M433" s="134"/>
      <c r="N433" s="134"/>
      <c r="O433" s="134"/>
      <c r="P433" s="134"/>
      <c r="Q433" s="134"/>
      <c r="R433" s="134"/>
      <c r="S433" s="134"/>
    </row>
    <row r="434" spans="1:19" x14ac:dyDescent="0.25">
      <c r="A434" s="133"/>
      <c r="B434" s="134"/>
      <c r="C434" s="134"/>
      <c r="D434" s="134"/>
      <c r="E434" s="134"/>
      <c r="F434" s="134"/>
      <c r="G434" s="135"/>
      <c r="H434" s="135"/>
      <c r="I434" s="135"/>
      <c r="J434" s="136"/>
      <c r="K434" s="134"/>
      <c r="L434" s="134"/>
      <c r="M434" s="134"/>
      <c r="N434" s="134"/>
      <c r="O434" s="134"/>
      <c r="P434" s="134"/>
      <c r="Q434" s="134"/>
      <c r="R434" s="134"/>
      <c r="S434" s="134"/>
    </row>
    <row r="435" spans="1:19" x14ac:dyDescent="0.25">
      <c r="A435" s="133"/>
      <c r="B435" s="134"/>
      <c r="C435" s="134"/>
      <c r="D435" s="134"/>
      <c r="E435" s="134"/>
      <c r="F435" s="134"/>
      <c r="G435" s="135"/>
      <c r="H435" s="135"/>
      <c r="I435" s="135"/>
      <c r="J435" s="136"/>
      <c r="K435" s="134"/>
      <c r="L435" s="134"/>
      <c r="M435" s="134"/>
      <c r="N435" s="134"/>
      <c r="O435" s="134"/>
      <c r="P435" s="134"/>
      <c r="Q435" s="134"/>
      <c r="R435" s="134"/>
      <c r="S435" s="134"/>
    </row>
    <row r="436" spans="1:19" x14ac:dyDescent="0.25">
      <c r="A436" s="133"/>
      <c r="B436" s="134"/>
      <c r="C436" s="134"/>
      <c r="D436" s="134"/>
      <c r="E436" s="134"/>
      <c r="F436" s="134"/>
      <c r="G436" s="135"/>
      <c r="H436" s="135"/>
      <c r="I436" s="135"/>
      <c r="J436" s="136"/>
      <c r="K436" s="134"/>
      <c r="L436" s="134"/>
      <c r="M436" s="134"/>
      <c r="N436" s="134"/>
      <c r="O436" s="134"/>
      <c r="P436" s="134"/>
      <c r="Q436" s="134"/>
      <c r="R436" s="134"/>
      <c r="S436" s="134"/>
    </row>
    <row r="437" spans="1:19" x14ac:dyDescent="0.25">
      <c r="A437" s="133"/>
      <c r="B437" s="134"/>
      <c r="C437" s="134"/>
      <c r="D437" s="134"/>
      <c r="E437" s="134"/>
      <c r="F437" s="134"/>
      <c r="G437" s="135"/>
      <c r="H437" s="135"/>
      <c r="I437" s="135"/>
      <c r="J437" s="136"/>
      <c r="K437" s="134"/>
      <c r="L437" s="134"/>
      <c r="M437" s="134"/>
      <c r="N437" s="134"/>
      <c r="O437" s="134"/>
      <c r="P437" s="134"/>
      <c r="Q437" s="134"/>
      <c r="R437" s="134"/>
      <c r="S437" s="134"/>
    </row>
    <row r="438" spans="1:19" x14ac:dyDescent="0.25">
      <c r="A438" s="133"/>
      <c r="B438" s="134"/>
      <c r="C438" s="134"/>
      <c r="D438" s="134"/>
      <c r="E438" s="134"/>
      <c r="F438" s="134"/>
      <c r="G438" s="135"/>
      <c r="H438" s="135"/>
      <c r="I438" s="135"/>
      <c r="J438" s="136"/>
      <c r="K438" s="134"/>
      <c r="L438" s="134"/>
      <c r="M438" s="134"/>
      <c r="N438" s="134"/>
      <c r="O438" s="134"/>
      <c r="P438" s="134"/>
      <c r="Q438" s="134"/>
      <c r="R438" s="134"/>
      <c r="S438" s="134"/>
    </row>
    <row r="439" spans="1:19" x14ac:dyDescent="0.25">
      <c r="A439" s="133"/>
      <c r="B439" s="134"/>
      <c r="C439" s="134"/>
      <c r="D439" s="134"/>
      <c r="E439" s="134"/>
      <c r="F439" s="134"/>
      <c r="G439" s="135"/>
      <c r="H439" s="135"/>
      <c r="I439" s="135"/>
      <c r="J439" s="136"/>
      <c r="K439" s="134"/>
      <c r="L439" s="134"/>
      <c r="M439" s="134"/>
      <c r="N439" s="134"/>
      <c r="O439" s="134"/>
      <c r="P439" s="134"/>
      <c r="Q439" s="134"/>
      <c r="R439" s="134"/>
      <c r="S439" s="134"/>
    </row>
    <row r="440" spans="1:19" x14ac:dyDescent="0.25">
      <c r="A440" s="133"/>
      <c r="B440" s="134"/>
      <c r="C440" s="134"/>
      <c r="D440" s="134"/>
      <c r="E440" s="134"/>
      <c r="F440" s="134"/>
      <c r="G440" s="135"/>
      <c r="H440" s="135"/>
      <c r="I440" s="135"/>
      <c r="J440" s="136"/>
      <c r="K440" s="134"/>
      <c r="L440" s="134"/>
      <c r="M440" s="134"/>
      <c r="N440" s="134"/>
      <c r="O440" s="134"/>
      <c r="P440" s="134"/>
      <c r="Q440" s="134"/>
      <c r="R440" s="134"/>
      <c r="S440" s="134"/>
    </row>
    <row r="441" spans="1:19" x14ac:dyDescent="0.25">
      <c r="A441" s="133"/>
      <c r="B441" s="134"/>
      <c r="C441" s="134"/>
      <c r="D441" s="134"/>
      <c r="E441" s="134"/>
      <c r="F441" s="134"/>
      <c r="G441" s="135"/>
      <c r="H441" s="135"/>
      <c r="I441" s="135"/>
      <c r="J441" s="136"/>
      <c r="K441" s="134"/>
      <c r="L441" s="134"/>
      <c r="M441" s="134"/>
      <c r="N441" s="134"/>
      <c r="O441" s="134"/>
      <c r="P441" s="134"/>
      <c r="Q441" s="134"/>
      <c r="R441" s="134"/>
      <c r="S441" s="134"/>
    </row>
    <row r="442" spans="1:19" x14ac:dyDescent="0.25">
      <c r="A442" s="133"/>
      <c r="B442" s="134"/>
      <c r="C442" s="134"/>
      <c r="D442" s="134"/>
      <c r="E442" s="134"/>
      <c r="F442" s="134"/>
      <c r="G442" s="135"/>
      <c r="H442" s="135"/>
      <c r="I442" s="135"/>
      <c r="J442" s="136"/>
      <c r="K442" s="134"/>
      <c r="L442" s="134"/>
      <c r="M442" s="134"/>
      <c r="N442" s="134"/>
      <c r="O442" s="134"/>
      <c r="P442" s="134"/>
      <c r="Q442" s="134"/>
      <c r="R442" s="134"/>
      <c r="S442" s="134"/>
    </row>
    <row r="443" spans="1:19" x14ac:dyDescent="0.25">
      <c r="A443" s="133"/>
      <c r="B443" s="134"/>
      <c r="C443" s="134"/>
      <c r="D443" s="134"/>
      <c r="E443" s="134"/>
      <c r="F443" s="134"/>
      <c r="G443" s="135"/>
      <c r="H443" s="135"/>
      <c r="I443" s="135"/>
      <c r="J443" s="136"/>
      <c r="K443" s="134"/>
      <c r="L443" s="134"/>
      <c r="M443" s="134"/>
      <c r="N443" s="134"/>
      <c r="O443" s="134"/>
      <c r="P443" s="134"/>
      <c r="Q443" s="134"/>
      <c r="R443" s="134"/>
      <c r="S443" s="134"/>
    </row>
    <row r="444" spans="1:19" x14ac:dyDescent="0.25">
      <c r="A444" s="133"/>
      <c r="B444" s="134"/>
      <c r="C444" s="134"/>
      <c r="D444" s="134"/>
      <c r="E444" s="134"/>
      <c r="F444" s="134"/>
      <c r="G444" s="135"/>
      <c r="H444" s="135"/>
      <c r="I444" s="135"/>
      <c r="J444" s="136"/>
      <c r="K444" s="134"/>
      <c r="L444" s="134"/>
      <c r="M444" s="134"/>
      <c r="N444" s="134"/>
      <c r="O444" s="134"/>
      <c r="P444" s="134"/>
      <c r="Q444" s="134"/>
      <c r="R444" s="134"/>
      <c r="S444" s="134"/>
    </row>
    <row r="445" spans="1:19" x14ac:dyDescent="0.25">
      <c r="A445" s="133"/>
      <c r="B445" s="134"/>
      <c r="C445" s="134"/>
      <c r="D445" s="134"/>
      <c r="E445" s="134"/>
      <c r="F445" s="134"/>
      <c r="G445" s="135"/>
      <c r="H445" s="135"/>
      <c r="I445" s="135"/>
      <c r="J445" s="136"/>
      <c r="K445" s="134"/>
      <c r="L445" s="134"/>
      <c r="M445" s="134"/>
      <c r="N445" s="134"/>
      <c r="O445" s="134"/>
      <c r="P445" s="134"/>
      <c r="Q445" s="134"/>
      <c r="R445" s="134"/>
      <c r="S445" s="134"/>
    </row>
    <row r="446" spans="1:19" x14ac:dyDescent="0.25">
      <c r="A446" s="133"/>
      <c r="B446" s="134"/>
      <c r="C446" s="134"/>
      <c r="D446" s="134"/>
      <c r="E446" s="134"/>
      <c r="F446" s="134"/>
      <c r="G446" s="135"/>
      <c r="H446" s="135"/>
      <c r="I446" s="135"/>
      <c r="J446" s="136"/>
      <c r="K446" s="134"/>
      <c r="L446" s="134"/>
      <c r="M446" s="134"/>
      <c r="N446" s="134"/>
      <c r="O446" s="134"/>
      <c r="P446" s="134"/>
      <c r="Q446" s="134"/>
      <c r="R446" s="134"/>
      <c r="S446" s="134"/>
    </row>
    <row r="447" spans="1:19" x14ac:dyDescent="0.25">
      <c r="A447" s="133"/>
      <c r="B447" s="134"/>
      <c r="C447" s="134"/>
      <c r="D447" s="134"/>
      <c r="E447" s="134"/>
      <c r="F447" s="134"/>
      <c r="G447" s="135"/>
      <c r="H447" s="135"/>
      <c r="I447" s="135"/>
      <c r="J447" s="136"/>
      <c r="K447" s="134"/>
      <c r="L447" s="134"/>
      <c r="M447" s="134"/>
      <c r="N447" s="134"/>
      <c r="O447" s="134"/>
      <c r="P447" s="134"/>
      <c r="Q447" s="134"/>
      <c r="R447" s="134"/>
      <c r="S447" s="134"/>
    </row>
    <row r="448" spans="1:19" x14ac:dyDescent="0.25">
      <c r="A448" s="133"/>
      <c r="B448" s="134"/>
      <c r="C448" s="134"/>
      <c r="D448" s="134"/>
      <c r="E448" s="134"/>
      <c r="F448" s="134"/>
      <c r="G448" s="135"/>
      <c r="H448" s="135"/>
      <c r="I448" s="135"/>
      <c r="J448" s="136"/>
      <c r="K448" s="134"/>
      <c r="L448" s="134"/>
      <c r="M448" s="134"/>
      <c r="N448" s="134"/>
      <c r="O448" s="134"/>
      <c r="P448" s="134"/>
      <c r="Q448" s="134"/>
      <c r="R448" s="134"/>
      <c r="S448" s="134"/>
    </row>
    <row r="449" spans="1:19" x14ac:dyDescent="0.25">
      <c r="A449" s="133"/>
      <c r="B449" s="134"/>
      <c r="C449" s="134"/>
      <c r="D449" s="134"/>
      <c r="E449" s="134"/>
      <c r="F449" s="134"/>
      <c r="G449" s="135"/>
      <c r="H449" s="135"/>
      <c r="I449" s="135"/>
      <c r="J449" s="136"/>
      <c r="K449" s="134"/>
      <c r="L449" s="134"/>
      <c r="M449" s="134"/>
      <c r="N449" s="134"/>
      <c r="O449" s="134"/>
      <c r="P449" s="134"/>
      <c r="Q449" s="134"/>
      <c r="R449" s="134"/>
      <c r="S449" s="134"/>
    </row>
    <row r="450" spans="1:19" x14ac:dyDescent="0.25">
      <c r="A450" s="133"/>
      <c r="B450" s="134"/>
      <c r="C450" s="134"/>
      <c r="D450" s="134"/>
      <c r="E450" s="134"/>
      <c r="F450" s="134"/>
      <c r="G450" s="135"/>
      <c r="H450" s="135"/>
      <c r="I450" s="135"/>
      <c r="J450" s="136"/>
      <c r="K450" s="134"/>
      <c r="L450" s="134"/>
      <c r="M450" s="134"/>
      <c r="N450" s="134"/>
      <c r="O450" s="134"/>
      <c r="P450" s="134"/>
      <c r="Q450" s="134"/>
      <c r="R450" s="134"/>
      <c r="S450" s="134"/>
    </row>
    <row r="451" spans="1:19" x14ac:dyDescent="0.25">
      <c r="A451" s="133"/>
      <c r="B451" s="134"/>
      <c r="C451" s="134"/>
      <c r="D451" s="134"/>
      <c r="E451" s="134"/>
      <c r="F451" s="134"/>
      <c r="G451" s="135"/>
      <c r="H451" s="135"/>
      <c r="I451" s="135"/>
      <c r="J451" s="136"/>
      <c r="K451" s="134"/>
      <c r="L451" s="134"/>
      <c r="M451" s="134"/>
      <c r="N451" s="134"/>
      <c r="O451" s="134"/>
      <c r="P451" s="134"/>
      <c r="Q451" s="134"/>
      <c r="R451" s="134"/>
      <c r="S451" s="134"/>
    </row>
    <row r="452" spans="1:19" x14ac:dyDescent="0.25">
      <c r="A452" s="133"/>
      <c r="B452" s="134"/>
      <c r="C452" s="134"/>
      <c r="D452" s="134"/>
      <c r="E452" s="134"/>
      <c r="F452" s="134"/>
      <c r="G452" s="135"/>
      <c r="H452" s="135"/>
      <c r="I452" s="135"/>
      <c r="J452" s="136"/>
      <c r="K452" s="134"/>
      <c r="L452" s="134"/>
      <c r="M452" s="134"/>
      <c r="N452" s="134"/>
      <c r="O452" s="134"/>
      <c r="P452" s="134"/>
      <c r="Q452" s="134"/>
      <c r="R452" s="134"/>
      <c r="S452" s="134"/>
    </row>
    <row r="453" spans="1:19" x14ac:dyDescent="0.25">
      <c r="A453" s="133"/>
      <c r="B453" s="134"/>
      <c r="C453" s="134"/>
      <c r="D453" s="134"/>
      <c r="E453" s="134"/>
      <c r="F453" s="134"/>
      <c r="G453" s="135"/>
      <c r="H453" s="135"/>
      <c r="I453" s="135"/>
      <c r="J453" s="136"/>
      <c r="K453" s="134"/>
      <c r="L453" s="134"/>
      <c r="M453" s="134"/>
      <c r="N453" s="134"/>
      <c r="O453" s="134"/>
      <c r="P453" s="134"/>
      <c r="Q453" s="134"/>
      <c r="R453" s="134"/>
      <c r="S453" s="134"/>
    </row>
    <row r="454" spans="1:19" x14ac:dyDescent="0.25">
      <c r="A454" s="133"/>
      <c r="B454" s="134"/>
      <c r="C454" s="134"/>
      <c r="D454" s="134"/>
      <c r="E454" s="134"/>
      <c r="F454" s="134"/>
      <c r="G454" s="135"/>
      <c r="H454" s="135"/>
      <c r="I454" s="135"/>
      <c r="J454" s="136"/>
      <c r="K454" s="134"/>
      <c r="L454" s="134"/>
      <c r="M454" s="134"/>
      <c r="N454" s="134"/>
      <c r="O454" s="134"/>
      <c r="P454" s="134"/>
      <c r="Q454" s="134"/>
      <c r="R454" s="134"/>
      <c r="S454" s="134"/>
    </row>
    <row r="455" spans="1:19" x14ac:dyDescent="0.25">
      <c r="A455" s="133"/>
      <c r="B455" s="134"/>
      <c r="C455" s="134"/>
      <c r="D455" s="134"/>
      <c r="E455" s="134"/>
      <c r="F455" s="134"/>
      <c r="G455" s="135"/>
      <c r="H455" s="135"/>
      <c r="I455" s="135"/>
      <c r="J455" s="136"/>
      <c r="K455" s="134"/>
      <c r="L455" s="134"/>
      <c r="M455" s="134"/>
      <c r="N455" s="134"/>
      <c r="O455" s="134"/>
      <c r="P455" s="134"/>
      <c r="Q455" s="134"/>
      <c r="R455" s="134"/>
      <c r="S455" s="134"/>
    </row>
    <row r="456" spans="1:19" x14ac:dyDescent="0.25">
      <c r="A456" s="133"/>
      <c r="B456" s="134"/>
      <c r="C456" s="134"/>
      <c r="D456" s="134"/>
      <c r="E456" s="134"/>
      <c r="F456" s="134"/>
      <c r="G456" s="135"/>
      <c r="H456" s="135"/>
      <c r="I456" s="135"/>
      <c r="J456" s="136"/>
      <c r="K456" s="134"/>
      <c r="L456" s="134"/>
      <c r="M456" s="134"/>
      <c r="N456" s="134"/>
      <c r="O456" s="134"/>
      <c r="P456" s="134"/>
      <c r="Q456" s="134"/>
      <c r="R456" s="134"/>
      <c r="S456" s="134"/>
    </row>
    <row r="457" spans="1:19" x14ac:dyDescent="0.25">
      <c r="A457" s="133"/>
      <c r="B457" s="134"/>
      <c r="C457" s="134"/>
      <c r="D457" s="134"/>
      <c r="E457" s="134"/>
      <c r="F457" s="134"/>
      <c r="G457" s="135"/>
      <c r="H457" s="135"/>
      <c r="I457" s="135"/>
      <c r="J457" s="136"/>
      <c r="K457" s="134"/>
      <c r="L457" s="134"/>
      <c r="M457" s="134"/>
      <c r="N457" s="134"/>
      <c r="O457" s="134"/>
      <c r="P457" s="134"/>
      <c r="Q457" s="134"/>
      <c r="R457" s="134"/>
      <c r="S457" s="134"/>
    </row>
    <row r="458" spans="1:19" x14ac:dyDescent="0.25">
      <c r="A458" s="133"/>
      <c r="B458" s="134"/>
      <c r="C458" s="134"/>
      <c r="D458" s="134"/>
      <c r="E458" s="134"/>
      <c r="F458" s="134"/>
      <c r="G458" s="135"/>
      <c r="H458" s="135"/>
      <c r="I458" s="135"/>
      <c r="J458" s="136"/>
      <c r="K458" s="134"/>
      <c r="L458" s="134"/>
      <c r="M458" s="134"/>
      <c r="N458" s="134"/>
      <c r="O458" s="134"/>
      <c r="P458" s="134"/>
      <c r="Q458" s="134"/>
      <c r="R458" s="134"/>
      <c r="S458" s="134"/>
    </row>
    <row r="459" spans="1:19" x14ac:dyDescent="0.25">
      <c r="A459" s="133"/>
      <c r="B459" s="134"/>
      <c r="C459" s="134"/>
      <c r="D459" s="134"/>
      <c r="E459" s="134"/>
      <c r="F459" s="134"/>
      <c r="G459" s="135"/>
      <c r="H459" s="135"/>
      <c r="I459" s="135"/>
      <c r="J459" s="136"/>
      <c r="K459" s="134"/>
      <c r="L459" s="134"/>
      <c r="M459" s="134"/>
      <c r="N459" s="134"/>
      <c r="O459" s="134"/>
      <c r="P459" s="134"/>
      <c r="Q459" s="134"/>
      <c r="R459" s="134"/>
      <c r="S459" s="134"/>
    </row>
    <row r="460" spans="1:19" x14ac:dyDescent="0.25">
      <c r="A460" s="133"/>
      <c r="B460" s="134"/>
      <c r="C460" s="134"/>
      <c r="D460" s="134"/>
      <c r="E460" s="134"/>
      <c r="F460" s="134"/>
      <c r="G460" s="135"/>
      <c r="H460" s="135"/>
      <c r="I460" s="135"/>
      <c r="J460" s="136"/>
      <c r="K460" s="134"/>
      <c r="L460" s="134"/>
      <c r="M460" s="134"/>
      <c r="N460" s="134"/>
      <c r="O460" s="134"/>
      <c r="P460" s="134"/>
      <c r="Q460" s="134"/>
      <c r="R460" s="134"/>
      <c r="S460" s="134"/>
    </row>
    <row r="461" spans="1:19" x14ac:dyDescent="0.25">
      <c r="A461" s="133"/>
      <c r="B461" s="134"/>
      <c r="C461" s="134"/>
      <c r="D461" s="134"/>
      <c r="E461" s="134"/>
      <c r="F461" s="134"/>
      <c r="G461" s="135"/>
      <c r="H461" s="135"/>
      <c r="I461" s="135"/>
      <c r="J461" s="136"/>
      <c r="K461" s="134"/>
      <c r="L461" s="134"/>
      <c r="M461" s="134"/>
      <c r="N461" s="134"/>
      <c r="O461" s="134"/>
      <c r="P461" s="134"/>
      <c r="Q461" s="134"/>
      <c r="R461" s="134"/>
      <c r="S461" s="134"/>
    </row>
    <row r="462" spans="1:19" x14ac:dyDescent="0.25">
      <c r="A462" s="133"/>
      <c r="B462" s="134"/>
      <c r="C462" s="134"/>
      <c r="D462" s="134"/>
      <c r="E462" s="134"/>
      <c r="F462" s="134"/>
      <c r="G462" s="135"/>
      <c r="H462" s="135"/>
      <c r="I462" s="135"/>
      <c r="J462" s="136"/>
      <c r="K462" s="134"/>
      <c r="L462" s="134"/>
      <c r="M462" s="134"/>
      <c r="N462" s="134"/>
      <c r="O462" s="134"/>
      <c r="P462" s="134"/>
      <c r="Q462" s="134"/>
      <c r="R462" s="134"/>
      <c r="S462" s="134"/>
    </row>
    <row r="463" spans="1:19" x14ac:dyDescent="0.25">
      <c r="A463" s="133"/>
      <c r="B463" s="134"/>
      <c r="C463" s="134"/>
      <c r="D463" s="134"/>
      <c r="E463" s="134"/>
      <c r="F463" s="134"/>
      <c r="G463" s="135"/>
      <c r="H463" s="135"/>
      <c r="I463" s="135"/>
      <c r="J463" s="136"/>
      <c r="K463" s="134"/>
      <c r="L463" s="134"/>
      <c r="M463" s="134"/>
      <c r="N463" s="134"/>
      <c r="O463" s="134"/>
      <c r="P463" s="134"/>
      <c r="Q463" s="134"/>
      <c r="R463" s="134"/>
      <c r="S463" s="134"/>
    </row>
    <row r="464" spans="1:19" x14ac:dyDescent="0.25">
      <c r="A464" s="133"/>
      <c r="B464" s="134"/>
      <c r="C464" s="134"/>
      <c r="D464" s="134"/>
      <c r="E464" s="134"/>
      <c r="F464" s="134"/>
      <c r="G464" s="135"/>
      <c r="H464" s="135"/>
      <c r="I464" s="135"/>
      <c r="J464" s="136"/>
      <c r="K464" s="134"/>
      <c r="L464" s="134"/>
      <c r="M464" s="134"/>
      <c r="N464" s="134"/>
      <c r="O464" s="134"/>
      <c r="P464" s="134"/>
      <c r="Q464" s="134"/>
      <c r="R464" s="134"/>
      <c r="S464" s="134"/>
    </row>
    <row r="465" spans="1:19" x14ac:dyDescent="0.25">
      <c r="A465" s="133"/>
      <c r="B465" s="134"/>
      <c r="C465" s="134"/>
      <c r="D465" s="134"/>
      <c r="E465" s="134"/>
      <c r="F465" s="134"/>
      <c r="G465" s="135"/>
      <c r="H465" s="135"/>
      <c r="I465" s="135"/>
      <c r="J465" s="136"/>
      <c r="K465" s="134"/>
      <c r="L465" s="134"/>
      <c r="M465" s="134"/>
      <c r="N465" s="134"/>
      <c r="O465" s="134"/>
      <c r="P465" s="134"/>
      <c r="Q465" s="134"/>
      <c r="R465" s="134"/>
      <c r="S465" s="134"/>
    </row>
    <row r="466" spans="1:19" x14ac:dyDescent="0.25">
      <c r="A466" s="133"/>
      <c r="B466" s="134"/>
      <c r="C466" s="134"/>
      <c r="D466" s="134"/>
      <c r="E466" s="134"/>
      <c r="F466" s="134"/>
      <c r="G466" s="135"/>
      <c r="H466" s="135"/>
      <c r="I466" s="135"/>
      <c r="J466" s="136"/>
      <c r="K466" s="134"/>
      <c r="L466" s="134"/>
      <c r="M466" s="134"/>
      <c r="N466" s="134"/>
      <c r="O466" s="134"/>
      <c r="P466" s="134"/>
      <c r="Q466" s="134"/>
      <c r="R466" s="134"/>
      <c r="S466" s="134"/>
    </row>
    <row r="467" spans="1:19" x14ac:dyDescent="0.25">
      <c r="A467" s="133"/>
      <c r="B467" s="134"/>
      <c r="C467" s="134"/>
      <c r="D467" s="134"/>
      <c r="E467" s="134"/>
      <c r="F467" s="134"/>
      <c r="G467" s="135"/>
      <c r="H467" s="135"/>
      <c r="I467" s="135"/>
      <c r="J467" s="136"/>
      <c r="K467" s="134"/>
      <c r="L467" s="134"/>
      <c r="M467" s="134"/>
      <c r="N467" s="134"/>
      <c r="O467" s="134"/>
      <c r="P467" s="134"/>
      <c r="Q467" s="134"/>
      <c r="R467" s="134"/>
      <c r="S467" s="134"/>
    </row>
    <row r="468" spans="1:19" x14ac:dyDescent="0.25">
      <c r="A468" s="133"/>
      <c r="B468" s="134"/>
      <c r="C468" s="134"/>
      <c r="D468" s="134"/>
      <c r="E468" s="134"/>
      <c r="F468" s="134"/>
      <c r="G468" s="135"/>
      <c r="H468" s="135"/>
      <c r="I468" s="135"/>
      <c r="J468" s="136"/>
      <c r="K468" s="134"/>
      <c r="L468" s="134"/>
      <c r="M468" s="134"/>
      <c r="N468" s="134"/>
      <c r="O468" s="134"/>
      <c r="P468" s="134"/>
      <c r="Q468" s="134"/>
      <c r="R468" s="134"/>
      <c r="S468" s="134"/>
    </row>
    <row r="469" spans="1:19" x14ac:dyDescent="0.25">
      <c r="A469" s="133"/>
      <c r="B469" s="134"/>
      <c r="C469" s="134"/>
      <c r="D469" s="134"/>
      <c r="E469" s="134"/>
      <c r="F469" s="134"/>
      <c r="G469" s="135"/>
      <c r="H469" s="135"/>
      <c r="I469" s="135"/>
      <c r="J469" s="136"/>
      <c r="K469" s="134"/>
      <c r="L469" s="134"/>
      <c r="M469" s="134"/>
      <c r="N469" s="134"/>
      <c r="O469" s="134"/>
      <c r="P469" s="134"/>
      <c r="Q469" s="134"/>
      <c r="R469" s="134"/>
      <c r="S469" s="134"/>
    </row>
    <row r="470" spans="1:19" x14ac:dyDescent="0.25">
      <c r="A470" s="133"/>
      <c r="B470" s="134"/>
      <c r="C470" s="134"/>
      <c r="D470" s="134"/>
      <c r="E470" s="134"/>
      <c r="F470" s="134"/>
      <c r="G470" s="135"/>
      <c r="H470" s="135"/>
      <c r="I470" s="135"/>
      <c r="J470" s="136"/>
      <c r="K470" s="134"/>
      <c r="L470" s="134"/>
      <c r="M470" s="134"/>
      <c r="N470" s="134"/>
      <c r="O470" s="134"/>
      <c r="P470" s="134"/>
      <c r="Q470" s="134"/>
      <c r="R470" s="134"/>
      <c r="S470" s="134"/>
    </row>
    <row r="471" spans="1:19" x14ac:dyDescent="0.25">
      <c r="A471" s="133"/>
      <c r="B471" s="134"/>
      <c r="C471" s="134"/>
      <c r="D471" s="134"/>
      <c r="E471" s="134"/>
      <c r="F471" s="134"/>
      <c r="G471" s="135"/>
      <c r="H471" s="135"/>
      <c r="I471" s="135"/>
      <c r="J471" s="136"/>
      <c r="K471" s="134"/>
      <c r="L471" s="134"/>
      <c r="M471" s="134"/>
      <c r="N471" s="134"/>
      <c r="O471" s="134"/>
      <c r="P471" s="134"/>
      <c r="Q471" s="134"/>
      <c r="R471" s="134"/>
      <c r="S471" s="134"/>
    </row>
    <row r="472" spans="1:19" x14ac:dyDescent="0.25">
      <c r="A472" s="133"/>
      <c r="B472" s="134"/>
      <c r="C472" s="134"/>
      <c r="D472" s="134"/>
      <c r="E472" s="134"/>
      <c r="F472" s="134"/>
      <c r="G472" s="135"/>
      <c r="H472" s="135"/>
      <c r="I472" s="135"/>
      <c r="J472" s="136"/>
      <c r="K472" s="134"/>
      <c r="L472" s="134"/>
      <c r="M472" s="134"/>
      <c r="N472" s="134"/>
      <c r="O472" s="134"/>
      <c r="P472" s="134"/>
      <c r="Q472" s="134"/>
      <c r="R472" s="134"/>
      <c r="S472" s="134"/>
    </row>
    <row r="473" spans="1:19" x14ac:dyDescent="0.25">
      <c r="A473" s="133"/>
      <c r="B473" s="134"/>
      <c r="C473" s="134"/>
      <c r="D473" s="134"/>
      <c r="E473" s="134"/>
      <c r="F473" s="134"/>
      <c r="G473" s="135"/>
      <c r="H473" s="135"/>
      <c r="I473" s="135"/>
      <c r="J473" s="136"/>
      <c r="K473" s="134"/>
      <c r="L473" s="134"/>
      <c r="M473" s="134"/>
      <c r="N473" s="134"/>
      <c r="O473" s="134"/>
      <c r="P473" s="134"/>
      <c r="Q473" s="134"/>
      <c r="R473" s="134"/>
      <c r="S473" s="134"/>
    </row>
    <row r="474" spans="1:19" x14ac:dyDescent="0.25">
      <c r="A474" s="133"/>
      <c r="B474" s="134"/>
      <c r="C474" s="134"/>
      <c r="D474" s="134"/>
      <c r="E474" s="134"/>
      <c r="F474" s="134"/>
      <c r="G474" s="135"/>
      <c r="H474" s="135"/>
      <c r="I474" s="135"/>
      <c r="J474" s="136"/>
      <c r="K474" s="134"/>
      <c r="L474" s="134"/>
      <c r="M474" s="134"/>
      <c r="N474" s="134"/>
      <c r="O474" s="134"/>
      <c r="P474" s="134"/>
      <c r="Q474" s="134"/>
      <c r="R474" s="134"/>
      <c r="S474" s="134"/>
    </row>
    <row r="475" spans="1:19" x14ac:dyDescent="0.25">
      <c r="A475" s="133"/>
      <c r="B475" s="134"/>
      <c r="C475" s="134"/>
      <c r="D475" s="134"/>
      <c r="E475" s="134"/>
      <c r="F475" s="134"/>
      <c r="G475" s="135"/>
      <c r="H475" s="135"/>
      <c r="I475" s="135"/>
      <c r="J475" s="136"/>
      <c r="K475" s="134"/>
      <c r="L475" s="134"/>
      <c r="M475" s="134"/>
      <c r="N475" s="134"/>
      <c r="O475" s="134"/>
      <c r="P475" s="134"/>
      <c r="Q475" s="134"/>
      <c r="R475" s="134"/>
      <c r="S475" s="134"/>
    </row>
    <row r="476" spans="1:19" x14ac:dyDescent="0.25">
      <c r="A476" s="133"/>
      <c r="B476" s="134"/>
      <c r="C476" s="134"/>
      <c r="D476" s="134"/>
      <c r="E476" s="134"/>
      <c r="F476" s="134"/>
      <c r="G476" s="135"/>
      <c r="H476" s="135"/>
      <c r="I476" s="135"/>
      <c r="J476" s="136"/>
      <c r="K476" s="134"/>
      <c r="L476" s="134"/>
      <c r="M476" s="134"/>
      <c r="N476" s="134"/>
      <c r="O476" s="134"/>
      <c r="P476" s="134"/>
      <c r="Q476" s="134"/>
      <c r="R476" s="134"/>
      <c r="S476" s="134"/>
    </row>
    <row r="477" spans="1:19" x14ac:dyDescent="0.25">
      <c r="A477" s="133"/>
      <c r="B477" s="134"/>
      <c r="C477" s="134"/>
      <c r="D477" s="134"/>
      <c r="E477" s="134"/>
      <c r="F477" s="134"/>
      <c r="G477" s="135"/>
      <c r="H477" s="135"/>
      <c r="I477" s="135"/>
      <c r="J477" s="136"/>
      <c r="K477" s="134"/>
      <c r="L477" s="134"/>
      <c r="M477" s="134"/>
      <c r="N477" s="134"/>
      <c r="O477" s="134"/>
      <c r="P477" s="134"/>
      <c r="Q477" s="134"/>
      <c r="R477" s="134"/>
      <c r="S477" s="134"/>
    </row>
    <row r="478" spans="1:19" x14ac:dyDescent="0.25">
      <c r="A478" s="133"/>
      <c r="B478" s="134"/>
      <c r="C478" s="134"/>
      <c r="D478" s="134"/>
      <c r="E478" s="134"/>
      <c r="F478" s="134"/>
      <c r="G478" s="135"/>
      <c r="H478" s="135"/>
      <c r="I478" s="135"/>
      <c r="J478" s="136"/>
      <c r="K478" s="134"/>
      <c r="L478" s="134"/>
      <c r="M478" s="134"/>
      <c r="N478" s="134"/>
      <c r="O478" s="134"/>
      <c r="P478" s="134"/>
      <c r="Q478" s="134"/>
      <c r="R478" s="134"/>
      <c r="S478" s="134"/>
    </row>
    <row r="479" spans="1:19" x14ac:dyDescent="0.25">
      <c r="A479" s="133"/>
      <c r="B479" s="134"/>
      <c r="C479" s="134"/>
      <c r="D479" s="134"/>
      <c r="E479" s="134"/>
      <c r="F479" s="134"/>
      <c r="G479" s="135"/>
      <c r="H479" s="135"/>
      <c r="I479" s="135"/>
      <c r="J479" s="136"/>
      <c r="K479" s="134"/>
      <c r="L479" s="134"/>
      <c r="M479" s="134"/>
      <c r="N479" s="134"/>
      <c r="O479" s="134"/>
      <c r="P479" s="134"/>
      <c r="Q479" s="134"/>
      <c r="R479" s="134"/>
      <c r="S479" s="134"/>
    </row>
    <row r="480" spans="1:19" x14ac:dyDescent="0.25">
      <c r="A480" s="133"/>
      <c r="B480" s="134"/>
      <c r="C480" s="134"/>
      <c r="D480" s="134"/>
      <c r="E480" s="134"/>
      <c r="F480" s="134"/>
      <c r="G480" s="135"/>
      <c r="H480" s="135"/>
      <c r="I480" s="135"/>
      <c r="J480" s="136"/>
      <c r="K480" s="134"/>
      <c r="L480" s="134"/>
      <c r="M480" s="134"/>
      <c r="N480" s="134"/>
      <c r="O480" s="134"/>
      <c r="P480" s="134"/>
      <c r="Q480" s="134"/>
      <c r="R480" s="134"/>
      <c r="S480" s="134"/>
    </row>
    <row r="481" spans="1:19" x14ac:dyDescent="0.25">
      <c r="A481" s="133"/>
      <c r="B481" s="134"/>
      <c r="C481" s="134"/>
      <c r="D481" s="134"/>
      <c r="E481" s="134"/>
      <c r="F481" s="134"/>
      <c r="G481" s="135"/>
      <c r="H481" s="135"/>
      <c r="I481" s="135"/>
      <c r="J481" s="136"/>
      <c r="K481" s="134"/>
      <c r="L481" s="134"/>
      <c r="M481" s="134"/>
      <c r="N481" s="134"/>
      <c r="O481" s="134"/>
      <c r="P481" s="134"/>
      <c r="Q481" s="134"/>
      <c r="R481" s="134"/>
      <c r="S481" s="134"/>
    </row>
    <row r="482" spans="1:19" x14ac:dyDescent="0.25">
      <c r="A482" s="133"/>
      <c r="B482" s="134"/>
      <c r="C482" s="134"/>
      <c r="D482" s="134"/>
      <c r="E482" s="134"/>
      <c r="F482" s="134"/>
      <c r="G482" s="135"/>
      <c r="H482" s="135"/>
      <c r="I482" s="135"/>
      <c r="J482" s="136"/>
      <c r="K482" s="134"/>
      <c r="L482" s="134"/>
      <c r="M482" s="134"/>
      <c r="N482" s="134"/>
      <c r="O482" s="134"/>
      <c r="P482" s="134"/>
      <c r="Q482" s="134"/>
      <c r="R482" s="134"/>
      <c r="S482" s="134"/>
    </row>
    <row r="483" spans="1:19" x14ac:dyDescent="0.25">
      <c r="A483" s="133"/>
      <c r="B483" s="134"/>
      <c r="C483" s="134"/>
      <c r="D483" s="134"/>
      <c r="E483" s="134"/>
      <c r="F483" s="134"/>
      <c r="G483" s="135"/>
      <c r="H483" s="135"/>
      <c r="I483" s="135"/>
      <c r="J483" s="136"/>
      <c r="K483" s="134"/>
      <c r="L483" s="134"/>
      <c r="M483" s="134"/>
      <c r="N483" s="134"/>
      <c r="O483" s="134"/>
      <c r="P483" s="134"/>
      <c r="Q483" s="134"/>
      <c r="R483" s="134"/>
      <c r="S483" s="134"/>
    </row>
    <row r="484" spans="1:19" x14ac:dyDescent="0.25">
      <c r="A484" s="133"/>
      <c r="B484" s="134"/>
      <c r="C484" s="134"/>
      <c r="D484" s="134"/>
      <c r="E484" s="134"/>
      <c r="F484" s="134"/>
      <c r="G484" s="135"/>
      <c r="H484" s="135"/>
      <c r="I484" s="135"/>
      <c r="J484" s="136"/>
      <c r="K484" s="134"/>
      <c r="L484" s="134"/>
      <c r="M484" s="134"/>
      <c r="N484" s="134"/>
      <c r="O484" s="134"/>
      <c r="P484" s="134"/>
      <c r="Q484" s="134"/>
      <c r="R484" s="134"/>
      <c r="S484" s="134"/>
    </row>
    <row r="485" spans="1:19" x14ac:dyDescent="0.25">
      <c r="A485" s="133"/>
      <c r="B485" s="134"/>
      <c r="C485" s="134"/>
      <c r="D485" s="134"/>
      <c r="E485" s="134"/>
      <c r="F485" s="134"/>
      <c r="G485" s="135"/>
      <c r="H485" s="135"/>
      <c r="I485" s="135"/>
      <c r="J485" s="136"/>
      <c r="K485" s="134"/>
      <c r="L485" s="134"/>
      <c r="M485" s="134"/>
      <c r="N485" s="134"/>
      <c r="O485" s="134"/>
      <c r="P485" s="134"/>
      <c r="Q485" s="134"/>
      <c r="R485" s="134"/>
      <c r="S485" s="134"/>
    </row>
    <row r="486" spans="1:19" x14ac:dyDescent="0.25">
      <c r="A486" s="133"/>
      <c r="B486" s="134"/>
      <c r="C486" s="134"/>
      <c r="D486" s="134"/>
      <c r="E486" s="134"/>
      <c r="F486" s="134"/>
      <c r="G486" s="135"/>
      <c r="H486" s="135"/>
      <c r="I486" s="135"/>
      <c r="J486" s="136"/>
      <c r="K486" s="134"/>
      <c r="L486" s="134"/>
      <c r="M486" s="134"/>
      <c r="N486" s="134"/>
      <c r="O486" s="134"/>
      <c r="P486" s="134"/>
      <c r="Q486" s="134"/>
      <c r="R486" s="134"/>
      <c r="S486" s="134"/>
    </row>
    <row r="487" spans="1:19" x14ac:dyDescent="0.25">
      <c r="A487" s="133"/>
      <c r="B487" s="134"/>
      <c r="C487" s="134"/>
      <c r="D487" s="134"/>
      <c r="E487" s="134"/>
      <c r="F487" s="134"/>
      <c r="G487" s="135"/>
      <c r="H487" s="135"/>
      <c r="I487" s="135"/>
      <c r="J487" s="136"/>
      <c r="K487" s="134"/>
      <c r="L487" s="134"/>
      <c r="M487" s="134"/>
      <c r="N487" s="134"/>
      <c r="O487" s="134"/>
      <c r="P487" s="134"/>
      <c r="Q487" s="134"/>
      <c r="R487" s="134"/>
      <c r="S487" s="134"/>
    </row>
    <row r="488" spans="1:19" x14ac:dyDescent="0.25">
      <c r="A488" s="133"/>
      <c r="B488" s="134"/>
      <c r="C488" s="134"/>
      <c r="D488" s="134"/>
      <c r="E488" s="134"/>
      <c r="F488" s="134"/>
      <c r="G488" s="135"/>
      <c r="H488" s="135"/>
      <c r="I488" s="135"/>
      <c r="J488" s="136"/>
      <c r="K488" s="134"/>
      <c r="L488" s="134"/>
      <c r="M488" s="134"/>
      <c r="N488" s="134"/>
      <c r="O488" s="134"/>
      <c r="P488" s="134"/>
      <c r="Q488" s="134"/>
      <c r="R488" s="134"/>
      <c r="S488" s="134"/>
    </row>
    <row r="489" spans="1:19" x14ac:dyDescent="0.25">
      <c r="A489" s="133"/>
      <c r="B489" s="134"/>
      <c r="C489" s="134"/>
      <c r="D489" s="134"/>
      <c r="E489" s="134"/>
      <c r="F489" s="134"/>
      <c r="G489" s="135"/>
      <c r="H489" s="135"/>
      <c r="I489" s="135"/>
      <c r="J489" s="136"/>
      <c r="K489" s="134"/>
      <c r="L489" s="134"/>
      <c r="M489" s="134"/>
      <c r="N489" s="134"/>
      <c r="O489" s="134"/>
      <c r="P489" s="134"/>
      <c r="Q489" s="134"/>
      <c r="R489" s="134"/>
      <c r="S489" s="134"/>
    </row>
    <row r="490" spans="1:19" x14ac:dyDescent="0.25">
      <c r="A490" s="133"/>
      <c r="B490" s="134"/>
      <c r="C490" s="134"/>
      <c r="D490" s="134"/>
      <c r="E490" s="134"/>
      <c r="F490" s="134"/>
      <c r="G490" s="135"/>
      <c r="H490" s="135"/>
      <c r="I490" s="135"/>
      <c r="J490" s="136"/>
      <c r="K490" s="134"/>
      <c r="L490" s="134"/>
      <c r="M490" s="134"/>
      <c r="N490" s="134"/>
      <c r="O490" s="134"/>
      <c r="P490" s="134"/>
      <c r="Q490" s="134"/>
      <c r="R490" s="134"/>
      <c r="S490" s="134"/>
    </row>
    <row r="491" spans="1:19" x14ac:dyDescent="0.25">
      <c r="A491" s="133"/>
      <c r="B491" s="134"/>
      <c r="C491" s="134"/>
      <c r="D491" s="134"/>
      <c r="E491" s="134"/>
      <c r="F491" s="134"/>
      <c r="G491" s="135"/>
      <c r="H491" s="135"/>
      <c r="I491" s="135"/>
      <c r="J491" s="136"/>
      <c r="K491" s="134"/>
      <c r="L491" s="134"/>
      <c r="M491" s="134"/>
      <c r="N491" s="134"/>
      <c r="O491" s="134"/>
      <c r="P491" s="134"/>
      <c r="Q491" s="134"/>
      <c r="R491" s="134"/>
      <c r="S491" s="134"/>
    </row>
    <row r="492" spans="1:19" x14ac:dyDescent="0.25">
      <c r="A492" s="133"/>
      <c r="B492" s="134"/>
      <c r="C492" s="134"/>
      <c r="D492" s="134"/>
      <c r="E492" s="134"/>
      <c r="F492" s="134"/>
      <c r="G492" s="135"/>
      <c r="H492" s="135"/>
      <c r="I492" s="135"/>
      <c r="J492" s="136"/>
      <c r="K492" s="134"/>
      <c r="L492" s="134"/>
      <c r="M492" s="134"/>
      <c r="N492" s="134"/>
      <c r="O492" s="134"/>
      <c r="P492" s="134"/>
      <c r="Q492" s="134"/>
      <c r="R492" s="134"/>
      <c r="S492" s="134"/>
    </row>
    <row r="493" spans="1:19" x14ac:dyDescent="0.25">
      <c r="A493" s="133"/>
      <c r="B493" s="134"/>
      <c r="C493" s="134"/>
      <c r="D493" s="134"/>
      <c r="E493" s="134"/>
      <c r="F493" s="134"/>
      <c r="G493" s="135"/>
      <c r="H493" s="135"/>
      <c r="I493" s="135"/>
      <c r="J493" s="136"/>
      <c r="K493" s="134"/>
      <c r="L493" s="134"/>
      <c r="M493" s="134"/>
      <c r="N493" s="134"/>
      <c r="O493" s="134"/>
      <c r="P493" s="134"/>
      <c r="Q493" s="134"/>
      <c r="R493" s="134"/>
      <c r="S493" s="134"/>
    </row>
    <row r="494" spans="1:19" x14ac:dyDescent="0.25">
      <c r="A494" s="133"/>
      <c r="B494" s="134"/>
      <c r="C494" s="134"/>
      <c r="D494" s="134"/>
      <c r="E494" s="134"/>
      <c r="F494" s="134"/>
      <c r="G494" s="135"/>
      <c r="H494" s="135"/>
      <c r="I494" s="135"/>
      <c r="J494" s="136"/>
      <c r="K494" s="134"/>
      <c r="L494" s="134"/>
      <c r="M494" s="134"/>
      <c r="N494" s="134"/>
      <c r="O494" s="134"/>
      <c r="P494" s="134"/>
      <c r="Q494" s="134"/>
      <c r="R494" s="134"/>
      <c r="S494" s="134"/>
    </row>
    <row r="495" spans="1:19" x14ac:dyDescent="0.25">
      <c r="A495" s="133"/>
      <c r="B495" s="134"/>
      <c r="C495" s="134"/>
      <c r="D495" s="134"/>
      <c r="E495" s="134"/>
      <c r="F495" s="134"/>
      <c r="G495" s="135"/>
      <c r="H495" s="135"/>
      <c r="I495" s="135"/>
      <c r="J495" s="136"/>
      <c r="K495" s="134"/>
      <c r="L495" s="134"/>
      <c r="M495" s="134"/>
      <c r="N495" s="134"/>
      <c r="O495" s="134"/>
      <c r="P495" s="134"/>
      <c r="Q495" s="134"/>
      <c r="R495" s="134"/>
      <c r="S495" s="134"/>
    </row>
    <row r="496" spans="1:19" x14ac:dyDescent="0.25">
      <c r="A496" s="133"/>
      <c r="B496" s="134"/>
      <c r="C496" s="134"/>
      <c r="D496" s="134"/>
      <c r="E496" s="134"/>
      <c r="F496" s="134"/>
      <c r="G496" s="135"/>
      <c r="H496" s="135"/>
      <c r="I496" s="135"/>
      <c r="J496" s="136"/>
      <c r="K496" s="134"/>
      <c r="L496" s="134"/>
      <c r="M496" s="134"/>
      <c r="N496" s="134"/>
      <c r="O496" s="134"/>
      <c r="P496" s="134"/>
      <c r="Q496" s="134"/>
      <c r="R496" s="134"/>
      <c r="S496" s="134"/>
    </row>
    <row r="497" spans="1:19" x14ac:dyDescent="0.25">
      <c r="A497" s="133"/>
      <c r="B497" s="134"/>
      <c r="C497" s="134"/>
      <c r="D497" s="134"/>
      <c r="E497" s="134"/>
      <c r="F497" s="134"/>
      <c r="G497" s="135"/>
      <c r="H497" s="135"/>
      <c r="I497" s="135"/>
      <c r="J497" s="136"/>
      <c r="K497" s="134"/>
      <c r="L497" s="134"/>
      <c r="M497" s="134"/>
      <c r="N497" s="134"/>
      <c r="O497" s="134"/>
      <c r="P497" s="134"/>
      <c r="Q497" s="134"/>
      <c r="R497" s="134"/>
      <c r="S497" s="134"/>
    </row>
    <row r="498" spans="1:19" x14ac:dyDescent="0.25">
      <c r="A498" s="133"/>
      <c r="B498" s="134"/>
      <c r="C498" s="134"/>
      <c r="D498" s="134"/>
      <c r="E498" s="134"/>
      <c r="F498" s="134"/>
      <c r="G498" s="135"/>
      <c r="H498" s="135"/>
      <c r="I498" s="135"/>
      <c r="J498" s="136"/>
      <c r="K498" s="134"/>
      <c r="L498" s="134"/>
      <c r="M498" s="134"/>
      <c r="N498" s="134"/>
      <c r="O498" s="134"/>
      <c r="P498" s="134"/>
      <c r="Q498" s="134"/>
      <c r="R498" s="134"/>
      <c r="S498" s="134"/>
    </row>
    <row r="499" spans="1:19" x14ac:dyDescent="0.25">
      <c r="A499" s="133"/>
      <c r="B499" s="134"/>
      <c r="C499" s="134"/>
      <c r="D499" s="134"/>
      <c r="E499" s="134"/>
      <c r="F499" s="134"/>
      <c r="G499" s="135"/>
      <c r="H499" s="135"/>
      <c r="I499" s="135"/>
      <c r="J499" s="136"/>
      <c r="K499" s="134"/>
      <c r="L499" s="134"/>
      <c r="M499" s="134"/>
      <c r="N499" s="134"/>
      <c r="O499" s="134"/>
      <c r="P499" s="134"/>
      <c r="Q499" s="134"/>
      <c r="R499" s="134"/>
      <c r="S499" s="134"/>
    </row>
    <row r="500" spans="1:19" x14ac:dyDescent="0.25">
      <c r="A500" s="133"/>
      <c r="B500" s="134"/>
      <c r="C500" s="134"/>
      <c r="D500" s="134"/>
      <c r="E500" s="134"/>
      <c r="F500" s="134"/>
      <c r="G500" s="135"/>
      <c r="H500" s="135"/>
      <c r="I500" s="135"/>
      <c r="J500" s="136"/>
      <c r="K500" s="134"/>
      <c r="L500" s="134"/>
      <c r="M500" s="134"/>
      <c r="N500" s="134"/>
      <c r="O500" s="134"/>
      <c r="P500" s="134"/>
      <c r="Q500" s="134"/>
      <c r="R500" s="134"/>
      <c r="S500" s="134"/>
    </row>
    <row r="501" spans="1:19" x14ac:dyDescent="0.25">
      <c r="A501" s="133"/>
      <c r="B501" s="134"/>
      <c r="C501" s="134"/>
      <c r="D501" s="134"/>
      <c r="E501" s="134"/>
      <c r="F501" s="134"/>
      <c r="G501" s="135"/>
      <c r="H501" s="135"/>
      <c r="I501" s="135"/>
      <c r="J501" s="136"/>
      <c r="K501" s="134"/>
      <c r="L501" s="134"/>
      <c r="M501" s="134"/>
      <c r="N501" s="134"/>
      <c r="O501" s="134"/>
      <c r="P501" s="134"/>
      <c r="Q501" s="134"/>
      <c r="R501" s="134"/>
      <c r="S501" s="134"/>
    </row>
    <row r="502" spans="1:19" x14ac:dyDescent="0.25">
      <c r="A502" s="133"/>
      <c r="B502" s="134"/>
      <c r="C502" s="134"/>
      <c r="D502" s="134"/>
      <c r="E502" s="134"/>
      <c r="F502" s="134"/>
      <c r="G502" s="135"/>
      <c r="H502" s="135"/>
      <c r="I502" s="135"/>
      <c r="J502" s="136"/>
      <c r="K502" s="134"/>
      <c r="L502" s="134"/>
      <c r="M502" s="134"/>
      <c r="N502" s="134"/>
      <c r="O502" s="134"/>
      <c r="P502" s="134"/>
      <c r="Q502" s="134"/>
      <c r="R502" s="134"/>
      <c r="S502" s="134"/>
    </row>
    <row r="503" spans="1:19" x14ac:dyDescent="0.25">
      <c r="A503" s="133"/>
      <c r="B503" s="134"/>
      <c r="C503" s="134"/>
      <c r="D503" s="134"/>
      <c r="E503" s="134"/>
      <c r="F503" s="134"/>
      <c r="G503" s="135"/>
      <c r="H503" s="135"/>
      <c r="I503" s="135"/>
      <c r="J503" s="136"/>
      <c r="K503" s="134"/>
      <c r="L503" s="134"/>
      <c r="M503" s="134"/>
      <c r="N503" s="134"/>
      <c r="O503" s="134"/>
      <c r="P503" s="134"/>
      <c r="Q503" s="134"/>
      <c r="R503" s="134"/>
      <c r="S503" s="134"/>
    </row>
    <row r="504" spans="1:19" x14ac:dyDescent="0.25">
      <c r="A504" s="133"/>
      <c r="B504" s="134"/>
      <c r="C504" s="134"/>
      <c r="D504" s="134"/>
      <c r="E504" s="134"/>
      <c r="F504" s="134"/>
      <c r="G504" s="135"/>
      <c r="H504" s="135"/>
      <c r="I504" s="135"/>
      <c r="J504" s="136"/>
      <c r="K504" s="134"/>
      <c r="L504" s="134"/>
      <c r="M504" s="134"/>
      <c r="N504" s="134"/>
      <c r="O504" s="134"/>
      <c r="P504" s="134"/>
      <c r="Q504" s="134"/>
      <c r="R504" s="134"/>
      <c r="S504" s="134"/>
    </row>
    <row r="505" spans="1:19" x14ac:dyDescent="0.25">
      <c r="A505" s="133"/>
      <c r="B505" s="134"/>
      <c r="C505" s="134"/>
      <c r="D505" s="134"/>
      <c r="E505" s="134"/>
      <c r="F505" s="134"/>
      <c r="G505" s="135"/>
      <c r="H505" s="135"/>
      <c r="I505" s="135"/>
      <c r="J505" s="136"/>
      <c r="K505" s="134"/>
      <c r="L505" s="134"/>
      <c r="M505" s="134"/>
      <c r="N505" s="134"/>
      <c r="O505" s="134"/>
      <c r="P505" s="134"/>
      <c r="Q505" s="134"/>
      <c r="R505" s="134"/>
      <c r="S505" s="134"/>
    </row>
    <row r="506" spans="1:19" x14ac:dyDescent="0.25">
      <c r="A506" s="133"/>
      <c r="B506" s="134"/>
      <c r="C506" s="134"/>
      <c r="D506" s="134"/>
      <c r="E506" s="134"/>
      <c r="F506" s="134"/>
      <c r="G506" s="135"/>
      <c r="H506" s="135"/>
      <c r="I506" s="135"/>
      <c r="J506" s="136"/>
      <c r="K506" s="134"/>
      <c r="L506" s="134"/>
      <c r="M506" s="134"/>
      <c r="N506" s="134"/>
      <c r="O506" s="134"/>
      <c r="P506" s="134"/>
      <c r="Q506" s="134"/>
      <c r="R506" s="134"/>
      <c r="S506" s="134"/>
    </row>
    <row r="507" spans="1:19" x14ac:dyDescent="0.25">
      <c r="A507" s="133"/>
      <c r="B507" s="134"/>
      <c r="C507" s="134"/>
      <c r="D507" s="134"/>
      <c r="E507" s="134"/>
      <c r="F507" s="134"/>
      <c r="G507" s="135"/>
      <c r="H507" s="135"/>
      <c r="I507" s="135"/>
      <c r="J507" s="136"/>
      <c r="K507" s="134"/>
      <c r="L507" s="134"/>
      <c r="M507" s="134"/>
      <c r="N507" s="134"/>
      <c r="O507" s="134"/>
      <c r="P507" s="134"/>
      <c r="Q507" s="134"/>
      <c r="R507" s="134"/>
      <c r="S507" s="134"/>
    </row>
    <row r="508" spans="1:19" x14ac:dyDescent="0.25">
      <c r="A508" s="133"/>
      <c r="B508" s="134"/>
      <c r="C508" s="134"/>
      <c r="D508" s="134"/>
      <c r="E508" s="134"/>
      <c r="F508" s="134"/>
      <c r="G508" s="135"/>
      <c r="H508" s="135"/>
      <c r="I508" s="135"/>
      <c r="J508" s="136"/>
      <c r="K508" s="134"/>
      <c r="L508" s="134"/>
      <c r="M508" s="134"/>
      <c r="N508" s="134"/>
      <c r="O508" s="134"/>
      <c r="P508" s="134"/>
      <c r="Q508" s="134"/>
      <c r="R508" s="134"/>
      <c r="S508" s="134"/>
    </row>
    <row r="509" spans="1:19" x14ac:dyDescent="0.25">
      <c r="A509" s="133"/>
      <c r="B509" s="134"/>
      <c r="C509" s="134"/>
      <c r="D509" s="134"/>
      <c r="E509" s="134"/>
      <c r="F509" s="134"/>
      <c r="G509" s="135"/>
      <c r="H509" s="135"/>
      <c r="I509" s="135"/>
      <c r="J509" s="136"/>
      <c r="K509" s="134"/>
      <c r="L509" s="134"/>
      <c r="M509" s="134"/>
      <c r="N509" s="134"/>
      <c r="O509" s="134"/>
      <c r="P509" s="134"/>
      <c r="Q509" s="134"/>
      <c r="R509" s="134"/>
      <c r="S509" s="134"/>
    </row>
    <row r="510" spans="1:19" x14ac:dyDescent="0.25">
      <c r="A510" s="133"/>
      <c r="B510" s="134"/>
      <c r="C510" s="134"/>
      <c r="D510" s="134"/>
      <c r="E510" s="134"/>
      <c r="F510" s="134"/>
      <c r="G510" s="135"/>
      <c r="H510" s="135"/>
      <c r="I510" s="135"/>
      <c r="J510" s="136"/>
      <c r="K510" s="134"/>
      <c r="L510" s="134"/>
      <c r="M510" s="134"/>
      <c r="N510" s="134"/>
      <c r="O510" s="134"/>
      <c r="P510" s="134"/>
      <c r="Q510" s="134"/>
      <c r="R510" s="134"/>
      <c r="S510" s="134"/>
    </row>
    <row r="511" spans="1:19" x14ac:dyDescent="0.25">
      <c r="A511" s="133"/>
      <c r="B511" s="134"/>
      <c r="C511" s="134"/>
      <c r="D511" s="134"/>
      <c r="E511" s="134"/>
      <c r="F511" s="134"/>
      <c r="G511" s="135"/>
      <c r="H511" s="135"/>
      <c r="I511" s="135"/>
      <c r="J511" s="136"/>
      <c r="K511" s="134"/>
      <c r="L511" s="134"/>
      <c r="M511" s="134"/>
      <c r="N511" s="134"/>
      <c r="O511" s="134"/>
      <c r="P511" s="134"/>
      <c r="Q511" s="134"/>
      <c r="R511" s="134"/>
      <c r="S511" s="134"/>
    </row>
    <row r="512" spans="1:19" x14ac:dyDescent="0.25">
      <c r="A512" s="133"/>
      <c r="B512" s="134"/>
      <c r="C512" s="134"/>
      <c r="D512" s="134"/>
      <c r="E512" s="134"/>
      <c r="F512" s="134"/>
      <c r="G512" s="135"/>
      <c r="H512" s="135"/>
      <c r="I512" s="135"/>
      <c r="J512" s="136"/>
      <c r="K512" s="134"/>
      <c r="L512" s="134"/>
      <c r="M512" s="134"/>
      <c r="N512" s="134"/>
      <c r="O512" s="134"/>
      <c r="P512" s="134"/>
      <c r="Q512" s="134"/>
      <c r="R512" s="134"/>
      <c r="S512" s="134"/>
    </row>
    <row r="513" spans="1:19" x14ac:dyDescent="0.25">
      <c r="A513" s="133"/>
      <c r="B513" s="134"/>
      <c r="C513" s="134"/>
      <c r="D513" s="134"/>
      <c r="E513" s="134"/>
      <c r="F513" s="134"/>
      <c r="G513" s="135"/>
      <c r="H513" s="135"/>
      <c r="I513" s="135"/>
      <c r="J513" s="136"/>
      <c r="K513" s="134"/>
      <c r="L513" s="134"/>
      <c r="M513" s="134"/>
      <c r="N513" s="134"/>
      <c r="O513" s="134"/>
      <c r="P513" s="134"/>
      <c r="Q513" s="134"/>
      <c r="R513" s="134"/>
      <c r="S513" s="134"/>
    </row>
    <row r="514" spans="1:19" x14ac:dyDescent="0.25">
      <c r="A514" s="133"/>
      <c r="B514" s="134"/>
      <c r="C514" s="134"/>
      <c r="D514" s="134"/>
      <c r="E514" s="134"/>
      <c r="F514" s="134"/>
      <c r="G514" s="135"/>
      <c r="H514" s="135"/>
      <c r="I514" s="135"/>
      <c r="J514" s="136"/>
      <c r="K514" s="134"/>
      <c r="L514" s="134"/>
      <c r="M514" s="134"/>
      <c r="N514" s="134"/>
      <c r="O514" s="134"/>
      <c r="P514" s="134"/>
      <c r="Q514" s="134"/>
      <c r="R514" s="134"/>
      <c r="S514" s="134"/>
    </row>
    <row r="515" spans="1:19" x14ac:dyDescent="0.25">
      <c r="A515" s="133"/>
      <c r="B515" s="134"/>
      <c r="C515" s="134"/>
      <c r="D515" s="134"/>
      <c r="E515" s="134"/>
      <c r="F515" s="134"/>
      <c r="G515" s="135"/>
      <c r="H515" s="135"/>
      <c r="I515" s="135"/>
      <c r="J515" s="136"/>
      <c r="K515" s="134"/>
      <c r="L515" s="134"/>
      <c r="M515" s="134"/>
      <c r="N515" s="134"/>
      <c r="O515" s="134"/>
      <c r="P515" s="134"/>
      <c r="Q515" s="134"/>
      <c r="R515" s="134"/>
      <c r="S515" s="134"/>
    </row>
    <row r="516" spans="1:19" x14ac:dyDescent="0.25">
      <c r="A516" s="133"/>
      <c r="B516" s="134"/>
      <c r="C516" s="134"/>
      <c r="D516" s="134"/>
      <c r="E516" s="134"/>
      <c r="F516" s="134"/>
      <c r="G516" s="135"/>
      <c r="H516" s="135"/>
      <c r="I516" s="135"/>
      <c r="J516" s="136"/>
      <c r="K516" s="134"/>
      <c r="L516" s="134"/>
      <c r="M516" s="134"/>
      <c r="N516" s="134"/>
      <c r="O516" s="134"/>
      <c r="P516" s="134"/>
      <c r="Q516" s="134"/>
      <c r="R516" s="134"/>
      <c r="S516" s="134"/>
    </row>
    <row r="517" spans="1:19" x14ac:dyDescent="0.25">
      <c r="A517" s="133"/>
      <c r="B517" s="134"/>
      <c r="C517" s="134"/>
      <c r="D517" s="134"/>
      <c r="E517" s="134"/>
      <c r="F517" s="134"/>
      <c r="G517" s="135"/>
      <c r="H517" s="135"/>
      <c r="I517" s="135"/>
      <c r="J517" s="136"/>
      <c r="K517" s="134"/>
      <c r="L517" s="134"/>
      <c r="M517" s="134"/>
      <c r="N517" s="134"/>
      <c r="O517" s="134"/>
      <c r="P517" s="134"/>
      <c r="Q517" s="134"/>
      <c r="R517" s="134"/>
      <c r="S517" s="134"/>
    </row>
    <row r="518" spans="1:19" x14ac:dyDescent="0.25">
      <c r="A518" s="133"/>
      <c r="B518" s="134"/>
      <c r="C518" s="134"/>
      <c r="D518" s="134"/>
      <c r="E518" s="134"/>
      <c r="F518" s="134"/>
      <c r="G518" s="135"/>
      <c r="H518" s="135"/>
      <c r="I518" s="135"/>
      <c r="J518" s="136"/>
      <c r="K518" s="134"/>
      <c r="L518" s="134"/>
      <c r="M518" s="134"/>
      <c r="N518" s="134"/>
      <c r="O518" s="134"/>
      <c r="P518" s="134"/>
      <c r="Q518" s="134"/>
      <c r="R518" s="134"/>
      <c r="S518" s="134"/>
    </row>
    <row r="519" spans="1:19" x14ac:dyDescent="0.25">
      <c r="A519" s="133"/>
      <c r="B519" s="134"/>
      <c r="C519" s="134"/>
      <c r="D519" s="134"/>
      <c r="E519" s="134"/>
      <c r="F519" s="134"/>
      <c r="G519" s="135"/>
      <c r="H519" s="135"/>
      <c r="I519" s="135"/>
      <c r="J519" s="136"/>
      <c r="K519" s="134"/>
      <c r="L519" s="134"/>
      <c r="M519" s="134"/>
      <c r="N519" s="134"/>
      <c r="O519" s="134"/>
      <c r="P519" s="134"/>
      <c r="Q519" s="134"/>
      <c r="R519" s="134"/>
      <c r="S519" s="134"/>
    </row>
    <row r="520" spans="1:19" x14ac:dyDescent="0.25">
      <c r="A520" s="133"/>
      <c r="B520" s="134"/>
      <c r="C520" s="134"/>
      <c r="D520" s="134"/>
      <c r="E520" s="134"/>
      <c r="F520" s="134"/>
      <c r="G520" s="135"/>
      <c r="H520" s="135"/>
      <c r="I520" s="135"/>
      <c r="J520" s="136"/>
      <c r="K520" s="134"/>
      <c r="L520" s="134"/>
      <c r="M520" s="134"/>
      <c r="N520" s="134"/>
      <c r="O520" s="134"/>
      <c r="P520" s="134"/>
      <c r="Q520" s="134"/>
      <c r="R520" s="134"/>
      <c r="S520" s="134"/>
    </row>
    <row r="521" spans="1:19" x14ac:dyDescent="0.25">
      <c r="A521" s="133"/>
      <c r="B521" s="134"/>
      <c r="C521" s="134"/>
      <c r="D521" s="134"/>
      <c r="E521" s="134"/>
      <c r="F521" s="134"/>
      <c r="G521" s="135"/>
      <c r="H521" s="135"/>
      <c r="I521" s="135"/>
      <c r="J521" s="136"/>
      <c r="K521" s="134"/>
      <c r="L521" s="134"/>
      <c r="M521" s="134"/>
      <c r="N521" s="134"/>
      <c r="O521" s="134"/>
      <c r="P521" s="134"/>
      <c r="Q521" s="134"/>
      <c r="R521" s="134"/>
      <c r="S521" s="134"/>
    </row>
    <row r="522" spans="1:19" x14ac:dyDescent="0.25">
      <c r="A522" s="133"/>
      <c r="B522" s="134"/>
      <c r="C522" s="134"/>
      <c r="D522" s="134"/>
      <c r="E522" s="134"/>
      <c r="F522" s="134"/>
      <c r="G522" s="135"/>
      <c r="H522" s="135"/>
      <c r="I522" s="135"/>
      <c r="J522" s="136"/>
      <c r="K522" s="134"/>
      <c r="L522" s="134"/>
      <c r="M522" s="134"/>
      <c r="N522" s="134"/>
      <c r="O522" s="134"/>
      <c r="P522" s="134"/>
      <c r="Q522" s="134"/>
      <c r="R522" s="134"/>
      <c r="S522" s="134"/>
    </row>
    <row r="523" spans="1:19" x14ac:dyDescent="0.25">
      <c r="A523" s="133"/>
      <c r="B523" s="134"/>
      <c r="C523" s="134"/>
      <c r="D523" s="134"/>
      <c r="E523" s="134"/>
      <c r="F523" s="134"/>
      <c r="G523" s="135"/>
      <c r="H523" s="135"/>
      <c r="I523" s="135"/>
      <c r="J523" s="136"/>
      <c r="K523" s="134"/>
      <c r="L523" s="134"/>
      <c r="M523" s="134"/>
      <c r="N523" s="134"/>
      <c r="O523" s="134"/>
      <c r="P523" s="134"/>
      <c r="Q523" s="134"/>
      <c r="R523" s="134"/>
      <c r="S523" s="134"/>
    </row>
    <row r="524" spans="1:19" x14ac:dyDescent="0.25">
      <c r="A524" s="133"/>
      <c r="B524" s="134"/>
      <c r="C524" s="134"/>
      <c r="D524" s="134"/>
      <c r="E524" s="134"/>
      <c r="F524" s="134"/>
      <c r="G524" s="135"/>
      <c r="H524" s="135"/>
      <c r="I524" s="135"/>
      <c r="J524" s="136"/>
      <c r="K524" s="134"/>
      <c r="L524" s="134"/>
      <c r="M524" s="134"/>
      <c r="N524" s="134"/>
      <c r="O524" s="134"/>
      <c r="P524" s="134"/>
      <c r="Q524" s="134"/>
      <c r="R524" s="134"/>
      <c r="S524" s="134"/>
    </row>
    <row r="525" spans="1:19" x14ac:dyDescent="0.25">
      <c r="A525" s="133"/>
      <c r="B525" s="134"/>
      <c r="C525" s="134"/>
      <c r="D525" s="134"/>
      <c r="E525" s="134"/>
      <c r="F525" s="134"/>
      <c r="G525" s="135"/>
      <c r="H525" s="135"/>
      <c r="I525" s="135"/>
      <c r="J525" s="136"/>
      <c r="K525" s="134"/>
      <c r="L525" s="134"/>
      <c r="M525" s="134"/>
      <c r="N525" s="134"/>
      <c r="O525" s="134"/>
      <c r="P525" s="134"/>
      <c r="Q525" s="134"/>
      <c r="R525" s="134"/>
      <c r="S525" s="134"/>
    </row>
    <row r="526" spans="1:19" x14ac:dyDescent="0.25">
      <c r="A526" s="133"/>
      <c r="B526" s="134"/>
      <c r="C526" s="134"/>
      <c r="D526" s="134"/>
      <c r="E526" s="134"/>
      <c r="F526" s="134"/>
      <c r="G526" s="135"/>
      <c r="H526" s="135"/>
      <c r="I526" s="135"/>
      <c r="J526" s="136"/>
      <c r="K526" s="134"/>
      <c r="L526" s="134"/>
      <c r="M526" s="134"/>
      <c r="N526" s="134"/>
      <c r="O526" s="134"/>
      <c r="P526" s="134"/>
      <c r="Q526" s="134"/>
      <c r="R526" s="134"/>
      <c r="S526" s="134"/>
    </row>
    <row r="527" spans="1:19" x14ac:dyDescent="0.25">
      <c r="A527" s="133"/>
      <c r="B527" s="134"/>
      <c r="C527" s="134"/>
      <c r="D527" s="134"/>
      <c r="E527" s="134"/>
      <c r="F527" s="134"/>
      <c r="G527" s="135"/>
      <c r="H527" s="135"/>
      <c r="I527" s="135"/>
      <c r="J527" s="136"/>
      <c r="K527" s="134"/>
      <c r="L527" s="134"/>
      <c r="M527" s="134"/>
      <c r="N527" s="134"/>
      <c r="O527" s="134"/>
      <c r="P527" s="134"/>
      <c r="Q527" s="134"/>
      <c r="R527" s="134"/>
      <c r="S527" s="134"/>
    </row>
    <row r="528" spans="1:19" x14ac:dyDescent="0.25">
      <c r="A528" s="133"/>
      <c r="B528" s="134"/>
      <c r="C528" s="134"/>
      <c r="D528" s="134"/>
      <c r="E528" s="134"/>
      <c r="F528" s="134"/>
      <c r="G528" s="135"/>
      <c r="H528" s="135"/>
      <c r="I528" s="135"/>
      <c r="J528" s="136"/>
      <c r="K528" s="134"/>
      <c r="L528" s="134"/>
      <c r="M528" s="134"/>
      <c r="N528" s="134"/>
      <c r="O528" s="134"/>
      <c r="P528" s="134"/>
      <c r="Q528" s="134"/>
      <c r="R528" s="134"/>
      <c r="S528" s="134"/>
    </row>
    <row r="529" spans="1:19" x14ac:dyDescent="0.25">
      <c r="A529" s="133"/>
      <c r="B529" s="134"/>
      <c r="C529" s="134"/>
      <c r="D529" s="134"/>
      <c r="E529" s="134"/>
      <c r="F529" s="134"/>
      <c r="G529" s="135"/>
      <c r="H529" s="135"/>
      <c r="I529" s="135"/>
      <c r="J529" s="136"/>
      <c r="K529" s="134"/>
      <c r="L529" s="134"/>
      <c r="M529" s="134"/>
      <c r="N529" s="134"/>
      <c r="O529" s="134"/>
      <c r="P529" s="134"/>
      <c r="Q529" s="134"/>
      <c r="R529" s="134"/>
      <c r="S529" s="134"/>
    </row>
    <row r="530" spans="1:19" x14ac:dyDescent="0.25">
      <c r="A530" s="133"/>
      <c r="B530" s="134"/>
      <c r="C530" s="134"/>
      <c r="D530" s="134"/>
      <c r="E530" s="134"/>
      <c r="F530" s="134"/>
      <c r="G530" s="135"/>
      <c r="H530" s="135"/>
      <c r="I530" s="135"/>
      <c r="J530" s="136"/>
      <c r="K530" s="134"/>
      <c r="L530" s="134"/>
      <c r="M530" s="134"/>
      <c r="N530" s="134"/>
      <c r="O530" s="134"/>
      <c r="P530" s="134"/>
      <c r="Q530" s="134"/>
      <c r="R530" s="134"/>
      <c r="S530" s="134"/>
    </row>
    <row r="531" spans="1:19" x14ac:dyDescent="0.25">
      <c r="A531" s="133"/>
      <c r="B531" s="134"/>
      <c r="C531" s="134"/>
      <c r="D531" s="134"/>
      <c r="E531" s="134"/>
      <c r="F531" s="134"/>
      <c r="G531" s="135"/>
      <c r="H531" s="135"/>
      <c r="I531" s="135"/>
      <c r="J531" s="136"/>
      <c r="K531" s="134"/>
      <c r="L531" s="134"/>
      <c r="M531" s="134"/>
      <c r="N531" s="134"/>
      <c r="O531" s="134"/>
      <c r="P531" s="134"/>
      <c r="Q531" s="134"/>
      <c r="R531" s="134"/>
      <c r="S531" s="134"/>
    </row>
    <row r="532" spans="1:19" x14ac:dyDescent="0.25">
      <c r="A532" s="133"/>
      <c r="B532" s="134"/>
      <c r="C532" s="134"/>
      <c r="D532" s="134"/>
      <c r="E532" s="134"/>
      <c r="F532" s="134"/>
      <c r="G532" s="135"/>
      <c r="H532" s="135"/>
      <c r="I532" s="135"/>
      <c r="J532" s="136"/>
      <c r="K532" s="134"/>
      <c r="L532" s="134"/>
      <c r="M532" s="134"/>
      <c r="N532" s="134"/>
      <c r="O532" s="134"/>
      <c r="P532" s="134"/>
      <c r="Q532" s="134"/>
      <c r="R532" s="134"/>
      <c r="S532" s="134"/>
    </row>
    <row r="533" spans="1:19" x14ac:dyDescent="0.25">
      <c r="A533" s="133"/>
      <c r="B533" s="134"/>
      <c r="C533" s="134"/>
      <c r="D533" s="134"/>
      <c r="E533" s="134"/>
      <c r="F533" s="134"/>
      <c r="G533" s="135"/>
      <c r="H533" s="135"/>
      <c r="I533" s="135"/>
      <c r="J533" s="136"/>
      <c r="K533" s="134"/>
      <c r="L533" s="134"/>
      <c r="M533" s="134"/>
      <c r="N533" s="134"/>
      <c r="O533" s="134"/>
      <c r="P533" s="134"/>
      <c r="Q533" s="134"/>
      <c r="R533" s="134"/>
      <c r="S533" s="134"/>
    </row>
    <row r="534" spans="1:19" x14ac:dyDescent="0.25">
      <c r="A534" s="133"/>
      <c r="B534" s="134"/>
      <c r="C534" s="134"/>
      <c r="D534" s="134"/>
      <c r="E534" s="134"/>
      <c r="F534" s="134"/>
      <c r="G534" s="135"/>
      <c r="H534" s="135"/>
      <c r="I534" s="135"/>
      <c r="J534" s="136"/>
      <c r="K534" s="134"/>
      <c r="L534" s="134"/>
      <c r="M534" s="134"/>
      <c r="N534" s="134"/>
      <c r="O534" s="134"/>
      <c r="P534" s="134"/>
      <c r="Q534" s="134"/>
      <c r="R534" s="134"/>
      <c r="S534" s="134"/>
    </row>
    <row r="535" spans="1:19" x14ac:dyDescent="0.25">
      <c r="A535" s="133"/>
      <c r="B535" s="134"/>
      <c r="C535" s="134"/>
      <c r="D535" s="134"/>
      <c r="E535" s="134"/>
      <c r="F535" s="134"/>
      <c r="G535" s="135"/>
      <c r="H535" s="135"/>
      <c r="I535" s="135"/>
      <c r="J535" s="136"/>
      <c r="K535" s="134"/>
      <c r="L535" s="134"/>
      <c r="M535" s="134"/>
      <c r="N535" s="134"/>
      <c r="O535" s="134"/>
      <c r="P535" s="134"/>
      <c r="Q535" s="134"/>
      <c r="R535" s="134"/>
      <c r="S535" s="134"/>
    </row>
    <row r="536" spans="1:19" x14ac:dyDescent="0.25">
      <c r="A536" s="133"/>
      <c r="B536" s="134"/>
      <c r="C536" s="134"/>
      <c r="D536" s="134"/>
      <c r="E536" s="134"/>
      <c r="F536" s="134"/>
      <c r="G536" s="135"/>
      <c r="H536" s="135"/>
      <c r="I536" s="135"/>
      <c r="J536" s="136"/>
      <c r="K536" s="134"/>
      <c r="L536" s="134"/>
      <c r="M536" s="134"/>
      <c r="N536" s="134"/>
      <c r="O536" s="134"/>
      <c r="P536" s="134"/>
      <c r="Q536" s="134"/>
      <c r="R536" s="134"/>
      <c r="S536" s="134"/>
    </row>
    <row r="537" spans="1:19" x14ac:dyDescent="0.25">
      <c r="A537" s="133"/>
      <c r="B537" s="134"/>
      <c r="C537" s="134"/>
      <c r="D537" s="134"/>
      <c r="E537" s="134"/>
      <c r="F537" s="134"/>
      <c r="G537" s="135"/>
      <c r="H537" s="135"/>
      <c r="I537" s="135"/>
      <c r="J537" s="136"/>
      <c r="K537" s="134"/>
      <c r="L537" s="134"/>
      <c r="M537" s="134"/>
      <c r="N537" s="134"/>
      <c r="O537" s="134"/>
      <c r="P537" s="134"/>
      <c r="Q537" s="134"/>
      <c r="R537" s="134"/>
      <c r="S537" s="134"/>
    </row>
    <row r="538" spans="1:19" x14ac:dyDescent="0.25">
      <c r="A538" s="133"/>
      <c r="B538" s="134"/>
      <c r="C538" s="134"/>
      <c r="D538" s="134"/>
      <c r="E538" s="134"/>
      <c r="F538" s="134"/>
      <c r="G538" s="135"/>
      <c r="H538" s="135"/>
      <c r="I538" s="135"/>
      <c r="J538" s="136"/>
      <c r="K538" s="134"/>
      <c r="L538" s="134"/>
      <c r="M538" s="134"/>
      <c r="N538" s="134"/>
      <c r="O538" s="134"/>
      <c r="P538" s="134"/>
      <c r="Q538" s="134"/>
      <c r="R538" s="134"/>
      <c r="S538" s="134"/>
    </row>
    <row r="539" spans="1:19" x14ac:dyDescent="0.25">
      <c r="A539" s="133"/>
      <c r="B539" s="134"/>
      <c r="C539" s="134"/>
      <c r="D539" s="134"/>
      <c r="E539" s="134"/>
      <c r="F539" s="134"/>
      <c r="G539" s="135"/>
      <c r="H539" s="135"/>
      <c r="I539" s="135"/>
      <c r="J539" s="136"/>
      <c r="K539" s="134"/>
      <c r="L539" s="134"/>
      <c r="M539" s="134"/>
      <c r="N539" s="134"/>
      <c r="O539" s="134"/>
      <c r="P539" s="134"/>
      <c r="Q539" s="134"/>
      <c r="R539" s="134"/>
      <c r="S539" s="134"/>
    </row>
    <row r="540" spans="1:19" x14ac:dyDescent="0.25">
      <c r="A540" s="133"/>
      <c r="B540" s="134"/>
      <c r="C540" s="134"/>
      <c r="D540" s="134"/>
      <c r="E540" s="134"/>
      <c r="F540" s="134"/>
      <c r="G540" s="135"/>
      <c r="H540" s="135"/>
      <c r="I540" s="135"/>
      <c r="J540" s="136"/>
      <c r="K540" s="134"/>
      <c r="L540" s="134"/>
      <c r="M540" s="134"/>
      <c r="N540" s="134"/>
      <c r="O540" s="134"/>
      <c r="P540" s="134"/>
      <c r="Q540" s="134"/>
      <c r="R540" s="134"/>
      <c r="S540" s="134"/>
    </row>
    <row r="541" spans="1:19" x14ac:dyDescent="0.25">
      <c r="A541" s="133"/>
      <c r="B541" s="134"/>
      <c r="C541" s="134"/>
      <c r="D541" s="134"/>
      <c r="E541" s="134"/>
      <c r="F541" s="134"/>
      <c r="G541" s="135"/>
      <c r="H541" s="135"/>
      <c r="I541" s="135"/>
      <c r="J541" s="136"/>
      <c r="K541" s="134"/>
      <c r="L541" s="134"/>
      <c r="M541" s="134"/>
      <c r="N541" s="134"/>
      <c r="O541" s="134"/>
      <c r="P541" s="134"/>
      <c r="Q541" s="134"/>
      <c r="R541" s="134"/>
      <c r="S541" s="134"/>
    </row>
    <row r="542" spans="1:19" x14ac:dyDescent="0.25">
      <c r="A542" s="133"/>
      <c r="B542" s="134"/>
      <c r="C542" s="134"/>
      <c r="D542" s="134"/>
      <c r="E542" s="134"/>
      <c r="F542" s="134"/>
      <c r="G542" s="135"/>
      <c r="H542" s="135"/>
      <c r="I542" s="135"/>
      <c r="J542" s="136"/>
      <c r="K542" s="134"/>
      <c r="L542" s="134"/>
      <c r="M542" s="134"/>
      <c r="N542" s="134"/>
      <c r="O542" s="134"/>
      <c r="P542" s="134"/>
      <c r="Q542" s="134"/>
      <c r="R542" s="134"/>
      <c r="S542" s="134"/>
    </row>
    <row r="543" spans="1:19" x14ac:dyDescent="0.25">
      <c r="A543" s="133"/>
      <c r="B543" s="134"/>
      <c r="C543" s="134"/>
      <c r="D543" s="134"/>
      <c r="E543" s="134"/>
      <c r="F543" s="134"/>
      <c r="G543" s="135"/>
      <c r="H543" s="135"/>
      <c r="I543" s="135"/>
      <c r="J543" s="136"/>
      <c r="K543" s="134"/>
      <c r="L543" s="134"/>
      <c r="M543" s="134"/>
      <c r="N543" s="134"/>
      <c r="O543" s="134"/>
      <c r="P543" s="134"/>
      <c r="Q543" s="134"/>
      <c r="R543" s="134"/>
      <c r="S543" s="134"/>
    </row>
    <row r="544" spans="1:19" x14ac:dyDescent="0.25">
      <c r="A544" s="133"/>
      <c r="B544" s="134"/>
      <c r="C544" s="134"/>
      <c r="D544" s="134"/>
      <c r="E544" s="134"/>
      <c r="F544" s="134"/>
      <c r="G544" s="135"/>
      <c r="H544" s="135"/>
      <c r="I544" s="135"/>
      <c r="J544" s="136"/>
      <c r="K544" s="134"/>
      <c r="L544" s="134"/>
      <c r="M544" s="134"/>
      <c r="N544" s="134"/>
      <c r="O544" s="134"/>
      <c r="P544" s="134"/>
      <c r="Q544" s="134"/>
      <c r="R544" s="134"/>
      <c r="S544" s="134"/>
    </row>
    <row r="545" spans="1:19" x14ac:dyDescent="0.25">
      <c r="A545" s="133"/>
      <c r="B545" s="134"/>
      <c r="C545" s="134"/>
      <c r="D545" s="134"/>
      <c r="E545" s="134"/>
      <c r="F545" s="134"/>
      <c r="G545" s="135"/>
      <c r="H545" s="135"/>
      <c r="I545" s="135"/>
      <c r="J545" s="136"/>
      <c r="K545" s="134"/>
      <c r="L545" s="134"/>
      <c r="M545" s="134"/>
      <c r="N545" s="134"/>
      <c r="O545" s="134"/>
      <c r="P545" s="134"/>
      <c r="Q545" s="134"/>
      <c r="R545" s="134"/>
      <c r="S545" s="134"/>
    </row>
    <row r="546" spans="1:19" x14ac:dyDescent="0.25">
      <c r="A546" s="133"/>
      <c r="B546" s="134"/>
      <c r="C546" s="134"/>
      <c r="D546" s="134"/>
      <c r="E546" s="134"/>
      <c r="F546" s="134"/>
      <c r="G546" s="135"/>
      <c r="H546" s="135"/>
      <c r="I546" s="135"/>
      <c r="J546" s="136"/>
      <c r="K546" s="134"/>
      <c r="L546" s="134"/>
      <c r="M546" s="134"/>
      <c r="N546" s="134"/>
      <c r="O546" s="134"/>
      <c r="P546" s="134"/>
      <c r="Q546" s="134"/>
      <c r="R546" s="134"/>
      <c r="S546" s="134"/>
    </row>
    <row r="547" spans="1:19" x14ac:dyDescent="0.25">
      <c r="A547" s="133"/>
      <c r="B547" s="134"/>
      <c r="C547" s="134"/>
      <c r="D547" s="134"/>
      <c r="E547" s="134"/>
      <c r="F547" s="134"/>
      <c r="G547" s="135"/>
      <c r="H547" s="135"/>
      <c r="I547" s="135"/>
      <c r="J547" s="136"/>
      <c r="K547" s="134"/>
      <c r="L547" s="134"/>
      <c r="M547" s="134"/>
      <c r="N547" s="134"/>
      <c r="O547" s="134"/>
      <c r="P547" s="134"/>
      <c r="Q547" s="134"/>
      <c r="R547" s="134"/>
      <c r="S547" s="134"/>
    </row>
    <row r="548" spans="1:19" x14ac:dyDescent="0.25">
      <c r="A548" s="133"/>
      <c r="B548" s="134"/>
      <c r="C548" s="134"/>
      <c r="D548" s="134"/>
      <c r="E548" s="134"/>
      <c r="F548" s="134"/>
      <c r="G548" s="135"/>
      <c r="H548" s="135"/>
      <c r="I548" s="135"/>
      <c r="J548" s="136"/>
      <c r="K548" s="134"/>
      <c r="L548" s="134"/>
      <c r="M548" s="134"/>
      <c r="N548" s="134"/>
      <c r="O548" s="134"/>
      <c r="P548" s="134"/>
      <c r="Q548" s="134"/>
      <c r="R548" s="134"/>
      <c r="S548" s="134"/>
    </row>
    <row r="549" spans="1:19" x14ac:dyDescent="0.25">
      <c r="A549" s="133"/>
      <c r="B549" s="134"/>
      <c r="C549" s="134"/>
      <c r="D549" s="134"/>
      <c r="E549" s="134"/>
      <c r="F549" s="134"/>
      <c r="G549" s="135"/>
      <c r="H549" s="135"/>
      <c r="I549" s="135"/>
      <c r="J549" s="136"/>
      <c r="K549" s="134"/>
      <c r="L549" s="134"/>
      <c r="M549" s="134"/>
      <c r="N549" s="134"/>
      <c r="O549" s="134"/>
      <c r="P549" s="134"/>
      <c r="Q549" s="134"/>
      <c r="R549" s="134"/>
      <c r="S549" s="134"/>
    </row>
    <row r="550" spans="1:19" x14ac:dyDescent="0.25">
      <c r="A550" s="133"/>
      <c r="B550" s="134"/>
      <c r="C550" s="134"/>
      <c r="D550" s="134"/>
      <c r="E550" s="134"/>
      <c r="F550" s="134"/>
      <c r="G550" s="135"/>
      <c r="H550" s="135"/>
      <c r="I550" s="135"/>
      <c r="J550" s="136"/>
      <c r="K550" s="134"/>
      <c r="L550" s="134"/>
      <c r="M550" s="134"/>
      <c r="N550" s="134"/>
      <c r="O550" s="134"/>
      <c r="P550" s="134"/>
      <c r="Q550" s="134"/>
      <c r="R550" s="134"/>
      <c r="S550" s="134"/>
    </row>
    <row r="551" spans="1:19" x14ac:dyDescent="0.25">
      <c r="A551" s="133"/>
      <c r="B551" s="134"/>
      <c r="C551" s="134"/>
      <c r="D551" s="134"/>
      <c r="E551" s="134"/>
      <c r="F551" s="134"/>
      <c r="G551" s="135"/>
      <c r="H551" s="135"/>
      <c r="I551" s="135"/>
      <c r="J551" s="136"/>
      <c r="K551" s="134"/>
      <c r="L551" s="134"/>
      <c r="M551" s="134"/>
      <c r="N551" s="134"/>
      <c r="O551" s="134"/>
      <c r="P551" s="134"/>
      <c r="Q551" s="134"/>
      <c r="R551" s="134"/>
      <c r="S551" s="134"/>
    </row>
    <row r="552" spans="1:19" x14ac:dyDescent="0.25">
      <c r="A552" s="133"/>
      <c r="B552" s="134"/>
      <c r="C552" s="134"/>
      <c r="D552" s="134"/>
      <c r="E552" s="134"/>
      <c r="F552" s="134"/>
      <c r="G552" s="135"/>
      <c r="H552" s="135"/>
      <c r="I552" s="135"/>
      <c r="J552" s="136"/>
      <c r="K552" s="134"/>
      <c r="L552" s="134"/>
      <c r="M552" s="134"/>
      <c r="N552" s="134"/>
      <c r="O552" s="134"/>
      <c r="P552" s="134"/>
      <c r="Q552" s="134"/>
      <c r="R552" s="134"/>
      <c r="S552" s="134"/>
    </row>
    <row r="553" spans="1:19" x14ac:dyDescent="0.25">
      <c r="A553" s="133"/>
      <c r="B553" s="134"/>
      <c r="C553" s="134"/>
      <c r="D553" s="134"/>
      <c r="E553" s="134"/>
      <c r="F553" s="134"/>
      <c r="G553" s="135"/>
      <c r="H553" s="135"/>
      <c r="I553" s="135"/>
      <c r="J553" s="136"/>
      <c r="K553" s="134"/>
      <c r="L553" s="134"/>
      <c r="M553" s="134"/>
      <c r="N553" s="134"/>
      <c r="O553" s="134"/>
      <c r="P553" s="134"/>
      <c r="Q553" s="134"/>
      <c r="R553" s="134"/>
      <c r="S553" s="134"/>
    </row>
    <row r="554" spans="1:19" x14ac:dyDescent="0.25">
      <c r="A554" s="133"/>
      <c r="B554" s="134"/>
      <c r="C554" s="134"/>
      <c r="D554" s="134"/>
      <c r="E554" s="134"/>
      <c r="F554" s="134"/>
      <c r="G554" s="135"/>
      <c r="H554" s="135"/>
      <c r="I554" s="135"/>
      <c r="J554" s="136"/>
      <c r="K554" s="134"/>
      <c r="L554" s="134"/>
      <c r="M554" s="134"/>
      <c r="N554" s="134"/>
      <c r="O554" s="134"/>
      <c r="P554" s="134"/>
      <c r="Q554" s="134"/>
      <c r="R554" s="134"/>
      <c r="S554" s="134"/>
    </row>
    <row r="555" spans="1:19" x14ac:dyDescent="0.25">
      <c r="A555" s="133"/>
      <c r="B555" s="134"/>
      <c r="C555" s="134"/>
      <c r="D555" s="134"/>
      <c r="E555" s="134"/>
      <c r="F555" s="134"/>
      <c r="G555" s="135"/>
      <c r="H555" s="135"/>
      <c r="I555" s="135"/>
      <c r="J555" s="136"/>
      <c r="K555" s="134"/>
      <c r="L555" s="134"/>
      <c r="M555" s="134"/>
      <c r="N555" s="134"/>
      <c r="O555" s="134"/>
      <c r="P555" s="134"/>
      <c r="Q555" s="134"/>
      <c r="R555" s="134"/>
      <c r="S555" s="134"/>
    </row>
    <row r="556" spans="1:19" x14ac:dyDescent="0.25">
      <c r="A556" s="133"/>
      <c r="B556" s="134"/>
      <c r="C556" s="134"/>
      <c r="D556" s="134"/>
      <c r="E556" s="134"/>
      <c r="F556" s="134"/>
      <c r="G556" s="135"/>
      <c r="H556" s="135"/>
      <c r="I556" s="135"/>
      <c r="J556" s="136"/>
      <c r="K556" s="134"/>
      <c r="L556" s="134"/>
      <c r="M556" s="134"/>
      <c r="N556" s="134"/>
      <c r="O556" s="134"/>
      <c r="P556" s="134"/>
      <c r="Q556" s="134"/>
      <c r="R556" s="134"/>
      <c r="S556" s="134"/>
    </row>
    <row r="557" spans="1:19" x14ac:dyDescent="0.25">
      <c r="A557" s="133"/>
      <c r="B557" s="134"/>
      <c r="C557" s="134"/>
      <c r="D557" s="134"/>
      <c r="E557" s="134"/>
      <c r="F557" s="134"/>
      <c r="G557" s="135"/>
      <c r="H557" s="135"/>
      <c r="I557" s="135"/>
      <c r="J557" s="136"/>
      <c r="K557" s="134"/>
      <c r="L557" s="134"/>
      <c r="M557" s="134"/>
      <c r="N557" s="134"/>
      <c r="O557" s="134"/>
      <c r="P557" s="134"/>
      <c r="Q557" s="134"/>
      <c r="R557" s="134"/>
      <c r="S557" s="134"/>
    </row>
    <row r="558" spans="1:19" x14ac:dyDescent="0.25">
      <c r="A558" s="133"/>
      <c r="B558" s="134"/>
      <c r="C558" s="134"/>
      <c r="D558" s="134"/>
      <c r="E558" s="134"/>
      <c r="F558" s="134"/>
      <c r="G558" s="135"/>
      <c r="H558" s="135"/>
      <c r="I558" s="135"/>
      <c r="J558" s="136"/>
      <c r="K558" s="134"/>
      <c r="L558" s="134"/>
      <c r="M558" s="134"/>
      <c r="N558" s="134"/>
      <c r="O558" s="134"/>
      <c r="P558" s="134"/>
      <c r="Q558" s="134"/>
      <c r="R558" s="134"/>
      <c r="S558" s="134"/>
    </row>
    <row r="559" spans="1:19" x14ac:dyDescent="0.25">
      <c r="A559" s="133"/>
      <c r="B559" s="134"/>
      <c r="C559" s="134"/>
      <c r="D559" s="134"/>
      <c r="E559" s="134"/>
      <c r="F559" s="134"/>
      <c r="G559" s="135"/>
      <c r="H559" s="135"/>
      <c r="I559" s="135"/>
      <c r="J559" s="136"/>
      <c r="K559" s="134"/>
      <c r="L559" s="134"/>
      <c r="M559" s="134"/>
      <c r="N559" s="134"/>
      <c r="O559" s="134"/>
      <c r="P559" s="134"/>
      <c r="Q559" s="134"/>
      <c r="R559" s="134"/>
      <c r="S559" s="134"/>
    </row>
    <row r="560" spans="1:19" x14ac:dyDescent="0.25">
      <c r="A560" s="133"/>
      <c r="B560" s="134"/>
      <c r="C560" s="134"/>
      <c r="D560" s="134"/>
      <c r="E560" s="134"/>
      <c r="F560" s="134"/>
      <c r="G560" s="135"/>
      <c r="H560" s="135"/>
      <c r="I560" s="135"/>
      <c r="J560" s="136"/>
      <c r="K560" s="134"/>
      <c r="L560" s="134"/>
      <c r="M560" s="134"/>
      <c r="N560" s="134"/>
      <c r="O560" s="134"/>
      <c r="P560" s="134"/>
      <c r="Q560" s="134"/>
      <c r="R560" s="134"/>
      <c r="S560" s="134"/>
    </row>
    <row r="561" spans="1:19" x14ac:dyDescent="0.25">
      <c r="A561" s="133"/>
      <c r="B561" s="134"/>
      <c r="C561" s="134"/>
      <c r="D561" s="134"/>
      <c r="E561" s="134"/>
      <c r="F561" s="134"/>
      <c r="G561" s="135"/>
      <c r="H561" s="135"/>
      <c r="I561" s="135"/>
      <c r="J561" s="136"/>
      <c r="K561" s="134"/>
      <c r="L561" s="134"/>
      <c r="M561" s="134"/>
      <c r="N561" s="134"/>
      <c r="O561" s="134"/>
      <c r="P561" s="134"/>
      <c r="Q561" s="134"/>
      <c r="R561" s="134"/>
      <c r="S561" s="134"/>
    </row>
    <row r="562" spans="1:19" x14ac:dyDescent="0.25">
      <c r="A562" s="133"/>
      <c r="B562" s="134"/>
      <c r="C562" s="134"/>
      <c r="D562" s="134"/>
      <c r="E562" s="134"/>
      <c r="F562" s="134"/>
      <c r="G562" s="135"/>
      <c r="H562" s="135"/>
      <c r="I562" s="135"/>
      <c r="J562" s="136"/>
      <c r="K562" s="134"/>
      <c r="L562" s="134"/>
      <c r="M562" s="134"/>
      <c r="N562" s="134"/>
      <c r="O562" s="134"/>
      <c r="P562" s="134"/>
      <c r="Q562" s="134"/>
      <c r="R562" s="134"/>
      <c r="S562" s="134"/>
    </row>
    <row r="563" spans="1:19" x14ac:dyDescent="0.25">
      <c r="A563" s="133"/>
      <c r="B563" s="134"/>
      <c r="C563" s="134"/>
      <c r="D563" s="134"/>
      <c r="E563" s="134"/>
      <c r="F563" s="134"/>
      <c r="G563" s="135"/>
      <c r="H563" s="135"/>
      <c r="I563" s="135"/>
      <c r="J563" s="136"/>
      <c r="K563" s="134"/>
      <c r="L563" s="134"/>
      <c r="M563" s="134"/>
      <c r="N563" s="134"/>
      <c r="O563" s="134"/>
      <c r="P563" s="134"/>
      <c r="Q563" s="134"/>
      <c r="R563" s="134"/>
      <c r="S563" s="134"/>
    </row>
    <row r="564" spans="1:19" x14ac:dyDescent="0.25">
      <c r="A564" s="133"/>
      <c r="B564" s="134"/>
      <c r="C564" s="134"/>
      <c r="D564" s="134"/>
      <c r="E564" s="134"/>
      <c r="F564" s="134"/>
      <c r="G564" s="135"/>
      <c r="H564" s="135"/>
      <c r="I564" s="135"/>
      <c r="J564" s="136"/>
      <c r="K564" s="134"/>
      <c r="L564" s="134"/>
      <c r="M564" s="134"/>
      <c r="N564" s="134"/>
      <c r="O564" s="134"/>
      <c r="P564" s="134"/>
      <c r="Q564" s="134"/>
      <c r="R564" s="134"/>
      <c r="S564" s="134"/>
    </row>
    <row r="565" spans="1:19" x14ac:dyDescent="0.25">
      <c r="A565" s="133"/>
      <c r="B565" s="134"/>
      <c r="C565" s="134"/>
      <c r="D565" s="134"/>
      <c r="E565" s="134"/>
      <c r="F565" s="134"/>
      <c r="G565" s="135"/>
      <c r="H565" s="135"/>
      <c r="I565" s="135"/>
      <c r="J565" s="136"/>
      <c r="K565" s="134"/>
      <c r="L565" s="134"/>
      <c r="M565" s="134"/>
      <c r="N565" s="134"/>
      <c r="O565" s="134"/>
      <c r="P565" s="134"/>
      <c r="Q565" s="134"/>
      <c r="R565" s="134"/>
      <c r="S565" s="134"/>
    </row>
    <row r="566" spans="1:19" x14ac:dyDescent="0.25">
      <c r="A566" s="133"/>
      <c r="B566" s="134"/>
      <c r="C566" s="134"/>
      <c r="D566" s="134"/>
      <c r="E566" s="134"/>
      <c r="F566" s="134"/>
      <c r="G566" s="135"/>
      <c r="H566" s="135"/>
      <c r="I566" s="135"/>
      <c r="J566" s="136"/>
      <c r="K566" s="134"/>
      <c r="L566" s="134"/>
      <c r="M566" s="134"/>
      <c r="N566" s="134"/>
      <c r="O566" s="134"/>
      <c r="P566" s="134"/>
      <c r="Q566" s="134"/>
      <c r="R566" s="134"/>
      <c r="S566" s="134"/>
    </row>
    <row r="567" spans="1:19" x14ac:dyDescent="0.25">
      <c r="A567" s="133"/>
      <c r="B567" s="134"/>
      <c r="C567" s="134"/>
      <c r="D567" s="134"/>
      <c r="E567" s="134"/>
      <c r="F567" s="134"/>
      <c r="G567" s="135"/>
      <c r="H567" s="135"/>
      <c r="I567" s="135"/>
      <c r="J567" s="136"/>
      <c r="K567" s="134"/>
      <c r="L567" s="134"/>
      <c r="M567" s="134"/>
      <c r="N567" s="134"/>
      <c r="O567" s="134"/>
      <c r="P567" s="134"/>
      <c r="Q567" s="134"/>
      <c r="R567" s="134"/>
      <c r="S567" s="134"/>
    </row>
    <row r="568" spans="1:19" x14ac:dyDescent="0.25">
      <c r="A568" s="133"/>
      <c r="B568" s="134"/>
      <c r="C568" s="134"/>
      <c r="D568" s="134"/>
      <c r="E568" s="134"/>
      <c r="F568" s="134"/>
      <c r="G568" s="135"/>
      <c r="H568" s="135"/>
      <c r="I568" s="135"/>
      <c r="J568" s="136"/>
      <c r="K568" s="134"/>
      <c r="L568" s="134"/>
      <c r="M568" s="134"/>
      <c r="N568" s="134"/>
      <c r="O568" s="134"/>
      <c r="P568" s="134"/>
      <c r="Q568" s="134"/>
      <c r="R568" s="134"/>
      <c r="S568" s="134"/>
    </row>
    <row r="569" spans="1:19" x14ac:dyDescent="0.25">
      <c r="A569" s="133"/>
      <c r="B569" s="134"/>
      <c r="C569" s="134"/>
      <c r="D569" s="134"/>
      <c r="E569" s="134"/>
      <c r="F569" s="134"/>
      <c r="G569" s="135"/>
      <c r="H569" s="135"/>
      <c r="I569" s="135"/>
      <c r="J569" s="136"/>
      <c r="K569" s="134"/>
      <c r="L569" s="134"/>
      <c r="M569" s="134"/>
      <c r="N569" s="134"/>
      <c r="O569" s="134"/>
      <c r="P569" s="134"/>
      <c r="Q569" s="134"/>
      <c r="R569" s="134"/>
      <c r="S569" s="134"/>
    </row>
    <row r="570" spans="1:19" x14ac:dyDescent="0.25">
      <c r="A570" s="133"/>
      <c r="B570" s="134"/>
      <c r="C570" s="134"/>
      <c r="D570" s="134"/>
      <c r="E570" s="134"/>
      <c r="F570" s="134"/>
      <c r="G570" s="135"/>
      <c r="H570" s="135"/>
      <c r="I570" s="135"/>
      <c r="J570" s="136"/>
      <c r="K570" s="134"/>
      <c r="L570" s="134"/>
      <c r="M570" s="134"/>
      <c r="N570" s="134"/>
      <c r="O570" s="134"/>
      <c r="P570" s="134"/>
      <c r="Q570" s="134"/>
      <c r="R570" s="134"/>
      <c r="S570" s="134"/>
    </row>
    <row r="571" spans="1:19" x14ac:dyDescent="0.25">
      <c r="A571" s="133"/>
      <c r="B571" s="134"/>
      <c r="C571" s="134"/>
      <c r="D571" s="134"/>
      <c r="E571" s="134"/>
      <c r="F571" s="134"/>
      <c r="G571" s="135"/>
      <c r="H571" s="135"/>
      <c r="I571" s="135"/>
      <c r="J571" s="136"/>
      <c r="K571" s="134"/>
      <c r="L571" s="134"/>
      <c r="M571" s="134"/>
      <c r="N571" s="134"/>
      <c r="O571" s="134"/>
      <c r="P571" s="134"/>
      <c r="Q571" s="134"/>
      <c r="R571" s="134"/>
      <c r="S571" s="134"/>
    </row>
    <row r="572" spans="1:19" x14ac:dyDescent="0.25">
      <c r="A572" s="133"/>
      <c r="B572" s="134"/>
      <c r="C572" s="134"/>
      <c r="D572" s="134"/>
      <c r="E572" s="134"/>
      <c r="F572" s="134"/>
      <c r="G572" s="135"/>
      <c r="H572" s="135"/>
      <c r="I572" s="135"/>
      <c r="J572" s="136"/>
      <c r="K572" s="134"/>
      <c r="L572" s="134"/>
      <c r="M572" s="134"/>
      <c r="N572" s="134"/>
      <c r="O572" s="134"/>
      <c r="P572" s="134"/>
      <c r="Q572" s="134"/>
      <c r="R572" s="134"/>
      <c r="S572" s="134"/>
    </row>
    <row r="573" spans="1:19" x14ac:dyDescent="0.25">
      <c r="A573" s="133"/>
      <c r="B573" s="134"/>
      <c r="C573" s="134"/>
      <c r="D573" s="134"/>
      <c r="E573" s="134"/>
      <c r="F573" s="134"/>
      <c r="G573" s="135"/>
      <c r="H573" s="135"/>
      <c r="I573" s="135"/>
      <c r="J573" s="136"/>
      <c r="K573" s="134"/>
      <c r="L573" s="134"/>
      <c r="M573" s="134"/>
      <c r="N573" s="134"/>
      <c r="O573" s="134"/>
      <c r="P573" s="134"/>
      <c r="Q573" s="134"/>
      <c r="R573" s="134"/>
      <c r="S573" s="134"/>
    </row>
    <row r="574" spans="1:19" x14ac:dyDescent="0.25">
      <c r="A574" s="133"/>
      <c r="B574" s="134"/>
      <c r="C574" s="134"/>
      <c r="D574" s="134"/>
      <c r="E574" s="134"/>
      <c r="F574" s="134"/>
      <c r="G574" s="135"/>
      <c r="H574" s="135"/>
      <c r="I574" s="135"/>
      <c r="J574" s="136"/>
      <c r="K574" s="134"/>
      <c r="L574" s="134"/>
      <c r="M574" s="134"/>
      <c r="N574" s="134"/>
      <c r="O574" s="134"/>
      <c r="P574" s="134"/>
      <c r="Q574" s="134"/>
      <c r="R574" s="134"/>
      <c r="S574" s="134"/>
    </row>
    <row r="575" spans="1:19" x14ac:dyDescent="0.25">
      <c r="A575" s="133"/>
      <c r="B575" s="134"/>
      <c r="C575" s="134"/>
      <c r="D575" s="134"/>
      <c r="E575" s="134"/>
      <c r="F575" s="134"/>
      <c r="G575" s="135"/>
      <c r="H575" s="135"/>
      <c r="I575" s="135"/>
      <c r="J575" s="136"/>
      <c r="K575" s="134"/>
      <c r="L575" s="134"/>
      <c r="M575" s="134"/>
      <c r="N575" s="134"/>
      <c r="O575" s="134"/>
      <c r="P575" s="134"/>
      <c r="Q575" s="134"/>
      <c r="R575" s="134"/>
      <c r="S575" s="134"/>
    </row>
    <row r="576" spans="1:19" x14ac:dyDescent="0.25">
      <c r="A576" s="133"/>
      <c r="B576" s="134"/>
      <c r="C576" s="134"/>
      <c r="D576" s="134"/>
      <c r="E576" s="134"/>
      <c r="F576" s="134"/>
      <c r="G576" s="135"/>
      <c r="H576" s="135"/>
      <c r="I576" s="135"/>
      <c r="J576" s="136"/>
      <c r="K576" s="134"/>
      <c r="L576" s="134"/>
      <c r="M576" s="134"/>
      <c r="N576" s="134"/>
      <c r="O576" s="134"/>
      <c r="P576" s="134"/>
      <c r="Q576" s="134"/>
      <c r="R576" s="134"/>
      <c r="S576" s="134"/>
    </row>
    <row r="577" spans="1:19" x14ac:dyDescent="0.25">
      <c r="A577" s="133"/>
      <c r="B577" s="134"/>
      <c r="C577" s="134"/>
      <c r="D577" s="134"/>
      <c r="E577" s="134"/>
      <c r="F577" s="134"/>
      <c r="G577" s="135"/>
      <c r="H577" s="135"/>
      <c r="I577" s="135"/>
      <c r="J577" s="136"/>
      <c r="K577" s="134"/>
      <c r="L577" s="134"/>
      <c r="M577" s="134"/>
      <c r="N577" s="134"/>
      <c r="O577" s="134"/>
      <c r="P577" s="134"/>
      <c r="Q577" s="134"/>
      <c r="R577" s="134"/>
      <c r="S577" s="134"/>
    </row>
    <row r="578" spans="1:19" x14ac:dyDescent="0.25">
      <c r="A578" s="133"/>
      <c r="B578" s="134"/>
      <c r="C578" s="134"/>
      <c r="D578" s="134"/>
      <c r="E578" s="134"/>
      <c r="F578" s="134"/>
      <c r="G578" s="135"/>
      <c r="H578" s="135"/>
      <c r="I578" s="135"/>
      <c r="J578" s="136"/>
      <c r="K578" s="134"/>
      <c r="L578" s="134"/>
      <c r="M578" s="134"/>
      <c r="N578" s="134"/>
      <c r="O578" s="134"/>
      <c r="P578" s="134"/>
      <c r="Q578" s="134"/>
      <c r="R578" s="134"/>
      <c r="S578" s="134"/>
    </row>
    <row r="579" spans="1:19" x14ac:dyDescent="0.25">
      <c r="A579" s="133"/>
      <c r="B579" s="134"/>
      <c r="C579" s="134"/>
      <c r="D579" s="134"/>
      <c r="E579" s="134"/>
      <c r="F579" s="134"/>
      <c r="G579" s="135"/>
      <c r="H579" s="135"/>
      <c r="I579" s="135"/>
      <c r="J579" s="136"/>
      <c r="K579" s="134"/>
      <c r="L579" s="134"/>
      <c r="M579" s="134"/>
      <c r="N579" s="134"/>
      <c r="O579" s="134"/>
      <c r="P579" s="134"/>
      <c r="Q579" s="134"/>
      <c r="R579" s="134"/>
      <c r="S579" s="134"/>
    </row>
    <row r="580" spans="1:19" x14ac:dyDescent="0.25">
      <c r="A580" s="133"/>
      <c r="B580" s="134"/>
      <c r="C580" s="134"/>
      <c r="D580" s="134"/>
      <c r="E580" s="134"/>
      <c r="F580" s="134"/>
      <c r="G580" s="135"/>
      <c r="H580" s="135"/>
      <c r="I580" s="135"/>
      <c r="J580" s="136"/>
      <c r="K580" s="134"/>
      <c r="L580" s="134"/>
      <c r="M580" s="134"/>
      <c r="N580" s="134"/>
      <c r="O580" s="134"/>
      <c r="P580" s="134"/>
      <c r="Q580" s="134"/>
      <c r="R580" s="134"/>
      <c r="S580" s="134"/>
    </row>
    <row r="581" spans="1:19" x14ac:dyDescent="0.25">
      <c r="A581" s="133"/>
      <c r="B581" s="134"/>
      <c r="C581" s="134"/>
      <c r="D581" s="134"/>
      <c r="E581" s="134"/>
      <c r="F581" s="134"/>
      <c r="G581" s="135"/>
      <c r="H581" s="135"/>
      <c r="I581" s="135"/>
      <c r="J581" s="136"/>
      <c r="K581" s="134"/>
      <c r="L581" s="134"/>
      <c r="M581" s="134"/>
      <c r="N581" s="134"/>
      <c r="O581" s="134"/>
      <c r="P581" s="134"/>
      <c r="Q581" s="134"/>
      <c r="R581" s="134"/>
      <c r="S581" s="134"/>
    </row>
    <row r="582" spans="1:19" x14ac:dyDescent="0.25">
      <c r="A582" s="133"/>
      <c r="B582" s="134"/>
      <c r="C582" s="134"/>
      <c r="D582" s="134"/>
      <c r="E582" s="134"/>
      <c r="F582" s="134"/>
      <c r="G582" s="135"/>
      <c r="H582" s="135"/>
      <c r="I582" s="135"/>
      <c r="J582" s="136"/>
      <c r="K582" s="134"/>
      <c r="L582" s="134"/>
      <c r="M582" s="134"/>
      <c r="N582" s="134"/>
      <c r="O582" s="134"/>
      <c r="P582" s="134"/>
      <c r="Q582" s="134"/>
      <c r="R582" s="134"/>
      <c r="S582" s="134"/>
    </row>
    <row r="583" spans="1:19" x14ac:dyDescent="0.25">
      <c r="A583" s="133"/>
      <c r="B583" s="134"/>
      <c r="C583" s="134"/>
      <c r="D583" s="134"/>
      <c r="E583" s="134"/>
      <c r="F583" s="134"/>
      <c r="G583" s="135"/>
      <c r="H583" s="135"/>
      <c r="I583" s="135"/>
      <c r="J583" s="136"/>
      <c r="K583" s="134"/>
      <c r="L583" s="134"/>
      <c r="M583" s="134"/>
      <c r="N583" s="134"/>
      <c r="O583" s="134"/>
      <c r="P583" s="134"/>
      <c r="Q583" s="134"/>
      <c r="R583" s="134"/>
      <c r="S583" s="134"/>
    </row>
    <row r="584" spans="1:19" x14ac:dyDescent="0.25">
      <c r="A584" s="133"/>
      <c r="B584" s="134"/>
      <c r="C584" s="134"/>
      <c r="D584" s="134"/>
      <c r="E584" s="134"/>
      <c r="F584" s="134"/>
      <c r="G584" s="135"/>
      <c r="H584" s="135"/>
      <c r="I584" s="135"/>
      <c r="J584" s="136"/>
      <c r="K584" s="134"/>
      <c r="L584" s="134"/>
      <c r="M584" s="134"/>
      <c r="N584" s="134"/>
      <c r="O584" s="134"/>
      <c r="P584" s="134"/>
      <c r="Q584" s="134"/>
      <c r="R584" s="134"/>
      <c r="S584" s="134"/>
    </row>
    <row r="585" spans="1:19" x14ac:dyDescent="0.25">
      <c r="A585" s="133"/>
      <c r="B585" s="134"/>
      <c r="C585" s="134"/>
      <c r="D585" s="134"/>
      <c r="E585" s="134"/>
      <c r="F585" s="134"/>
      <c r="G585" s="135"/>
      <c r="H585" s="135"/>
      <c r="I585" s="135"/>
      <c r="J585" s="136"/>
      <c r="K585" s="134"/>
      <c r="L585" s="134"/>
      <c r="M585" s="134"/>
      <c r="N585" s="134"/>
      <c r="O585" s="134"/>
      <c r="P585" s="134"/>
      <c r="Q585" s="134"/>
      <c r="R585" s="134"/>
      <c r="S585" s="134"/>
    </row>
    <row r="586" spans="1:19" x14ac:dyDescent="0.25">
      <c r="A586" s="133"/>
      <c r="B586" s="134"/>
      <c r="C586" s="134"/>
      <c r="D586" s="134"/>
      <c r="E586" s="134"/>
      <c r="F586" s="134"/>
      <c r="G586" s="135"/>
      <c r="H586" s="135"/>
      <c r="I586" s="135"/>
      <c r="J586" s="136"/>
      <c r="K586" s="134"/>
      <c r="L586" s="134"/>
      <c r="M586" s="134"/>
      <c r="N586" s="134"/>
      <c r="O586" s="134"/>
      <c r="P586" s="134"/>
      <c r="Q586" s="134"/>
      <c r="R586" s="134"/>
      <c r="S586" s="134"/>
    </row>
    <row r="587" spans="1:19" x14ac:dyDescent="0.25">
      <c r="A587" s="133"/>
      <c r="B587" s="134"/>
      <c r="C587" s="134"/>
      <c r="D587" s="134"/>
      <c r="E587" s="134"/>
      <c r="F587" s="134"/>
      <c r="G587" s="135"/>
      <c r="H587" s="135"/>
      <c r="I587" s="135"/>
      <c r="J587" s="136"/>
      <c r="K587" s="134"/>
      <c r="L587" s="134"/>
      <c r="M587" s="134"/>
      <c r="N587" s="134"/>
      <c r="O587" s="134"/>
      <c r="P587" s="134"/>
      <c r="Q587" s="134"/>
      <c r="R587" s="134"/>
      <c r="S587" s="134"/>
    </row>
    <row r="588" spans="1:19" x14ac:dyDescent="0.25">
      <c r="A588" s="133"/>
      <c r="B588" s="134"/>
      <c r="C588" s="134"/>
      <c r="D588" s="134"/>
      <c r="E588" s="134"/>
      <c r="F588" s="134"/>
      <c r="G588" s="135"/>
      <c r="H588" s="135"/>
      <c r="I588" s="135"/>
      <c r="J588" s="136"/>
      <c r="K588" s="134"/>
      <c r="L588" s="134"/>
      <c r="M588" s="134"/>
      <c r="N588" s="134"/>
      <c r="O588" s="134"/>
      <c r="P588" s="134"/>
      <c r="Q588" s="134"/>
      <c r="R588" s="134"/>
      <c r="S588" s="134"/>
    </row>
    <row r="589" spans="1:19" x14ac:dyDescent="0.25">
      <c r="A589" s="133"/>
      <c r="B589" s="134"/>
      <c r="C589" s="134"/>
      <c r="D589" s="134"/>
      <c r="E589" s="134"/>
      <c r="F589" s="134"/>
      <c r="G589" s="135"/>
      <c r="H589" s="135"/>
      <c r="I589" s="135"/>
      <c r="J589" s="136"/>
      <c r="K589" s="134"/>
      <c r="L589" s="134"/>
      <c r="M589" s="134"/>
      <c r="N589" s="134"/>
      <c r="O589" s="134"/>
      <c r="P589" s="134"/>
      <c r="Q589" s="134"/>
      <c r="R589" s="134"/>
      <c r="S589" s="134"/>
    </row>
    <row r="590" spans="1:19" x14ac:dyDescent="0.25">
      <c r="A590" s="133"/>
      <c r="B590" s="134"/>
      <c r="C590" s="134"/>
      <c r="D590" s="134"/>
      <c r="E590" s="134"/>
      <c r="F590" s="134"/>
      <c r="G590" s="135"/>
      <c r="H590" s="135"/>
      <c r="I590" s="135"/>
      <c r="J590" s="136"/>
      <c r="K590" s="134"/>
      <c r="L590" s="134"/>
      <c r="M590" s="134"/>
      <c r="N590" s="134"/>
      <c r="O590" s="134"/>
      <c r="P590" s="134"/>
      <c r="Q590" s="134"/>
      <c r="R590" s="134"/>
      <c r="S590" s="134"/>
    </row>
    <row r="591" spans="1:19" x14ac:dyDescent="0.25">
      <c r="A591" s="133"/>
      <c r="B591" s="134"/>
      <c r="C591" s="134"/>
      <c r="D591" s="134"/>
      <c r="E591" s="134"/>
      <c r="F591" s="134"/>
      <c r="G591" s="135"/>
      <c r="H591" s="135"/>
      <c r="I591" s="135"/>
      <c r="J591" s="136"/>
      <c r="K591" s="134"/>
      <c r="L591" s="134"/>
      <c r="M591" s="134"/>
      <c r="N591" s="134"/>
      <c r="O591" s="134"/>
      <c r="P591" s="134"/>
      <c r="Q591" s="134"/>
      <c r="R591" s="134"/>
      <c r="S591" s="134"/>
    </row>
    <row r="592" spans="1:19" x14ac:dyDescent="0.25">
      <c r="A592" s="133"/>
      <c r="B592" s="134"/>
      <c r="C592" s="134"/>
      <c r="D592" s="134"/>
      <c r="E592" s="134"/>
      <c r="F592" s="134"/>
      <c r="G592" s="135"/>
      <c r="H592" s="135"/>
      <c r="I592" s="135"/>
      <c r="J592" s="136"/>
      <c r="K592" s="134"/>
      <c r="L592" s="134"/>
      <c r="M592" s="134"/>
      <c r="N592" s="134"/>
      <c r="O592" s="134"/>
      <c r="P592" s="134"/>
      <c r="Q592" s="134"/>
      <c r="R592" s="134"/>
      <c r="S592" s="134"/>
    </row>
    <row r="593" spans="1:19" x14ac:dyDescent="0.25">
      <c r="A593" s="133"/>
      <c r="B593" s="134"/>
      <c r="C593" s="134"/>
      <c r="D593" s="134"/>
      <c r="E593" s="134"/>
      <c r="F593" s="134"/>
      <c r="G593" s="135"/>
      <c r="H593" s="135"/>
      <c r="I593" s="135"/>
      <c r="J593" s="136"/>
      <c r="K593" s="134"/>
      <c r="L593" s="134"/>
      <c r="M593" s="134"/>
      <c r="N593" s="134"/>
      <c r="O593" s="134"/>
      <c r="P593" s="134"/>
      <c r="Q593" s="134"/>
      <c r="R593" s="134"/>
      <c r="S593" s="134"/>
    </row>
    <row r="594" spans="1:19" x14ac:dyDescent="0.25">
      <c r="A594" s="133"/>
      <c r="B594" s="134"/>
      <c r="C594" s="134"/>
      <c r="D594" s="134"/>
      <c r="E594" s="134"/>
      <c r="F594" s="134"/>
      <c r="G594" s="135"/>
      <c r="H594" s="135"/>
      <c r="I594" s="135"/>
      <c r="J594" s="136"/>
      <c r="K594" s="134"/>
      <c r="L594" s="134"/>
      <c r="M594" s="134"/>
      <c r="N594" s="134"/>
      <c r="O594" s="134"/>
      <c r="P594" s="134"/>
      <c r="Q594" s="134"/>
      <c r="R594" s="134"/>
      <c r="S594" s="134"/>
    </row>
    <row r="595" spans="1:19" x14ac:dyDescent="0.25">
      <c r="A595" s="133"/>
      <c r="B595" s="134"/>
      <c r="C595" s="134"/>
      <c r="D595" s="134"/>
      <c r="E595" s="134"/>
      <c r="F595" s="134"/>
      <c r="G595" s="135"/>
      <c r="H595" s="135"/>
      <c r="I595" s="135"/>
      <c r="J595" s="136"/>
      <c r="K595" s="134"/>
      <c r="L595" s="134"/>
      <c r="M595" s="134"/>
      <c r="N595" s="134"/>
      <c r="O595" s="134"/>
      <c r="P595" s="134"/>
      <c r="Q595" s="134"/>
      <c r="R595" s="134"/>
      <c r="S595" s="134"/>
    </row>
    <row r="596" spans="1:19" x14ac:dyDescent="0.25">
      <c r="A596" s="133"/>
      <c r="B596" s="134"/>
      <c r="C596" s="134"/>
      <c r="D596" s="134"/>
      <c r="E596" s="134"/>
      <c r="F596" s="134"/>
      <c r="G596" s="135"/>
      <c r="H596" s="135"/>
      <c r="I596" s="135"/>
      <c r="J596" s="136"/>
      <c r="K596" s="134"/>
      <c r="L596" s="134"/>
      <c r="M596" s="134"/>
      <c r="N596" s="134"/>
      <c r="O596" s="134"/>
      <c r="P596" s="134"/>
      <c r="Q596" s="134"/>
      <c r="R596" s="134"/>
      <c r="S596" s="134"/>
    </row>
    <row r="597" spans="1:19" x14ac:dyDescent="0.25">
      <c r="A597" s="133"/>
      <c r="B597" s="134"/>
      <c r="C597" s="134"/>
      <c r="D597" s="134"/>
      <c r="E597" s="134"/>
      <c r="F597" s="134"/>
      <c r="G597" s="135"/>
      <c r="H597" s="135"/>
      <c r="I597" s="135"/>
      <c r="J597" s="136"/>
      <c r="K597" s="134"/>
      <c r="L597" s="134"/>
      <c r="M597" s="134"/>
      <c r="N597" s="134"/>
      <c r="O597" s="134"/>
      <c r="P597" s="134"/>
      <c r="Q597" s="134"/>
      <c r="R597" s="134"/>
      <c r="S597" s="134"/>
    </row>
    <row r="598" spans="1:19" x14ac:dyDescent="0.25">
      <c r="A598" s="133"/>
      <c r="B598" s="134"/>
      <c r="C598" s="134"/>
      <c r="D598" s="134"/>
      <c r="E598" s="134"/>
      <c r="F598" s="134"/>
      <c r="G598" s="135"/>
      <c r="H598" s="135"/>
      <c r="I598" s="135"/>
      <c r="J598" s="136"/>
      <c r="K598" s="134"/>
      <c r="L598" s="134"/>
      <c r="M598" s="134"/>
      <c r="N598" s="134"/>
      <c r="O598" s="134"/>
      <c r="P598" s="134"/>
      <c r="Q598" s="134"/>
      <c r="R598" s="134"/>
      <c r="S598" s="134"/>
    </row>
    <row r="599" spans="1:19" x14ac:dyDescent="0.25">
      <c r="A599" s="133"/>
      <c r="B599" s="134"/>
      <c r="C599" s="134"/>
      <c r="D599" s="134"/>
      <c r="E599" s="134"/>
      <c r="F599" s="134"/>
      <c r="G599" s="135"/>
      <c r="H599" s="135"/>
      <c r="I599" s="135"/>
      <c r="J599" s="136"/>
      <c r="K599" s="134"/>
      <c r="L599" s="134"/>
      <c r="M599" s="134"/>
      <c r="N599" s="134"/>
      <c r="O599" s="134"/>
      <c r="P599" s="134"/>
      <c r="Q599" s="134"/>
      <c r="R599" s="134"/>
      <c r="S599" s="134"/>
    </row>
    <row r="600" spans="1:19" x14ac:dyDescent="0.25">
      <c r="A600" s="133"/>
      <c r="B600" s="134"/>
      <c r="C600" s="134"/>
      <c r="D600" s="134"/>
      <c r="E600" s="134"/>
      <c r="F600" s="134"/>
      <c r="G600" s="135"/>
      <c r="H600" s="135"/>
      <c r="I600" s="135"/>
      <c r="J600" s="136"/>
      <c r="K600" s="134"/>
      <c r="L600" s="134"/>
      <c r="M600" s="134"/>
      <c r="N600" s="134"/>
      <c r="O600" s="134"/>
      <c r="P600" s="134"/>
      <c r="Q600" s="134"/>
      <c r="R600" s="134"/>
      <c r="S600" s="134"/>
    </row>
    <row r="601" spans="1:19" x14ac:dyDescent="0.25">
      <c r="A601" s="133"/>
      <c r="B601" s="134"/>
      <c r="C601" s="134"/>
      <c r="D601" s="134"/>
      <c r="E601" s="134"/>
      <c r="F601" s="134"/>
      <c r="G601" s="135"/>
      <c r="H601" s="135"/>
      <c r="I601" s="135"/>
      <c r="J601" s="136"/>
      <c r="K601" s="134"/>
      <c r="L601" s="134"/>
      <c r="M601" s="134"/>
      <c r="N601" s="134"/>
      <c r="O601" s="134"/>
      <c r="P601" s="134"/>
      <c r="Q601" s="134"/>
      <c r="R601" s="134"/>
      <c r="S601" s="134"/>
    </row>
    <row r="602" spans="1:19" x14ac:dyDescent="0.25">
      <c r="A602" s="133"/>
      <c r="B602" s="134"/>
      <c r="C602" s="134"/>
      <c r="D602" s="134"/>
      <c r="E602" s="134"/>
      <c r="F602" s="134"/>
      <c r="G602" s="135"/>
      <c r="H602" s="135"/>
      <c r="I602" s="135"/>
      <c r="J602" s="136"/>
      <c r="K602" s="134"/>
      <c r="L602" s="134"/>
      <c r="M602" s="134"/>
      <c r="N602" s="134"/>
      <c r="O602" s="134"/>
      <c r="P602" s="134"/>
      <c r="Q602" s="134"/>
      <c r="R602" s="134"/>
      <c r="S602" s="134"/>
    </row>
    <row r="603" spans="1:19" x14ac:dyDescent="0.25">
      <c r="A603" s="133"/>
      <c r="B603" s="134"/>
      <c r="C603" s="134"/>
      <c r="D603" s="134"/>
      <c r="E603" s="134"/>
      <c r="F603" s="134"/>
      <c r="G603" s="135"/>
      <c r="H603" s="135"/>
      <c r="I603" s="135"/>
      <c r="J603" s="136"/>
      <c r="K603" s="134"/>
      <c r="L603" s="134"/>
      <c r="M603" s="134"/>
      <c r="N603" s="134"/>
      <c r="O603" s="134"/>
      <c r="P603" s="134"/>
      <c r="Q603" s="134"/>
      <c r="R603" s="134"/>
      <c r="S603" s="134"/>
    </row>
    <row r="604" spans="1:19" x14ac:dyDescent="0.25">
      <c r="A604" s="133"/>
      <c r="B604" s="134"/>
      <c r="C604" s="134"/>
      <c r="D604" s="134"/>
      <c r="E604" s="134"/>
      <c r="F604" s="134"/>
      <c r="G604" s="135"/>
      <c r="H604" s="135"/>
      <c r="I604" s="135"/>
      <c r="J604" s="136"/>
      <c r="K604" s="134"/>
      <c r="L604" s="134"/>
      <c r="M604" s="134"/>
      <c r="N604" s="134"/>
      <c r="O604" s="134"/>
      <c r="P604" s="134"/>
      <c r="Q604" s="134"/>
      <c r="R604" s="134"/>
      <c r="S604" s="134"/>
    </row>
    <row r="605" spans="1:19" x14ac:dyDescent="0.25">
      <c r="A605" s="133"/>
      <c r="B605" s="134"/>
      <c r="C605" s="134"/>
      <c r="D605" s="134"/>
      <c r="E605" s="134"/>
      <c r="F605" s="134"/>
      <c r="G605" s="135"/>
      <c r="H605" s="135"/>
      <c r="I605" s="135"/>
      <c r="J605" s="136"/>
      <c r="K605" s="134"/>
      <c r="L605" s="134"/>
      <c r="M605" s="134"/>
      <c r="N605" s="134"/>
      <c r="O605" s="134"/>
      <c r="P605" s="134"/>
      <c r="Q605" s="134"/>
      <c r="R605" s="134"/>
      <c r="S605" s="134"/>
    </row>
    <row r="606" spans="1:19" x14ac:dyDescent="0.25">
      <c r="A606" s="133"/>
      <c r="B606" s="134"/>
      <c r="C606" s="134"/>
      <c r="D606" s="134"/>
      <c r="E606" s="134"/>
      <c r="F606" s="134"/>
      <c r="G606" s="135"/>
      <c r="H606" s="135"/>
      <c r="I606" s="135"/>
      <c r="J606" s="136"/>
      <c r="K606" s="134"/>
      <c r="L606" s="134"/>
      <c r="M606" s="134"/>
      <c r="N606" s="134"/>
      <c r="O606" s="134"/>
      <c r="P606" s="134"/>
      <c r="Q606" s="134"/>
      <c r="R606" s="134"/>
      <c r="S606" s="134"/>
    </row>
    <row r="607" spans="1:19" x14ac:dyDescent="0.25">
      <c r="A607" s="133"/>
      <c r="B607" s="134"/>
      <c r="C607" s="134"/>
      <c r="D607" s="134"/>
      <c r="E607" s="134"/>
      <c r="F607" s="134"/>
      <c r="G607" s="135"/>
      <c r="H607" s="135"/>
      <c r="I607" s="135"/>
      <c r="J607" s="136"/>
      <c r="K607" s="134"/>
      <c r="L607" s="134"/>
      <c r="M607" s="134"/>
      <c r="N607" s="134"/>
      <c r="O607" s="134"/>
      <c r="P607" s="134"/>
      <c r="Q607" s="134"/>
      <c r="R607" s="134"/>
      <c r="S607" s="134"/>
    </row>
    <row r="608" spans="1:19" x14ac:dyDescent="0.25">
      <c r="A608" s="133"/>
      <c r="B608" s="134"/>
      <c r="C608" s="134"/>
      <c r="D608" s="134"/>
      <c r="E608" s="134"/>
      <c r="F608" s="134"/>
      <c r="G608" s="135"/>
      <c r="H608" s="135"/>
      <c r="I608" s="135"/>
      <c r="J608" s="136"/>
      <c r="K608" s="134"/>
      <c r="L608" s="134"/>
      <c r="M608" s="134"/>
      <c r="N608" s="134"/>
      <c r="O608" s="134"/>
      <c r="P608" s="134"/>
      <c r="Q608" s="134"/>
      <c r="R608" s="134"/>
      <c r="S608" s="134"/>
    </row>
    <row r="609" spans="1:19" x14ac:dyDescent="0.25">
      <c r="A609" s="133"/>
      <c r="B609" s="134"/>
      <c r="C609" s="134"/>
      <c r="D609" s="134"/>
      <c r="E609" s="134"/>
      <c r="F609" s="134"/>
      <c r="G609" s="135"/>
      <c r="H609" s="135"/>
      <c r="I609" s="135"/>
      <c r="J609" s="136"/>
      <c r="K609" s="134"/>
      <c r="L609" s="134"/>
      <c r="M609" s="134"/>
      <c r="N609" s="134"/>
      <c r="O609" s="134"/>
      <c r="P609" s="134"/>
      <c r="Q609" s="134"/>
      <c r="R609" s="134"/>
      <c r="S609" s="134"/>
    </row>
    <row r="610" spans="1:19" x14ac:dyDescent="0.25">
      <c r="A610" s="133"/>
      <c r="B610" s="134"/>
      <c r="C610" s="134"/>
      <c r="D610" s="134"/>
      <c r="E610" s="134"/>
      <c r="F610" s="134"/>
      <c r="G610" s="135"/>
      <c r="H610" s="135"/>
      <c r="I610" s="135"/>
      <c r="J610" s="136"/>
      <c r="K610" s="134"/>
      <c r="L610" s="134"/>
      <c r="M610" s="134"/>
      <c r="N610" s="134"/>
      <c r="O610" s="134"/>
      <c r="P610" s="134"/>
      <c r="Q610" s="134"/>
      <c r="R610" s="134"/>
      <c r="S610" s="134"/>
    </row>
    <row r="611" spans="1:19" x14ac:dyDescent="0.25">
      <c r="A611" s="133"/>
      <c r="B611" s="134"/>
      <c r="C611" s="134"/>
      <c r="D611" s="134"/>
      <c r="E611" s="134"/>
      <c r="F611" s="134"/>
      <c r="G611" s="135"/>
      <c r="H611" s="135"/>
      <c r="I611" s="135"/>
      <c r="J611" s="136"/>
      <c r="K611" s="134"/>
      <c r="L611" s="134"/>
      <c r="M611" s="134"/>
      <c r="N611" s="134"/>
      <c r="O611" s="134"/>
      <c r="P611" s="134"/>
      <c r="Q611" s="134"/>
      <c r="R611" s="134"/>
      <c r="S611" s="134"/>
    </row>
    <row r="612" spans="1:19" x14ac:dyDescent="0.25">
      <c r="A612" s="133"/>
      <c r="B612" s="134"/>
      <c r="C612" s="134"/>
      <c r="D612" s="134"/>
      <c r="E612" s="134"/>
      <c r="F612" s="134"/>
      <c r="G612" s="135"/>
      <c r="H612" s="135"/>
      <c r="I612" s="135"/>
      <c r="J612" s="136"/>
      <c r="K612" s="134"/>
      <c r="L612" s="134"/>
      <c r="M612" s="134"/>
      <c r="N612" s="134"/>
      <c r="O612" s="134"/>
      <c r="P612" s="134"/>
      <c r="Q612" s="134"/>
      <c r="R612" s="134"/>
      <c r="S612" s="134"/>
    </row>
    <row r="613" spans="1:19" x14ac:dyDescent="0.25">
      <c r="A613" s="133"/>
      <c r="B613" s="134"/>
      <c r="C613" s="134"/>
      <c r="D613" s="134"/>
      <c r="E613" s="134"/>
      <c r="F613" s="134"/>
      <c r="G613" s="135"/>
      <c r="H613" s="135"/>
      <c r="I613" s="135"/>
      <c r="J613" s="136"/>
      <c r="K613" s="134"/>
      <c r="L613" s="134"/>
      <c r="M613" s="134"/>
      <c r="N613" s="134"/>
      <c r="O613" s="134"/>
      <c r="P613" s="134"/>
      <c r="Q613" s="134"/>
      <c r="R613" s="134"/>
      <c r="S613" s="134"/>
    </row>
    <row r="614" spans="1:19" x14ac:dyDescent="0.25">
      <c r="A614" s="133"/>
      <c r="B614" s="134"/>
      <c r="C614" s="134"/>
      <c r="D614" s="134"/>
      <c r="E614" s="134"/>
      <c r="F614" s="134"/>
      <c r="G614" s="135"/>
      <c r="H614" s="135"/>
      <c r="I614" s="135"/>
      <c r="J614" s="136"/>
      <c r="K614" s="134"/>
      <c r="L614" s="134"/>
      <c r="M614" s="134"/>
      <c r="N614" s="134"/>
      <c r="O614" s="134"/>
      <c r="P614" s="134"/>
      <c r="Q614" s="134"/>
      <c r="R614" s="134"/>
      <c r="S614" s="134"/>
    </row>
    <row r="615" spans="1:19" x14ac:dyDescent="0.25">
      <c r="A615" s="133"/>
      <c r="B615" s="134"/>
      <c r="C615" s="134"/>
      <c r="D615" s="134"/>
      <c r="E615" s="134"/>
      <c r="F615" s="134"/>
      <c r="G615" s="135"/>
      <c r="H615" s="135"/>
      <c r="I615" s="135"/>
      <c r="J615" s="136"/>
      <c r="K615" s="134"/>
      <c r="L615" s="134"/>
      <c r="M615" s="134"/>
      <c r="N615" s="134"/>
      <c r="O615" s="134"/>
      <c r="P615" s="134"/>
      <c r="Q615" s="134"/>
      <c r="R615" s="134"/>
      <c r="S615" s="134"/>
    </row>
    <row r="616" spans="1:19" x14ac:dyDescent="0.25">
      <c r="A616" s="133"/>
      <c r="B616" s="134"/>
      <c r="C616" s="134"/>
      <c r="D616" s="134"/>
      <c r="E616" s="134"/>
      <c r="F616" s="134"/>
      <c r="G616" s="135"/>
      <c r="H616" s="135"/>
      <c r="I616" s="135"/>
      <c r="J616" s="136"/>
      <c r="K616" s="134"/>
      <c r="L616" s="134"/>
      <c r="M616" s="134"/>
      <c r="N616" s="134"/>
      <c r="O616" s="134"/>
      <c r="P616" s="134"/>
      <c r="Q616" s="134"/>
      <c r="R616" s="134"/>
      <c r="S616" s="134"/>
    </row>
    <row r="617" spans="1:19" x14ac:dyDescent="0.25">
      <c r="A617" s="133"/>
      <c r="B617" s="134"/>
      <c r="C617" s="134"/>
      <c r="D617" s="134"/>
      <c r="E617" s="134"/>
      <c r="F617" s="134"/>
      <c r="G617" s="135"/>
      <c r="H617" s="135"/>
      <c r="I617" s="135"/>
      <c r="J617" s="136"/>
      <c r="K617" s="134"/>
      <c r="L617" s="134"/>
      <c r="M617" s="134"/>
      <c r="N617" s="134"/>
      <c r="O617" s="134"/>
      <c r="P617" s="134"/>
      <c r="Q617" s="134"/>
      <c r="R617" s="134"/>
      <c r="S617" s="134"/>
    </row>
    <row r="618" spans="1:19" x14ac:dyDescent="0.25">
      <c r="A618" s="133"/>
      <c r="B618" s="134"/>
      <c r="C618" s="134"/>
      <c r="D618" s="134"/>
      <c r="E618" s="134"/>
      <c r="F618" s="134"/>
      <c r="G618" s="135"/>
      <c r="H618" s="135"/>
      <c r="I618" s="135"/>
      <c r="J618" s="136"/>
      <c r="K618" s="134"/>
      <c r="L618" s="134"/>
      <c r="M618" s="134"/>
      <c r="N618" s="134"/>
      <c r="O618" s="134"/>
      <c r="P618" s="134"/>
      <c r="Q618" s="134"/>
      <c r="R618" s="134"/>
      <c r="S618" s="134"/>
    </row>
    <row r="619" spans="1:19" x14ac:dyDescent="0.25">
      <c r="A619" s="133"/>
      <c r="B619" s="134"/>
      <c r="C619" s="134"/>
      <c r="D619" s="134"/>
      <c r="E619" s="134"/>
      <c r="F619" s="134"/>
      <c r="G619" s="135"/>
      <c r="H619" s="135"/>
      <c r="I619" s="135"/>
      <c r="J619" s="136"/>
      <c r="K619" s="134"/>
      <c r="L619" s="134"/>
      <c r="M619" s="134"/>
      <c r="N619" s="134"/>
      <c r="O619" s="134"/>
      <c r="P619" s="134"/>
      <c r="Q619" s="134"/>
      <c r="R619" s="134"/>
      <c r="S619" s="134"/>
    </row>
    <row r="620" spans="1:19" x14ac:dyDescent="0.25">
      <c r="A620" s="133"/>
      <c r="B620" s="134"/>
      <c r="C620" s="134"/>
      <c r="D620" s="134"/>
      <c r="E620" s="134"/>
      <c r="F620" s="134"/>
      <c r="G620" s="135"/>
      <c r="H620" s="135"/>
      <c r="I620" s="135"/>
      <c r="J620" s="136"/>
      <c r="K620" s="134"/>
      <c r="L620" s="134"/>
      <c r="M620" s="134"/>
      <c r="N620" s="134"/>
      <c r="O620" s="134"/>
      <c r="P620" s="134"/>
      <c r="Q620" s="134"/>
      <c r="R620" s="134"/>
      <c r="S620" s="134"/>
    </row>
    <row r="621" spans="1:19" x14ac:dyDescent="0.25">
      <c r="A621" s="133"/>
      <c r="B621" s="134"/>
      <c r="C621" s="134"/>
      <c r="D621" s="134"/>
      <c r="E621" s="134"/>
      <c r="F621" s="134"/>
      <c r="G621" s="135"/>
      <c r="H621" s="135"/>
      <c r="I621" s="135"/>
      <c r="J621" s="136"/>
      <c r="K621" s="134"/>
      <c r="L621" s="134"/>
      <c r="M621" s="134"/>
      <c r="N621" s="134"/>
      <c r="O621" s="134"/>
      <c r="P621" s="134"/>
      <c r="Q621" s="134"/>
      <c r="R621" s="134"/>
      <c r="S621" s="134"/>
    </row>
    <row r="622" spans="1:19" x14ac:dyDescent="0.25">
      <c r="A622" s="133"/>
      <c r="B622" s="134"/>
      <c r="C622" s="134"/>
      <c r="D622" s="134"/>
      <c r="E622" s="134"/>
      <c r="F622" s="134"/>
      <c r="G622" s="135"/>
      <c r="H622" s="135"/>
      <c r="I622" s="135"/>
      <c r="J622" s="136"/>
      <c r="K622" s="134"/>
      <c r="L622" s="134"/>
      <c r="M622" s="134"/>
      <c r="N622" s="134"/>
      <c r="O622" s="134"/>
      <c r="P622" s="134"/>
      <c r="Q622" s="134"/>
      <c r="R622" s="134"/>
      <c r="S622" s="134"/>
    </row>
    <row r="623" spans="1:19" x14ac:dyDescent="0.25">
      <c r="A623" s="133"/>
      <c r="B623" s="134"/>
      <c r="C623" s="134"/>
      <c r="D623" s="134"/>
      <c r="E623" s="134"/>
      <c r="F623" s="134"/>
      <c r="G623" s="135"/>
      <c r="H623" s="135"/>
      <c r="I623" s="135"/>
      <c r="J623" s="136"/>
      <c r="K623" s="134"/>
      <c r="L623" s="134"/>
      <c r="M623" s="134"/>
      <c r="N623" s="134"/>
      <c r="O623" s="134"/>
      <c r="P623" s="134"/>
      <c r="Q623" s="134"/>
      <c r="R623" s="134"/>
      <c r="S623" s="134"/>
    </row>
    <row r="624" spans="1:19" x14ac:dyDescent="0.25">
      <c r="A624" s="133"/>
      <c r="B624" s="134"/>
      <c r="C624" s="134"/>
      <c r="D624" s="134"/>
      <c r="E624" s="134"/>
      <c r="F624" s="134"/>
      <c r="G624" s="135"/>
      <c r="H624" s="135"/>
      <c r="I624" s="135"/>
      <c r="J624" s="136"/>
      <c r="K624" s="134"/>
      <c r="L624" s="134"/>
      <c r="M624" s="134"/>
      <c r="N624" s="134"/>
      <c r="O624" s="134"/>
      <c r="P624" s="134"/>
      <c r="Q624" s="134"/>
      <c r="R624" s="134"/>
      <c r="S624" s="134"/>
    </row>
    <row r="625" spans="1:19" x14ac:dyDescent="0.25">
      <c r="A625" s="133"/>
      <c r="B625" s="134"/>
      <c r="C625" s="134"/>
      <c r="D625" s="134"/>
      <c r="E625" s="134"/>
      <c r="F625" s="134"/>
      <c r="G625" s="135"/>
      <c r="H625" s="135"/>
      <c r="I625" s="135"/>
      <c r="J625" s="136"/>
      <c r="K625" s="134"/>
      <c r="L625" s="134"/>
      <c r="M625" s="134"/>
      <c r="N625" s="134"/>
      <c r="O625" s="134"/>
      <c r="P625" s="134"/>
      <c r="Q625" s="134"/>
      <c r="R625" s="134"/>
      <c r="S625" s="134"/>
    </row>
    <row r="626" spans="1:19" x14ac:dyDescent="0.25">
      <c r="A626" s="133"/>
      <c r="B626" s="134"/>
      <c r="C626" s="134"/>
      <c r="D626" s="134"/>
      <c r="E626" s="134"/>
      <c r="F626" s="134"/>
      <c r="G626" s="135"/>
      <c r="H626" s="135"/>
      <c r="I626" s="135"/>
      <c r="J626" s="136"/>
      <c r="K626" s="134"/>
      <c r="L626" s="134"/>
      <c r="M626" s="134"/>
      <c r="N626" s="134"/>
      <c r="O626" s="134"/>
      <c r="P626" s="134"/>
      <c r="Q626" s="134"/>
      <c r="R626" s="134"/>
      <c r="S626" s="134"/>
    </row>
    <row r="627" spans="1:19" x14ac:dyDescent="0.25">
      <c r="A627" s="133"/>
      <c r="B627" s="134"/>
      <c r="C627" s="134"/>
      <c r="D627" s="134"/>
      <c r="E627" s="134"/>
      <c r="F627" s="134"/>
      <c r="G627" s="135"/>
      <c r="H627" s="135"/>
      <c r="I627" s="135"/>
      <c r="J627" s="136"/>
      <c r="K627" s="134"/>
      <c r="L627" s="134"/>
      <c r="M627" s="134"/>
      <c r="N627" s="134"/>
      <c r="O627" s="134"/>
      <c r="P627" s="134"/>
      <c r="Q627" s="134"/>
      <c r="R627" s="134"/>
      <c r="S627" s="134"/>
    </row>
    <row r="628" spans="1:19" x14ac:dyDescent="0.25">
      <c r="A628" s="133"/>
      <c r="B628" s="134"/>
      <c r="C628" s="134"/>
      <c r="D628" s="134"/>
      <c r="E628" s="134"/>
      <c r="F628" s="134"/>
      <c r="G628" s="135"/>
      <c r="H628" s="135"/>
      <c r="I628" s="135"/>
      <c r="J628" s="136"/>
      <c r="K628" s="134"/>
      <c r="L628" s="134"/>
      <c r="M628" s="134"/>
      <c r="N628" s="134"/>
      <c r="O628" s="134"/>
      <c r="P628" s="134"/>
      <c r="Q628" s="134"/>
      <c r="R628" s="134"/>
      <c r="S628" s="134"/>
    </row>
    <row r="629" spans="1:19" x14ac:dyDescent="0.25">
      <c r="A629" s="133"/>
      <c r="B629" s="134"/>
      <c r="C629" s="134"/>
      <c r="D629" s="134"/>
      <c r="E629" s="134"/>
      <c r="F629" s="134"/>
      <c r="G629" s="135"/>
      <c r="H629" s="135"/>
      <c r="I629" s="135"/>
      <c r="J629" s="136"/>
      <c r="K629" s="134"/>
      <c r="L629" s="134"/>
      <c r="M629" s="134"/>
      <c r="N629" s="134"/>
      <c r="O629" s="134"/>
      <c r="P629" s="134"/>
      <c r="Q629" s="134"/>
      <c r="R629" s="134"/>
      <c r="S629" s="134"/>
    </row>
    <row r="630" spans="1:19" x14ac:dyDescent="0.25">
      <c r="A630" s="133"/>
      <c r="B630" s="134"/>
      <c r="C630" s="134"/>
      <c r="D630" s="134"/>
      <c r="E630" s="134"/>
      <c r="F630" s="134"/>
      <c r="G630" s="135"/>
      <c r="H630" s="135"/>
      <c r="I630" s="135"/>
      <c r="J630" s="136"/>
      <c r="K630" s="134"/>
      <c r="L630" s="134"/>
      <c r="M630" s="134"/>
      <c r="N630" s="134"/>
      <c r="O630" s="134"/>
      <c r="P630" s="134"/>
      <c r="Q630" s="134"/>
      <c r="R630" s="134"/>
      <c r="S630" s="134"/>
    </row>
    <row r="631" spans="1:19" x14ac:dyDescent="0.25">
      <c r="A631" s="133"/>
      <c r="B631" s="134"/>
      <c r="C631" s="134"/>
      <c r="D631" s="134"/>
      <c r="E631" s="134"/>
      <c r="F631" s="134"/>
      <c r="G631" s="135"/>
      <c r="H631" s="135"/>
      <c r="I631" s="135"/>
      <c r="J631" s="136"/>
      <c r="K631" s="134"/>
      <c r="L631" s="134"/>
      <c r="M631" s="134"/>
      <c r="N631" s="134"/>
      <c r="O631" s="134"/>
      <c r="P631" s="134"/>
      <c r="Q631" s="134"/>
      <c r="R631" s="134"/>
      <c r="S631" s="134"/>
    </row>
    <row r="632" spans="1:19" x14ac:dyDescent="0.25">
      <c r="A632" s="133"/>
      <c r="B632" s="134"/>
      <c r="C632" s="134"/>
      <c r="D632" s="134"/>
      <c r="E632" s="134"/>
      <c r="F632" s="134"/>
      <c r="G632" s="135"/>
      <c r="H632" s="135"/>
      <c r="I632" s="135"/>
      <c r="J632" s="136"/>
      <c r="K632" s="134"/>
      <c r="L632" s="134"/>
      <c r="M632" s="134"/>
      <c r="N632" s="134"/>
      <c r="O632" s="134"/>
      <c r="P632" s="134"/>
      <c r="Q632" s="134"/>
      <c r="R632" s="134"/>
      <c r="S632" s="134"/>
    </row>
    <row r="633" spans="1:19" x14ac:dyDescent="0.25">
      <c r="A633" s="133"/>
      <c r="B633" s="134"/>
      <c r="C633" s="134"/>
      <c r="D633" s="134"/>
      <c r="E633" s="134"/>
      <c r="F633" s="134"/>
      <c r="G633" s="135"/>
      <c r="H633" s="135"/>
      <c r="I633" s="135"/>
      <c r="J633" s="136"/>
      <c r="K633" s="134"/>
      <c r="L633" s="134"/>
      <c r="M633" s="134"/>
      <c r="N633" s="134"/>
      <c r="O633" s="134"/>
      <c r="P633" s="134"/>
      <c r="Q633" s="134"/>
      <c r="R633" s="134"/>
      <c r="S633" s="134"/>
    </row>
    <row r="634" spans="1:19" x14ac:dyDescent="0.25">
      <c r="A634" s="133"/>
      <c r="B634" s="134"/>
      <c r="C634" s="134"/>
      <c r="D634" s="134"/>
      <c r="E634" s="134"/>
      <c r="F634" s="134"/>
      <c r="G634" s="135"/>
      <c r="H634" s="135"/>
      <c r="I634" s="135"/>
      <c r="J634" s="136"/>
      <c r="K634" s="134"/>
      <c r="L634" s="134"/>
      <c r="M634" s="134"/>
      <c r="N634" s="134"/>
      <c r="O634" s="134"/>
      <c r="P634" s="134"/>
      <c r="Q634" s="134"/>
      <c r="R634" s="134"/>
      <c r="S634" s="134"/>
    </row>
    <row r="635" spans="1:19" x14ac:dyDescent="0.25">
      <c r="A635" s="133"/>
      <c r="B635" s="134"/>
      <c r="C635" s="134"/>
      <c r="D635" s="134"/>
      <c r="E635" s="134"/>
      <c r="F635" s="134"/>
      <c r="G635" s="135"/>
      <c r="H635" s="135"/>
      <c r="I635" s="135"/>
      <c r="J635" s="136"/>
      <c r="K635" s="134"/>
      <c r="L635" s="134"/>
      <c r="M635" s="134"/>
      <c r="N635" s="134"/>
      <c r="O635" s="134"/>
      <c r="P635" s="134"/>
      <c r="Q635" s="134"/>
      <c r="R635" s="134"/>
      <c r="S635" s="134"/>
    </row>
    <row r="636" spans="1:19" x14ac:dyDescent="0.25">
      <c r="A636" s="133"/>
      <c r="B636" s="134"/>
      <c r="C636" s="134"/>
      <c r="D636" s="134"/>
      <c r="E636" s="134"/>
      <c r="F636" s="134"/>
      <c r="G636" s="135"/>
      <c r="H636" s="135"/>
      <c r="I636" s="135"/>
      <c r="J636" s="136"/>
      <c r="K636" s="134"/>
      <c r="L636" s="134"/>
      <c r="M636" s="134"/>
      <c r="N636" s="134"/>
      <c r="O636" s="134"/>
      <c r="P636" s="134"/>
      <c r="Q636" s="134"/>
      <c r="R636" s="134"/>
      <c r="S636" s="134"/>
    </row>
    <row r="637" spans="1:19" x14ac:dyDescent="0.25">
      <c r="A637" s="133"/>
      <c r="B637" s="134"/>
      <c r="C637" s="134"/>
      <c r="D637" s="134"/>
      <c r="E637" s="134"/>
      <c r="F637" s="134"/>
      <c r="G637" s="135"/>
      <c r="H637" s="135"/>
      <c r="I637" s="135"/>
      <c r="J637" s="136"/>
      <c r="K637" s="134"/>
      <c r="L637" s="134"/>
      <c r="M637" s="134"/>
      <c r="N637" s="134"/>
      <c r="O637" s="134"/>
      <c r="P637" s="134"/>
      <c r="Q637" s="134"/>
      <c r="R637" s="134"/>
      <c r="S637" s="134"/>
    </row>
    <row r="638" spans="1:19" x14ac:dyDescent="0.25">
      <c r="A638" s="133"/>
      <c r="B638" s="134"/>
      <c r="C638" s="134"/>
      <c r="D638" s="134"/>
      <c r="E638" s="134"/>
      <c r="F638" s="134"/>
      <c r="G638" s="135"/>
      <c r="H638" s="135"/>
      <c r="I638" s="135"/>
      <c r="J638" s="136"/>
      <c r="K638" s="134"/>
      <c r="L638" s="134"/>
      <c r="M638" s="134"/>
      <c r="N638" s="134"/>
      <c r="O638" s="134"/>
      <c r="P638" s="134"/>
      <c r="Q638" s="134"/>
      <c r="R638" s="134"/>
      <c r="S638" s="134"/>
    </row>
    <row r="639" spans="1:19" x14ac:dyDescent="0.25">
      <c r="A639" s="133"/>
      <c r="B639" s="134"/>
      <c r="C639" s="134"/>
      <c r="D639" s="134"/>
      <c r="E639" s="134"/>
      <c r="F639" s="134"/>
      <c r="G639" s="135"/>
      <c r="H639" s="135"/>
      <c r="I639" s="135"/>
      <c r="J639" s="136"/>
      <c r="K639" s="134"/>
      <c r="L639" s="134"/>
      <c r="M639" s="134"/>
      <c r="N639" s="134"/>
      <c r="O639" s="134"/>
      <c r="P639" s="134"/>
      <c r="Q639" s="134"/>
      <c r="R639" s="134"/>
      <c r="S639" s="134"/>
    </row>
    <row r="640" spans="1:19" x14ac:dyDescent="0.25">
      <c r="A640" s="133"/>
      <c r="B640" s="134"/>
      <c r="C640" s="134"/>
      <c r="D640" s="134"/>
      <c r="E640" s="134"/>
      <c r="F640" s="134"/>
      <c r="G640" s="135"/>
      <c r="H640" s="135"/>
      <c r="I640" s="135"/>
      <c r="J640" s="136"/>
      <c r="K640" s="134"/>
      <c r="L640" s="134"/>
      <c r="M640" s="134"/>
      <c r="N640" s="134"/>
      <c r="O640" s="134"/>
      <c r="P640" s="134"/>
      <c r="Q640" s="134"/>
      <c r="R640" s="134"/>
      <c r="S640" s="134"/>
    </row>
    <row r="641" spans="1:19" x14ac:dyDescent="0.25">
      <c r="A641" s="133"/>
      <c r="B641" s="134"/>
      <c r="C641" s="134"/>
      <c r="D641" s="134"/>
      <c r="E641" s="134"/>
      <c r="F641" s="134"/>
      <c r="G641" s="135"/>
      <c r="H641" s="135"/>
      <c r="I641" s="135"/>
      <c r="J641" s="136"/>
      <c r="K641" s="134"/>
      <c r="L641" s="134"/>
      <c r="M641" s="134"/>
      <c r="N641" s="134"/>
      <c r="O641" s="134"/>
      <c r="P641" s="134"/>
      <c r="Q641" s="134"/>
      <c r="R641" s="134"/>
      <c r="S641" s="134"/>
    </row>
    <row r="642" spans="1:19" x14ac:dyDescent="0.25">
      <c r="A642" s="133"/>
      <c r="B642" s="134"/>
      <c r="C642" s="134"/>
      <c r="D642" s="134"/>
      <c r="E642" s="134"/>
      <c r="F642" s="134"/>
      <c r="G642" s="135"/>
      <c r="H642" s="135"/>
      <c r="I642" s="135"/>
      <c r="J642" s="136"/>
      <c r="K642" s="134"/>
      <c r="L642" s="134"/>
      <c r="M642" s="134"/>
      <c r="N642" s="134"/>
      <c r="O642" s="134"/>
      <c r="P642" s="134"/>
      <c r="Q642" s="134"/>
      <c r="R642" s="134"/>
      <c r="S642" s="134"/>
    </row>
    <row r="643" spans="1:19" x14ac:dyDescent="0.25">
      <c r="A643" s="133"/>
      <c r="B643" s="134"/>
      <c r="C643" s="134"/>
      <c r="D643" s="134"/>
      <c r="E643" s="134"/>
      <c r="F643" s="134"/>
      <c r="G643" s="135"/>
      <c r="H643" s="135"/>
      <c r="I643" s="135"/>
      <c r="J643" s="136"/>
      <c r="K643" s="134"/>
      <c r="L643" s="134"/>
      <c r="M643" s="134"/>
      <c r="N643" s="134"/>
      <c r="O643" s="134"/>
      <c r="P643" s="134"/>
      <c r="Q643" s="134"/>
      <c r="R643" s="134"/>
      <c r="S643" s="134"/>
    </row>
    <row r="644" spans="1:19" x14ac:dyDescent="0.25">
      <c r="A644" s="133"/>
      <c r="B644" s="134"/>
      <c r="C644" s="134"/>
      <c r="D644" s="134"/>
      <c r="E644" s="134"/>
      <c r="F644" s="134"/>
      <c r="G644" s="135"/>
      <c r="H644" s="135"/>
      <c r="I644" s="135"/>
      <c r="J644" s="136"/>
      <c r="K644" s="134"/>
      <c r="L644" s="134"/>
      <c r="M644" s="134"/>
      <c r="N644" s="134"/>
      <c r="O644" s="134"/>
      <c r="P644" s="134"/>
      <c r="Q644" s="134"/>
      <c r="R644" s="134"/>
      <c r="S644" s="134"/>
    </row>
    <row r="645" spans="1:19" x14ac:dyDescent="0.25">
      <c r="A645" s="133"/>
      <c r="B645" s="134"/>
      <c r="C645" s="134"/>
      <c r="D645" s="134"/>
      <c r="E645" s="134"/>
      <c r="F645" s="134"/>
      <c r="G645" s="135"/>
      <c r="H645" s="135"/>
      <c r="I645" s="135"/>
      <c r="J645" s="136"/>
      <c r="K645" s="134"/>
      <c r="L645" s="134"/>
      <c r="M645" s="134"/>
      <c r="N645" s="134"/>
      <c r="O645" s="134"/>
      <c r="P645" s="134"/>
      <c r="Q645" s="134"/>
      <c r="R645" s="134"/>
      <c r="S645" s="134"/>
    </row>
    <row r="646" spans="1:19" x14ac:dyDescent="0.25">
      <c r="A646" s="133"/>
      <c r="B646" s="134"/>
      <c r="C646" s="134"/>
      <c r="D646" s="134"/>
      <c r="E646" s="134"/>
      <c r="F646" s="134"/>
      <c r="G646" s="135"/>
      <c r="H646" s="135"/>
      <c r="I646" s="135"/>
      <c r="J646" s="136"/>
      <c r="K646" s="134"/>
      <c r="L646" s="134"/>
      <c r="M646" s="134"/>
      <c r="N646" s="134"/>
      <c r="O646" s="134"/>
      <c r="P646" s="134"/>
      <c r="Q646" s="134"/>
      <c r="R646" s="134"/>
      <c r="S646" s="134"/>
    </row>
    <row r="647" spans="1:19" x14ac:dyDescent="0.25">
      <c r="A647" s="133"/>
      <c r="B647" s="134"/>
      <c r="C647" s="134"/>
      <c r="D647" s="134"/>
      <c r="E647" s="134"/>
      <c r="F647" s="134"/>
      <c r="G647" s="135"/>
      <c r="H647" s="135"/>
      <c r="I647" s="135"/>
      <c r="J647" s="136"/>
      <c r="K647" s="134"/>
      <c r="L647" s="134"/>
      <c r="M647" s="134"/>
      <c r="N647" s="134"/>
      <c r="O647" s="134"/>
      <c r="P647" s="134"/>
      <c r="Q647" s="134"/>
      <c r="R647" s="134"/>
      <c r="S647" s="134"/>
    </row>
    <row r="648" spans="1:19" x14ac:dyDescent="0.25">
      <c r="A648" s="133"/>
      <c r="B648" s="134"/>
      <c r="C648" s="134"/>
      <c r="D648" s="134"/>
      <c r="E648" s="134"/>
      <c r="F648" s="134"/>
      <c r="G648" s="135"/>
      <c r="H648" s="135"/>
      <c r="I648" s="135"/>
      <c r="J648" s="136"/>
      <c r="K648" s="134"/>
      <c r="L648" s="134"/>
      <c r="M648" s="134"/>
      <c r="N648" s="134"/>
      <c r="O648" s="134"/>
      <c r="P648" s="134"/>
      <c r="Q648" s="134"/>
      <c r="R648" s="134"/>
      <c r="S648" s="134"/>
    </row>
    <row r="649" spans="1:19" x14ac:dyDescent="0.25">
      <c r="A649" s="133"/>
      <c r="B649" s="134"/>
      <c r="C649" s="134"/>
      <c r="D649" s="134"/>
      <c r="E649" s="134"/>
      <c r="F649" s="134"/>
      <c r="G649" s="135"/>
      <c r="H649" s="135"/>
      <c r="I649" s="135"/>
      <c r="J649" s="136"/>
      <c r="K649" s="134"/>
      <c r="L649" s="134"/>
      <c r="M649" s="134"/>
      <c r="N649" s="134"/>
      <c r="O649" s="134"/>
      <c r="P649" s="134"/>
      <c r="Q649" s="134"/>
      <c r="R649" s="134"/>
      <c r="S649" s="134"/>
    </row>
    <row r="650" spans="1:19" x14ac:dyDescent="0.25">
      <c r="A650" s="133"/>
      <c r="B650" s="134"/>
      <c r="C650" s="134"/>
      <c r="D650" s="134"/>
      <c r="E650" s="134"/>
      <c r="F650" s="134"/>
      <c r="G650" s="135"/>
      <c r="H650" s="135"/>
      <c r="I650" s="135"/>
      <c r="J650" s="136"/>
      <c r="K650" s="134"/>
      <c r="L650" s="134"/>
      <c r="M650" s="134"/>
      <c r="N650" s="134"/>
      <c r="O650" s="134"/>
      <c r="P650" s="134"/>
      <c r="Q650" s="134"/>
      <c r="R650" s="134"/>
      <c r="S650" s="134"/>
    </row>
    <row r="651" spans="1:19" x14ac:dyDescent="0.25">
      <c r="A651" s="133"/>
      <c r="B651" s="134"/>
      <c r="C651" s="134"/>
      <c r="D651" s="134"/>
      <c r="E651" s="134"/>
      <c r="F651" s="134"/>
      <c r="G651" s="135"/>
      <c r="H651" s="135"/>
      <c r="I651" s="135"/>
      <c r="J651" s="136"/>
      <c r="K651" s="134"/>
      <c r="L651" s="134"/>
      <c r="M651" s="134"/>
      <c r="N651" s="134"/>
      <c r="O651" s="134"/>
      <c r="P651" s="134"/>
      <c r="Q651" s="134"/>
      <c r="R651" s="134"/>
      <c r="S651" s="134"/>
    </row>
    <row r="652" spans="1:19" x14ac:dyDescent="0.25">
      <c r="A652" s="133"/>
      <c r="B652" s="134"/>
      <c r="C652" s="134"/>
      <c r="D652" s="134"/>
      <c r="E652" s="134"/>
      <c r="F652" s="134"/>
      <c r="G652" s="135"/>
      <c r="H652" s="135"/>
      <c r="I652" s="135"/>
      <c r="J652" s="136"/>
      <c r="K652" s="134"/>
      <c r="L652" s="134"/>
      <c r="M652" s="134"/>
      <c r="N652" s="134"/>
      <c r="O652" s="134"/>
      <c r="P652" s="134"/>
      <c r="Q652" s="134"/>
      <c r="R652" s="134"/>
      <c r="S652" s="134"/>
    </row>
    <row r="653" spans="1:19" x14ac:dyDescent="0.25">
      <c r="A653" s="133"/>
      <c r="B653" s="134"/>
      <c r="C653" s="134"/>
      <c r="D653" s="134"/>
      <c r="E653" s="134"/>
      <c r="F653" s="134"/>
      <c r="G653" s="135"/>
      <c r="H653" s="135"/>
      <c r="I653" s="135"/>
      <c r="J653" s="136"/>
      <c r="K653" s="134"/>
      <c r="L653" s="134"/>
      <c r="M653" s="134"/>
      <c r="N653" s="134"/>
      <c r="O653" s="134"/>
      <c r="P653" s="134"/>
      <c r="Q653" s="134"/>
      <c r="R653" s="134"/>
      <c r="S653" s="134"/>
    </row>
    <row r="654" spans="1:19" x14ac:dyDescent="0.25">
      <c r="A654" s="133"/>
      <c r="B654" s="134"/>
      <c r="C654" s="134"/>
      <c r="D654" s="134"/>
      <c r="E654" s="134"/>
      <c r="F654" s="134"/>
      <c r="G654" s="135"/>
      <c r="H654" s="135"/>
      <c r="I654" s="135"/>
      <c r="J654" s="136"/>
      <c r="K654" s="134"/>
      <c r="L654" s="134"/>
      <c r="M654" s="134"/>
      <c r="N654" s="134"/>
      <c r="O654" s="134"/>
      <c r="P654" s="134"/>
      <c r="Q654" s="134"/>
      <c r="R654" s="134"/>
      <c r="S654" s="134"/>
    </row>
    <row r="655" spans="1:19" x14ac:dyDescent="0.25">
      <c r="A655" s="133"/>
      <c r="B655" s="134"/>
      <c r="C655" s="134"/>
      <c r="D655" s="134"/>
      <c r="E655" s="134"/>
      <c r="F655" s="134"/>
      <c r="G655" s="135"/>
      <c r="H655" s="135"/>
      <c r="I655" s="135"/>
      <c r="J655" s="136"/>
      <c r="K655" s="134"/>
      <c r="L655" s="134"/>
      <c r="M655" s="134"/>
      <c r="N655" s="134"/>
      <c r="O655" s="134"/>
      <c r="P655" s="134"/>
      <c r="Q655" s="134"/>
      <c r="R655" s="134"/>
      <c r="S655" s="134"/>
    </row>
    <row r="656" spans="1:19" x14ac:dyDescent="0.25">
      <c r="A656" s="133"/>
      <c r="B656" s="134"/>
      <c r="C656" s="134"/>
      <c r="D656" s="134"/>
      <c r="E656" s="134"/>
      <c r="F656" s="134"/>
      <c r="G656" s="135"/>
      <c r="H656" s="135"/>
      <c r="I656" s="135"/>
      <c r="J656" s="136"/>
      <c r="K656" s="134"/>
      <c r="L656" s="134"/>
      <c r="M656" s="134"/>
      <c r="N656" s="134"/>
      <c r="O656" s="134"/>
      <c r="P656" s="134"/>
      <c r="Q656" s="134"/>
      <c r="R656" s="134"/>
      <c r="S656" s="134"/>
    </row>
    <row r="657" spans="1:19" x14ac:dyDescent="0.25">
      <c r="A657" s="133"/>
      <c r="B657" s="134"/>
      <c r="C657" s="134"/>
      <c r="D657" s="134"/>
      <c r="E657" s="134"/>
      <c r="F657" s="134"/>
      <c r="G657" s="135"/>
      <c r="H657" s="135"/>
      <c r="I657" s="135"/>
      <c r="J657" s="136"/>
      <c r="K657" s="134"/>
      <c r="L657" s="134"/>
      <c r="M657" s="134"/>
      <c r="N657" s="134"/>
      <c r="O657" s="134"/>
      <c r="P657" s="134"/>
      <c r="Q657" s="134"/>
      <c r="R657" s="134"/>
      <c r="S657" s="134"/>
    </row>
    <row r="658" spans="1:19" x14ac:dyDescent="0.25">
      <c r="A658" s="133"/>
      <c r="B658" s="134"/>
      <c r="C658" s="134"/>
      <c r="D658" s="134"/>
      <c r="E658" s="134"/>
      <c r="F658" s="134"/>
      <c r="G658" s="135"/>
      <c r="H658" s="135"/>
      <c r="I658" s="135"/>
      <c r="J658" s="136"/>
      <c r="K658" s="134"/>
      <c r="L658" s="134"/>
      <c r="M658" s="134"/>
      <c r="N658" s="134"/>
      <c r="O658" s="134"/>
      <c r="P658" s="134"/>
      <c r="Q658" s="134"/>
      <c r="R658" s="134"/>
      <c r="S658" s="134"/>
    </row>
    <row r="659" spans="1:19" x14ac:dyDescent="0.25">
      <c r="A659" s="133"/>
      <c r="B659" s="134"/>
      <c r="C659" s="134"/>
      <c r="D659" s="134"/>
      <c r="E659" s="134"/>
      <c r="F659" s="134"/>
      <c r="G659" s="135"/>
      <c r="H659" s="135"/>
      <c r="I659" s="135"/>
      <c r="J659" s="136"/>
      <c r="K659" s="134"/>
      <c r="L659" s="134"/>
      <c r="M659" s="134"/>
      <c r="N659" s="134"/>
      <c r="O659" s="134"/>
      <c r="P659" s="134"/>
      <c r="Q659" s="134"/>
      <c r="R659" s="134"/>
      <c r="S659" s="134"/>
    </row>
    <row r="660" spans="1:19" x14ac:dyDescent="0.25">
      <c r="A660" s="133"/>
      <c r="B660" s="134"/>
      <c r="C660" s="134"/>
      <c r="D660" s="134"/>
      <c r="E660" s="134"/>
      <c r="F660" s="134"/>
      <c r="G660" s="135"/>
      <c r="H660" s="135"/>
      <c r="I660" s="135"/>
      <c r="J660" s="136"/>
      <c r="K660" s="134"/>
      <c r="L660" s="134"/>
      <c r="M660" s="134"/>
      <c r="N660" s="134"/>
      <c r="O660" s="134"/>
      <c r="P660" s="134"/>
      <c r="Q660" s="134"/>
      <c r="R660" s="134"/>
      <c r="S660" s="134"/>
    </row>
    <row r="661" spans="1:19" x14ac:dyDescent="0.25">
      <c r="A661" s="133"/>
      <c r="B661" s="134"/>
      <c r="C661" s="134"/>
      <c r="D661" s="134"/>
      <c r="E661" s="134"/>
      <c r="F661" s="134"/>
      <c r="G661" s="135"/>
      <c r="H661" s="135"/>
      <c r="I661" s="135"/>
      <c r="J661" s="136"/>
      <c r="K661" s="134"/>
      <c r="L661" s="134"/>
      <c r="M661" s="134"/>
      <c r="N661" s="134"/>
      <c r="O661" s="134"/>
      <c r="P661" s="134"/>
      <c r="Q661" s="134"/>
      <c r="R661" s="134"/>
      <c r="S661" s="134"/>
    </row>
    <row r="662" spans="1:19" x14ac:dyDescent="0.25">
      <c r="A662" s="133"/>
      <c r="B662" s="134"/>
      <c r="C662" s="134"/>
      <c r="D662" s="134"/>
      <c r="E662" s="134"/>
      <c r="F662" s="134"/>
      <c r="G662" s="135"/>
      <c r="H662" s="135"/>
      <c r="I662" s="135"/>
      <c r="J662" s="136"/>
      <c r="K662" s="134"/>
      <c r="L662" s="134"/>
      <c r="M662" s="134"/>
      <c r="N662" s="134"/>
      <c r="O662" s="134"/>
      <c r="P662" s="134"/>
      <c r="Q662" s="134"/>
      <c r="R662" s="134"/>
      <c r="S662" s="134"/>
    </row>
    <row r="663" spans="1:19" x14ac:dyDescent="0.25">
      <c r="A663" s="133"/>
      <c r="B663" s="134"/>
      <c r="C663" s="134"/>
      <c r="D663" s="134"/>
      <c r="E663" s="134"/>
      <c r="F663" s="134"/>
      <c r="G663" s="135"/>
      <c r="H663" s="135"/>
      <c r="I663" s="135"/>
      <c r="J663" s="136"/>
      <c r="K663" s="134"/>
      <c r="L663" s="134"/>
      <c r="M663" s="134"/>
      <c r="N663" s="134"/>
      <c r="O663" s="134"/>
      <c r="P663" s="134"/>
      <c r="Q663" s="134"/>
      <c r="R663" s="134"/>
      <c r="S663" s="134"/>
    </row>
    <row r="664" spans="1:19" x14ac:dyDescent="0.25">
      <c r="A664" s="133"/>
      <c r="B664" s="134"/>
      <c r="C664" s="134"/>
      <c r="D664" s="134"/>
      <c r="E664" s="134"/>
      <c r="F664" s="134"/>
      <c r="G664" s="135"/>
      <c r="H664" s="135"/>
      <c r="I664" s="135"/>
      <c r="J664" s="136"/>
      <c r="K664" s="134"/>
      <c r="L664" s="134"/>
      <c r="M664" s="134"/>
      <c r="N664" s="134"/>
      <c r="O664" s="134"/>
      <c r="P664" s="134"/>
      <c r="Q664" s="134"/>
      <c r="R664" s="134"/>
      <c r="S664" s="134"/>
    </row>
    <row r="665" spans="1:19" x14ac:dyDescent="0.25">
      <c r="A665" s="133"/>
      <c r="B665" s="134"/>
      <c r="C665" s="134"/>
      <c r="D665" s="134"/>
      <c r="E665" s="134"/>
      <c r="F665" s="134"/>
      <c r="G665" s="135"/>
      <c r="H665" s="135"/>
      <c r="I665" s="135"/>
      <c r="J665" s="136"/>
      <c r="K665" s="134"/>
      <c r="L665" s="134"/>
      <c r="M665" s="134"/>
      <c r="N665" s="134"/>
      <c r="O665" s="134"/>
      <c r="P665" s="134"/>
      <c r="Q665" s="134"/>
      <c r="R665" s="134"/>
      <c r="S665" s="134"/>
    </row>
    <row r="666" spans="1:19" x14ac:dyDescent="0.25">
      <c r="A666" s="133"/>
      <c r="B666" s="134"/>
      <c r="C666" s="134"/>
      <c r="D666" s="134"/>
      <c r="E666" s="134"/>
      <c r="F666" s="134"/>
      <c r="G666" s="135"/>
      <c r="H666" s="135"/>
      <c r="I666" s="135"/>
      <c r="J666" s="136"/>
      <c r="K666" s="134"/>
      <c r="L666" s="134"/>
      <c r="M666" s="134"/>
      <c r="N666" s="134"/>
      <c r="O666" s="134"/>
      <c r="P666" s="134"/>
      <c r="Q666" s="134"/>
      <c r="R666" s="134"/>
      <c r="S666" s="134"/>
    </row>
    <row r="667" spans="1:19" x14ac:dyDescent="0.25">
      <c r="A667" s="133"/>
      <c r="B667" s="134"/>
      <c r="C667" s="134"/>
      <c r="D667" s="134"/>
      <c r="E667" s="134"/>
      <c r="F667" s="134"/>
      <c r="G667" s="135"/>
      <c r="H667" s="135"/>
      <c r="I667" s="135"/>
      <c r="J667" s="136"/>
      <c r="K667" s="134"/>
      <c r="L667" s="134"/>
      <c r="M667" s="134"/>
      <c r="N667" s="134"/>
      <c r="O667" s="134"/>
      <c r="P667" s="134"/>
      <c r="Q667" s="134"/>
      <c r="R667" s="134"/>
      <c r="S667" s="134"/>
    </row>
    <row r="668" spans="1:19" x14ac:dyDescent="0.25">
      <c r="A668" s="133"/>
      <c r="B668" s="134"/>
      <c r="C668" s="134"/>
      <c r="D668" s="134"/>
      <c r="E668" s="134"/>
      <c r="F668" s="134"/>
      <c r="G668" s="135"/>
      <c r="H668" s="135"/>
      <c r="I668" s="135"/>
      <c r="J668" s="136"/>
      <c r="K668" s="134"/>
      <c r="L668" s="134"/>
      <c r="M668" s="134"/>
      <c r="N668" s="134"/>
      <c r="O668" s="134"/>
      <c r="P668" s="134"/>
      <c r="Q668" s="134"/>
      <c r="R668" s="134"/>
      <c r="S668" s="134"/>
    </row>
    <row r="669" spans="1:19" x14ac:dyDescent="0.25">
      <c r="A669" s="133"/>
      <c r="B669" s="134"/>
      <c r="C669" s="134"/>
      <c r="D669" s="134"/>
      <c r="E669" s="134"/>
      <c r="F669" s="134"/>
      <c r="G669" s="135"/>
      <c r="H669" s="135"/>
      <c r="I669" s="135"/>
      <c r="J669" s="136"/>
      <c r="K669" s="134"/>
      <c r="L669" s="134"/>
      <c r="M669" s="134"/>
      <c r="N669" s="134"/>
      <c r="O669" s="134"/>
      <c r="P669" s="134"/>
      <c r="Q669" s="134"/>
      <c r="R669" s="134"/>
      <c r="S669" s="134"/>
    </row>
    <row r="670" spans="1:19" x14ac:dyDescent="0.25">
      <c r="A670" s="133"/>
      <c r="B670" s="134"/>
      <c r="C670" s="134"/>
      <c r="D670" s="134"/>
      <c r="E670" s="134"/>
      <c r="F670" s="134"/>
      <c r="G670" s="135"/>
      <c r="H670" s="135"/>
      <c r="I670" s="135"/>
      <c r="J670" s="136"/>
      <c r="K670" s="134"/>
      <c r="L670" s="134"/>
      <c r="M670" s="134"/>
      <c r="N670" s="134"/>
      <c r="O670" s="134"/>
      <c r="P670" s="134"/>
      <c r="Q670" s="134"/>
      <c r="R670" s="134"/>
      <c r="S670" s="134"/>
    </row>
    <row r="671" spans="1:19" x14ac:dyDescent="0.25">
      <c r="A671" s="133"/>
      <c r="B671" s="134"/>
      <c r="C671" s="134"/>
      <c r="D671" s="134"/>
      <c r="E671" s="134"/>
      <c r="F671" s="134"/>
      <c r="G671" s="135"/>
      <c r="H671" s="135"/>
      <c r="I671" s="135"/>
      <c r="J671" s="136"/>
      <c r="K671" s="134"/>
      <c r="L671" s="134"/>
      <c r="M671" s="134"/>
      <c r="N671" s="134"/>
      <c r="O671" s="134"/>
      <c r="P671" s="134"/>
      <c r="Q671" s="134"/>
      <c r="R671" s="134"/>
      <c r="S671" s="134"/>
    </row>
    <row r="672" spans="1:19" x14ac:dyDescent="0.25">
      <c r="A672" s="133"/>
      <c r="B672" s="134"/>
      <c r="C672" s="134"/>
      <c r="D672" s="134"/>
      <c r="E672" s="134"/>
      <c r="F672" s="134"/>
      <c r="G672" s="135"/>
      <c r="H672" s="135"/>
      <c r="I672" s="135"/>
      <c r="J672" s="136"/>
      <c r="K672" s="134"/>
      <c r="L672" s="134"/>
      <c r="M672" s="134"/>
      <c r="N672" s="134"/>
      <c r="O672" s="134"/>
      <c r="P672" s="134"/>
      <c r="Q672" s="134"/>
      <c r="R672" s="134"/>
      <c r="S672" s="134"/>
    </row>
    <row r="673" spans="1:19" x14ac:dyDescent="0.25">
      <c r="A673" s="133"/>
      <c r="B673" s="134"/>
      <c r="C673" s="134"/>
      <c r="D673" s="134"/>
      <c r="E673" s="134"/>
      <c r="F673" s="134"/>
      <c r="G673" s="135"/>
      <c r="H673" s="135"/>
      <c r="I673" s="135"/>
      <c r="J673" s="136"/>
      <c r="K673" s="134"/>
      <c r="L673" s="134"/>
      <c r="M673" s="134"/>
      <c r="N673" s="134"/>
      <c r="O673" s="134"/>
      <c r="P673" s="134"/>
      <c r="Q673" s="134"/>
      <c r="R673" s="134"/>
      <c r="S673" s="134"/>
    </row>
    <row r="674" spans="1:19" x14ac:dyDescent="0.25">
      <c r="A674" s="133"/>
      <c r="B674" s="134"/>
      <c r="C674" s="134"/>
      <c r="D674" s="134"/>
      <c r="E674" s="134"/>
      <c r="F674" s="134"/>
      <c r="G674" s="135"/>
      <c r="H674" s="135"/>
      <c r="I674" s="135"/>
      <c r="J674" s="136"/>
      <c r="K674" s="134"/>
      <c r="L674" s="134"/>
      <c r="M674" s="134"/>
      <c r="N674" s="134"/>
      <c r="O674" s="134"/>
      <c r="P674" s="134"/>
      <c r="Q674" s="134"/>
      <c r="R674" s="134"/>
      <c r="S674" s="134"/>
    </row>
    <row r="675" spans="1:19" x14ac:dyDescent="0.25">
      <c r="A675" s="133"/>
      <c r="B675" s="134"/>
      <c r="C675" s="134"/>
      <c r="D675" s="134"/>
      <c r="E675" s="134"/>
      <c r="F675" s="134"/>
      <c r="G675" s="135"/>
      <c r="H675" s="135"/>
      <c r="I675" s="135"/>
      <c r="J675" s="136"/>
      <c r="K675" s="134"/>
      <c r="L675" s="134"/>
      <c r="M675" s="134"/>
      <c r="N675" s="134"/>
      <c r="O675" s="134"/>
      <c r="P675" s="134"/>
      <c r="Q675" s="134"/>
      <c r="R675" s="134"/>
      <c r="S675" s="134"/>
    </row>
    <row r="676" spans="1:19" x14ac:dyDescent="0.25">
      <c r="A676" s="133"/>
      <c r="B676" s="134"/>
      <c r="C676" s="134"/>
      <c r="D676" s="134"/>
      <c r="E676" s="134"/>
      <c r="F676" s="134"/>
      <c r="G676" s="135"/>
      <c r="H676" s="135"/>
      <c r="I676" s="135"/>
      <c r="J676" s="136"/>
      <c r="K676" s="134"/>
      <c r="L676" s="134"/>
      <c r="M676" s="134"/>
      <c r="N676" s="134"/>
      <c r="O676" s="134"/>
      <c r="P676" s="134"/>
      <c r="Q676" s="134"/>
      <c r="R676" s="134"/>
      <c r="S676" s="134"/>
    </row>
    <row r="677" spans="1:19" x14ac:dyDescent="0.25">
      <c r="A677" s="133"/>
      <c r="B677" s="134"/>
      <c r="C677" s="134"/>
      <c r="D677" s="134"/>
      <c r="E677" s="134"/>
      <c r="F677" s="134"/>
      <c r="G677" s="135"/>
      <c r="H677" s="135"/>
      <c r="I677" s="135"/>
      <c r="J677" s="136"/>
      <c r="K677" s="134"/>
      <c r="L677" s="134"/>
      <c r="M677" s="134"/>
      <c r="N677" s="134"/>
      <c r="O677" s="134"/>
      <c r="P677" s="134"/>
      <c r="Q677" s="134"/>
      <c r="R677" s="134"/>
      <c r="S677" s="134"/>
    </row>
    <row r="678" spans="1:19" x14ac:dyDescent="0.25">
      <c r="A678" s="133"/>
      <c r="B678" s="134"/>
      <c r="C678" s="134"/>
      <c r="D678" s="134"/>
      <c r="E678" s="134"/>
      <c r="F678" s="134"/>
      <c r="G678" s="135"/>
      <c r="H678" s="135"/>
      <c r="I678" s="135"/>
      <c r="J678" s="136"/>
      <c r="K678" s="134"/>
      <c r="L678" s="134"/>
      <c r="M678" s="134"/>
      <c r="N678" s="134"/>
      <c r="O678" s="134"/>
      <c r="P678" s="134"/>
      <c r="Q678" s="134"/>
      <c r="R678" s="134"/>
      <c r="S678" s="134"/>
    </row>
    <row r="679" spans="1:19" x14ac:dyDescent="0.25">
      <c r="A679" s="133"/>
      <c r="B679" s="134"/>
      <c r="C679" s="134"/>
      <c r="D679" s="134"/>
      <c r="E679" s="134"/>
      <c r="F679" s="134"/>
      <c r="G679" s="135"/>
      <c r="H679" s="135"/>
      <c r="I679" s="135"/>
      <c r="J679" s="136"/>
      <c r="K679" s="134"/>
      <c r="L679" s="134"/>
      <c r="M679" s="134"/>
      <c r="N679" s="134"/>
      <c r="O679" s="134"/>
      <c r="P679" s="134"/>
      <c r="Q679" s="134"/>
      <c r="R679" s="134"/>
      <c r="S679" s="134"/>
    </row>
    <row r="680" spans="1:19" x14ac:dyDescent="0.25">
      <c r="A680" s="133"/>
      <c r="B680" s="134"/>
      <c r="C680" s="134"/>
      <c r="D680" s="134"/>
      <c r="E680" s="134"/>
      <c r="F680" s="134"/>
      <c r="G680" s="135"/>
      <c r="H680" s="135"/>
      <c r="I680" s="135"/>
      <c r="J680" s="136"/>
      <c r="K680" s="134"/>
      <c r="L680" s="134"/>
      <c r="M680" s="134"/>
      <c r="N680" s="134"/>
      <c r="O680" s="134"/>
      <c r="P680" s="134"/>
      <c r="Q680" s="134"/>
      <c r="R680" s="134"/>
      <c r="S680" s="134"/>
    </row>
    <row r="681" spans="1:19" x14ac:dyDescent="0.25">
      <c r="A681" s="133"/>
      <c r="B681" s="134"/>
      <c r="C681" s="134"/>
      <c r="D681" s="134"/>
      <c r="E681" s="134"/>
      <c r="F681" s="134"/>
      <c r="G681" s="135"/>
      <c r="H681" s="135"/>
      <c r="I681" s="135"/>
      <c r="J681" s="136"/>
      <c r="K681" s="134"/>
      <c r="L681" s="134"/>
      <c r="M681" s="134"/>
      <c r="N681" s="134"/>
      <c r="O681" s="134"/>
      <c r="P681" s="134"/>
      <c r="Q681" s="134"/>
      <c r="R681" s="134"/>
      <c r="S681" s="134"/>
    </row>
    <row r="682" spans="1:19" x14ac:dyDescent="0.25">
      <c r="A682" s="133"/>
      <c r="B682" s="134"/>
      <c r="C682" s="134"/>
      <c r="D682" s="134"/>
      <c r="E682" s="134"/>
      <c r="F682" s="134"/>
      <c r="G682" s="135"/>
      <c r="H682" s="135"/>
      <c r="I682" s="135"/>
      <c r="J682" s="136"/>
      <c r="K682" s="134"/>
      <c r="L682" s="134"/>
      <c r="M682" s="134"/>
      <c r="N682" s="134"/>
      <c r="O682" s="134"/>
      <c r="P682" s="134"/>
      <c r="Q682" s="134"/>
      <c r="R682" s="134"/>
      <c r="S682" s="134"/>
    </row>
    <row r="683" spans="1:19" x14ac:dyDescent="0.25">
      <c r="A683" s="133"/>
      <c r="B683" s="134"/>
      <c r="C683" s="134"/>
      <c r="D683" s="134"/>
      <c r="E683" s="134"/>
      <c r="F683" s="134"/>
      <c r="G683" s="135"/>
      <c r="H683" s="135"/>
      <c r="I683" s="135"/>
      <c r="J683" s="136"/>
      <c r="K683" s="134"/>
      <c r="L683" s="134"/>
      <c r="M683" s="134"/>
      <c r="N683" s="134"/>
      <c r="O683" s="134"/>
      <c r="P683" s="134"/>
      <c r="Q683" s="134"/>
      <c r="R683" s="134"/>
      <c r="S683" s="134"/>
    </row>
    <row r="684" spans="1:19" x14ac:dyDescent="0.25">
      <c r="A684" s="133"/>
      <c r="B684" s="134"/>
      <c r="C684" s="134"/>
      <c r="D684" s="134"/>
      <c r="E684" s="134"/>
      <c r="F684" s="134"/>
      <c r="G684" s="135"/>
      <c r="H684" s="135"/>
      <c r="I684" s="135"/>
      <c r="J684" s="136"/>
      <c r="K684" s="134"/>
      <c r="L684" s="134"/>
      <c r="M684" s="134"/>
      <c r="N684" s="134"/>
      <c r="O684" s="134"/>
      <c r="P684" s="134"/>
      <c r="Q684" s="134"/>
      <c r="R684" s="134"/>
      <c r="S684" s="134"/>
    </row>
    <row r="685" spans="1:19" x14ac:dyDescent="0.25">
      <c r="A685" s="133"/>
      <c r="B685" s="134"/>
      <c r="C685" s="134"/>
      <c r="D685" s="134"/>
      <c r="E685" s="134"/>
      <c r="F685" s="134"/>
      <c r="G685" s="135"/>
      <c r="H685" s="135"/>
      <c r="I685" s="135"/>
      <c r="J685" s="136"/>
      <c r="K685" s="134"/>
      <c r="L685" s="134"/>
      <c r="M685" s="134"/>
      <c r="N685" s="134"/>
      <c r="O685" s="134"/>
      <c r="P685" s="134"/>
      <c r="Q685" s="134"/>
      <c r="R685" s="134"/>
      <c r="S685" s="134"/>
    </row>
    <row r="686" spans="1:19" x14ac:dyDescent="0.25">
      <c r="A686" s="133"/>
      <c r="B686" s="134"/>
      <c r="C686" s="134"/>
      <c r="D686" s="134"/>
      <c r="E686" s="134"/>
      <c r="F686" s="134"/>
      <c r="G686" s="135"/>
      <c r="H686" s="135"/>
      <c r="I686" s="135"/>
      <c r="J686" s="136"/>
      <c r="K686" s="134"/>
      <c r="L686" s="134"/>
      <c r="M686" s="134"/>
      <c r="N686" s="134"/>
      <c r="O686" s="134"/>
      <c r="P686" s="134"/>
      <c r="Q686" s="134"/>
      <c r="R686" s="134"/>
      <c r="S686" s="134"/>
    </row>
    <row r="687" spans="1:19" x14ac:dyDescent="0.25">
      <c r="A687" s="133"/>
      <c r="B687" s="134"/>
      <c r="C687" s="134"/>
      <c r="D687" s="134"/>
      <c r="E687" s="134"/>
      <c r="F687" s="134"/>
      <c r="G687" s="135"/>
      <c r="H687" s="135"/>
      <c r="I687" s="135"/>
      <c r="J687" s="136"/>
      <c r="K687" s="134"/>
      <c r="L687" s="134"/>
      <c r="M687" s="134"/>
      <c r="N687" s="134"/>
      <c r="O687" s="134"/>
      <c r="P687" s="134"/>
      <c r="Q687" s="134"/>
      <c r="R687" s="134"/>
      <c r="S687" s="134"/>
    </row>
    <row r="688" spans="1:19" x14ac:dyDescent="0.25">
      <c r="A688" s="133"/>
      <c r="B688" s="134"/>
      <c r="C688" s="134"/>
      <c r="D688" s="134"/>
      <c r="E688" s="134"/>
      <c r="F688" s="134"/>
      <c r="G688" s="135"/>
      <c r="H688" s="135"/>
      <c r="I688" s="135"/>
      <c r="J688" s="136"/>
      <c r="K688" s="134"/>
      <c r="L688" s="134"/>
      <c r="M688" s="134"/>
      <c r="N688" s="134"/>
      <c r="O688" s="134"/>
      <c r="P688" s="134"/>
      <c r="Q688" s="134"/>
      <c r="R688" s="134"/>
      <c r="S688" s="134"/>
    </row>
    <row r="689" spans="1:19" x14ac:dyDescent="0.25">
      <c r="A689" s="133"/>
      <c r="B689" s="134"/>
      <c r="C689" s="134"/>
      <c r="D689" s="134"/>
      <c r="E689" s="134"/>
      <c r="F689" s="134"/>
      <c r="G689" s="135"/>
      <c r="H689" s="135"/>
      <c r="I689" s="135"/>
      <c r="J689" s="136"/>
      <c r="K689" s="134"/>
      <c r="L689" s="134"/>
      <c r="M689" s="134"/>
      <c r="N689" s="134"/>
      <c r="O689" s="134"/>
      <c r="P689" s="134"/>
      <c r="Q689" s="134"/>
      <c r="R689" s="134"/>
      <c r="S689" s="134"/>
    </row>
    <row r="690" spans="1:19" x14ac:dyDescent="0.25">
      <c r="A690" s="133"/>
      <c r="B690" s="134"/>
      <c r="C690" s="134"/>
      <c r="D690" s="134"/>
      <c r="E690" s="134"/>
      <c r="F690" s="134"/>
      <c r="G690" s="135"/>
      <c r="H690" s="135"/>
      <c r="I690" s="135"/>
      <c r="J690" s="136"/>
      <c r="K690" s="134"/>
      <c r="L690" s="134"/>
      <c r="M690" s="134"/>
      <c r="N690" s="134"/>
      <c r="O690" s="134"/>
      <c r="P690" s="134"/>
      <c r="Q690" s="134"/>
      <c r="R690" s="134"/>
      <c r="S690" s="134"/>
    </row>
    <row r="691" spans="1:19" x14ac:dyDescent="0.25">
      <c r="A691" s="133"/>
      <c r="B691" s="134"/>
      <c r="C691" s="134"/>
      <c r="D691" s="134"/>
      <c r="E691" s="134"/>
      <c r="F691" s="134"/>
      <c r="G691" s="135"/>
      <c r="H691" s="135"/>
      <c r="I691" s="135"/>
      <c r="J691" s="136"/>
      <c r="K691" s="134"/>
      <c r="L691" s="134"/>
      <c r="M691" s="134"/>
      <c r="N691" s="134"/>
      <c r="O691" s="134"/>
      <c r="P691" s="134"/>
      <c r="Q691" s="134"/>
      <c r="R691" s="134"/>
      <c r="S691" s="134"/>
    </row>
    <row r="692" spans="1:19" x14ac:dyDescent="0.25">
      <c r="A692" s="133"/>
      <c r="B692" s="134"/>
      <c r="C692" s="134"/>
      <c r="D692" s="134"/>
      <c r="E692" s="134"/>
      <c r="F692" s="134"/>
      <c r="G692" s="135"/>
      <c r="H692" s="135"/>
      <c r="I692" s="135"/>
      <c r="J692" s="136"/>
      <c r="K692" s="134"/>
      <c r="L692" s="134"/>
      <c r="M692" s="134"/>
      <c r="N692" s="134"/>
      <c r="O692" s="134"/>
      <c r="P692" s="134"/>
      <c r="Q692" s="134"/>
      <c r="R692" s="134"/>
      <c r="S692" s="134"/>
    </row>
    <row r="693" spans="1:19" x14ac:dyDescent="0.25">
      <c r="A693" s="133"/>
      <c r="B693" s="134"/>
      <c r="C693" s="134"/>
      <c r="D693" s="134"/>
      <c r="E693" s="134"/>
      <c r="F693" s="134"/>
      <c r="G693" s="135"/>
      <c r="H693" s="135"/>
      <c r="I693" s="135"/>
      <c r="J693" s="136"/>
      <c r="K693" s="134"/>
      <c r="L693" s="134"/>
      <c r="M693" s="134"/>
      <c r="N693" s="134"/>
      <c r="O693" s="134"/>
      <c r="P693" s="134"/>
      <c r="Q693" s="134"/>
      <c r="R693" s="134"/>
      <c r="S693" s="134"/>
    </row>
    <row r="694" spans="1:19" x14ac:dyDescent="0.25">
      <c r="A694" s="133"/>
      <c r="B694" s="134"/>
      <c r="C694" s="134"/>
      <c r="D694" s="134"/>
      <c r="E694" s="134"/>
      <c r="F694" s="134"/>
      <c r="G694" s="135"/>
      <c r="H694" s="135"/>
      <c r="I694" s="135"/>
      <c r="J694" s="136"/>
      <c r="K694" s="134"/>
      <c r="L694" s="134"/>
      <c r="M694" s="134"/>
      <c r="N694" s="134"/>
      <c r="O694" s="134"/>
      <c r="P694" s="134"/>
      <c r="Q694" s="134"/>
      <c r="R694" s="134"/>
      <c r="S694" s="134"/>
    </row>
    <row r="695" spans="1:19" x14ac:dyDescent="0.25">
      <c r="A695" s="133"/>
      <c r="B695" s="134"/>
      <c r="C695" s="134"/>
      <c r="D695" s="134"/>
      <c r="E695" s="134"/>
      <c r="F695" s="134"/>
      <c r="G695" s="135"/>
      <c r="H695" s="135"/>
      <c r="I695" s="135"/>
      <c r="J695" s="136"/>
      <c r="K695" s="134"/>
      <c r="L695" s="134"/>
      <c r="M695" s="134"/>
      <c r="N695" s="134"/>
      <c r="O695" s="134"/>
      <c r="P695" s="134"/>
      <c r="Q695" s="134"/>
      <c r="R695" s="134"/>
      <c r="S695" s="134"/>
    </row>
    <row r="696" spans="1:19" x14ac:dyDescent="0.25">
      <c r="A696" s="133"/>
      <c r="B696" s="134"/>
      <c r="C696" s="134"/>
      <c r="D696" s="134"/>
      <c r="E696" s="134"/>
      <c r="F696" s="134"/>
      <c r="G696" s="135"/>
      <c r="H696" s="135"/>
      <c r="I696" s="135"/>
      <c r="J696" s="136"/>
      <c r="K696" s="134"/>
      <c r="L696" s="134"/>
      <c r="M696" s="134"/>
      <c r="N696" s="134"/>
      <c r="O696" s="134"/>
      <c r="P696" s="134"/>
      <c r="Q696" s="134"/>
      <c r="R696" s="134"/>
      <c r="S696" s="134"/>
    </row>
    <row r="697" spans="1:19" x14ac:dyDescent="0.25">
      <c r="A697" s="133"/>
      <c r="B697" s="134"/>
      <c r="C697" s="134"/>
      <c r="D697" s="134"/>
      <c r="E697" s="134"/>
      <c r="F697" s="134"/>
      <c r="G697" s="135"/>
      <c r="H697" s="135"/>
      <c r="I697" s="135"/>
      <c r="J697" s="136"/>
      <c r="K697" s="134"/>
      <c r="L697" s="134"/>
      <c r="M697" s="134"/>
      <c r="N697" s="134"/>
      <c r="O697" s="134"/>
      <c r="P697" s="134"/>
      <c r="Q697" s="134"/>
      <c r="R697" s="134"/>
      <c r="S697" s="134"/>
    </row>
    <row r="698" spans="1:19" x14ac:dyDescent="0.25">
      <c r="A698" s="133"/>
      <c r="B698" s="134"/>
      <c r="C698" s="134"/>
      <c r="D698" s="134"/>
      <c r="E698" s="134"/>
      <c r="F698" s="134"/>
      <c r="G698" s="135"/>
      <c r="H698" s="135"/>
      <c r="I698" s="135"/>
      <c r="J698" s="136"/>
      <c r="K698" s="134"/>
      <c r="L698" s="134"/>
      <c r="M698" s="134"/>
      <c r="N698" s="134"/>
      <c r="O698" s="134"/>
      <c r="P698" s="134"/>
      <c r="Q698" s="134"/>
      <c r="R698" s="134"/>
      <c r="S698" s="134"/>
    </row>
    <row r="699" spans="1:19" x14ac:dyDescent="0.25">
      <c r="A699" s="133"/>
      <c r="B699" s="134"/>
      <c r="C699" s="134"/>
      <c r="D699" s="134"/>
      <c r="E699" s="134"/>
      <c r="F699" s="134"/>
      <c r="G699" s="135"/>
      <c r="H699" s="135"/>
      <c r="I699" s="135"/>
      <c r="J699" s="136"/>
      <c r="K699" s="134"/>
      <c r="L699" s="134"/>
      <c r="M699" s="134"/>
      <c r="N699" s="134"/>
      <c r="O699" s="134"/>
      <c r="P699" s="134"/>
      <c r="Q699" s="134"/>
      <c r="R699" s="134"/>
      <c r="S699" s="134"/>
    </row>
    <row r="700" spans="1:19" x14ac:dyDescent="0.25">
      <c r="A700" s="133"/>
      <c r="B700" s="134"/>
      <c r="C700" s="134"/>
      <c r="D700" s="134"/>
      <c r="E700" s="134"/>
      <c r="F700" s="134"/>
      <c r="G700" s="135"/>
      <c r="H700" s="135"/>
      <c r="I700" s="135"/>
      <c r="J700" s="136"/>
      <c r="K700" s="134"/>
      <c r="L700" s="134"/>
      <c r="M700" s="134"/>
      <c r="N700" s="134"/>
      <c r="O700" s="134"/>
      <c r="P700" s="134"/>
      <c r="Q700" s="134"/>
      <c r="R700" s="134"/>
      <c r="S700" s="134"/>
    </row>
    <row r="701" spans="1:19" x14ac:dyDescent="0.25">
      <c r="A701" s="133"/>
      <c r="B701" s="134"/>
      <c r="C701" s="134"/>
      <c r="D701" s="134"/>
      <c r="E701" s="134"/>
      <c r="F701" s="134"/>
      <c r="G701" s="135"/>
      <c r="H701" s="135"/>
      <c r="I701" s="135"/>
      <c r="J701" s="136"/>
      <c r="K701" s="134"/>
      <c r="L701" s="134"/>
      <c r="M701" s="134"/>
      <c r="N701" s="134"/>
      <c r="O701" s="134"/>
      <c r="P701" s="134"/>
      <c r="Q701" s="134"/>
      <c r="R701" s="134"/>
      <c r="S701" s="134"/>
    </row>
    <row r="702" spans="1:19" x14ac:dyDescent="0.25">
      <c r="A702" s="133"/>
      <c r="B702" s="134"/>
      <c r="C702" s="134"/>
      <c r="D702" s="134"/>
      <c r="E702" s="134"/>
      <c r="F702" s="134"/>
      <c r="G702" s="135"/>
      <c r="H702" s="135"/>
      <c r="I702" s="135"/>
      <c r="J702" s="136"/>
      <c r="K702" s="134"/>
      <c r="L702" s="134"/>
      <c r="M702" s="134"/>
      <c r="N702" s="134"/>
      <c r="O702" s="134"/>
      <c r="P702" s="134"/>
      <c r="Q702" s="134"/>
      <c r="R702" s="134"/>
      <c r="S702" s="134"/>
    </row>
    <row r="703" spans="1:19" x14ac:dyDescent="0.25">
      <c r="A703" s="133"/>
      <c r="B703" s="134"/>
      <c r="C703" s="134"/>
      <c r="D703" s="134"/>
      <c r="E703" s="134"/>
      <c r="F703" s="134"/>
      <c r="G703" s="135"/>
      <c r="H703" s="135"/>
      <c r="I703" s="135"/>
      <c r="J703" s="136"/>
      <c r="K703" s="134"/>
      <c r="L703" s="134"/>
      <c r="M703" s="134"/>
      <c r="N703" s="134"/>
      <c r="O703" s="134"/>
      <c r="P703" s="134"/>
      <c r="Q703" s="134"/>
      <c r="R703" s="134"/>
      <c r="S703" s="134"/>
    </row>
    <row r="704" spans="1:19" x14ac:dyDescent="0.25">
      <c r="A704" s="133"/>
      <c r="B704" s="134"/>
      <c r="C704" s="134"/>
      <c r="D704" s="134"/>
      <c r="E704" s="134"/>
      <c r="F704" s="134"/>
      <c r="G704" s="135"/>
      <c r="H704" s="135"/>
      <c r="I704" s="135"/>
      <c r="J704" s="136"/>
      <c r="K704" s="134"/>
      <c r="L704" s="134"/>
      <c r="M704" s="134"/>
      <c r="N704" s="134"/>
      <c r="O704" s="134"/>
      <c r="P704" s="134"/>
      <c r="Q704" s="134"/>
      <c r="R704" s="134"/>
      <c r="S704" s="134"/>
    </row>
    <row r="705" spans="1:19" x14ac:dyDescent="0.25">
      <c r="A705" s="133"/>
      <c r="B705" s="134"/>
      <c r="C705" s="134"/>
      <c r="D705" s="134"/>
      <c r="E705" s="134"/>
      <c r="F705" s="134"/>
      <c r="G705" s="135"/>
      <c r="H705" s="135"/>
      <c r="I705" s="135"/>
      <c r="J705" s="136"/>
      <c r="K705" s="134"/>
      <c r="L705" s="134"/>
      <c r="M705" s="134"/>
      <c r="N705" s="134"/>
      <c r="O705" s="134"/>
      <c r="P705" s="134"/>
      <c r="Q705" s="134"/>
      <c r="R705" s="134"/>
      <c r="S705" s="134"/>
    </row>
    <row r="706" spans="1:19" x14ac:dyDescent="0.25">
      <c r="A706" s="133"/>
      <c r="B706" s="134"/>
      <c r="C706" s="134"/>
      <c r="D706" s="134"/>
      <c r="E706" s="134"/>
      <c r="F706" s="134"/>
      <c r="G706" s="135"/>
      <c r="H706" s="135"/>
      <c r="I706" s="135"/>
      <c r="J706" s="136"/>
      <c r="K706" s="134"/>
      <c r="L706" s="134"/>
      <c r="M706" s="134"/>
      <c r="N706" s="134"/>
      <c r="O706" s="134"/>
      <c r="P706" s="134"/>
      <c r="Q706" s="134"/>
      <c r="R706" s="134"/>
      <c r="S706" s="134"/>
    </row>
    <row r="707" spans="1:19" x14ac:dyDescent="0.25">
      <c r="A707" s="133"/>
      <c r="B707" s="134"/>
      <c r="C707" s="134"/>
      <c r="D707" s="134"/>
      <c r="E707" s="134"/>
      <c r="F707" s="134"/>
      <c r="G707" s="135"/>
      <c r="H707" s="135"/>
      <c r="I707" s="135"/>
      <c r="J707" s="136"/>
      <c r="K707" s="134"/>
      <c r="L707" s="134"/>
      <c r="M707" s="134"/>
      <c r="N707" s="134"/>
      <c r="O707" s="134"/>
      <c r="P707" s="134"/>
      <c r="Q707" s="134"/>
      <c r="R707" s="134"/>
      <c r="S707" s="134"/>
    </row>
    <row r="708" spans="1:19" x14ac:dyDescent="0.25">
      <c r="A708" s="133"/>
      <c r="B708" s="134"/>
      <c r="C708" s="134"/>
      <c r="D708" s="134"/>
      <c r="E708" s="134"/>
      <c r="F708" s="134"/>
      <c r="G708" s="135"/>
      <c r="H708" s="135"/>
      <c r="I708" s="135"/>
      <c r="J708" s="136"/>
      <c r="K708" s="134"/>
      <c r="L708" s="134"/>
      <c r="M708" s="134"/>
      <c r="N708" s="134"/>
      <c r="O708" s="134"/>
      <c r="P708" s="134"/>
      <c r="Q708" s="134"/>
      <c r="R708" s="134"/>
      <c r="S708" s="134"/>
    </row>
    <row r="709" spans="1:19" x14ac:dyDescent="0.25">
      <c r="A709" s="133"/>
      <c r="B709" s="134"/>
      <c r="C709" s="134"/>
      <c r="D709" s="134"/>
      <c r="E709" s="134"/>
      <c r="F709" s="134"/>
      <c r="G709" s="135"/>
      <c r="H709" s="135"/>
      <c r="I709" s="135"/>
      <c r="J709" s="136"/>
      <c r="K709" s="134"/>
      <c r="L709" s="134"/>
      <c r="M709" s="134"/>
      <c r="N709" s="134"/>
      <c r="O709" s="134"/>
      <c r="P709" s="134"/>
      <c r="Q709" s="134"/>
      <c r="R709" s="134"/>
      <c r="S709" s="134"/>
    </row>
    <row r="710" spans="1:19" x14ac:dyDescent="0.25">
      <c r="A710" s="133"/>
      <c r="B710" s="134"/>
      <c r="C710" s="134"/>
      <c r="D710" s="134"/>
      <c r="E710" s="134"/>
      <c r="F710" s="134"/>
      <c r="G710" s="135"/>
      <c r="H710" s="135"/>
      <c r="I710" s="135"/>
      <c r="J710" s="136"/>
      <c r="K710" s="134"/>
      <c r="L710" s="134"/>
      <c r="M710" s="134"/>
      <c r="N710" s="134"/>
      <c r="O710" s="134"/>
      <c r="P710" s="134"/>
      <c r="Q710" s="134"/>
      <c r="R710" s="134"/>
      <c r="S710" s="134"/>
    </row>
    <row r="711" spans="1:19" x14ac:dyDescent="0.25">
      <c r="A711" s="133"/>
      <c r="B711" s="134"/>
      <c r="C711" s="134"/>
      <c r="D711" s="134"/>
      <c r="E711" s="134"/>
      <c r="F711" s="134"/>
      <c r="G711" s="135"/>
      <c r="H711" s="135"/>
      <c r="I711" s="135"/>
      <c r="J711" s="136"/>
      <c r="K711" s="134"/>
      <c r="L711" s="134"/>
      <c r="M711" s="134"/>
      <c r="N711" s="134"/>
      <c r="O711" s="134"/>
      <c r="P711" s="134"/>
      <c r="Q711" s="134"/>
      <c r="R711" s="134"/>
      <c r="S711" s="134"/>
    </row>
    <row r="712" spans="1:19" x14ac:dyDescent="0.25">
      <c r="A712" s="133"/>
      <c r="B712" s="134"/>
      <c r="C712" s="134"/>
      <c r="D712" s="134"/>
      <c r="E712" s="134"/>
      <c r="F712" s="134"/>
      <c r="G712" s="135"/>
      <c r="H712" s="135"/>
      <c r="I712" s="135"/>
      <c r="J712" s="136"/>
      <c r="K712" s="134"/>
      <c r="L712" s="134"/>
      <c r="M712" s="134"/>
      <c r="N712" s="134"/>
      <c r="O712" s="134"/>
      <c r="P712" s="134"/>
      <c r="Q712" s="134"/>
      <c r="R712" s="134"/>
      <c r="S712" s="134"/>
    </row>
    <row r="713" spans="1:19" x14ac:dyDescent="0.25">
      <c r="A713" s="133"/>
      <c r="B713" s="134"/>
      <c r="C713" s="134"/>
      <c r="D713" s="134"/>
      <c r="E713" s="134"/>
      <c r="F713" s="134"/>
      <c r="G713" s="135"/>
      <c r="H713" s="135"/>
      <c r="I713" s="135"/>
      <c r="J713" s="136"/>
      <c r="K713" s="134"/>
      <c r="L713" s="134"/>
      <c r="M713" s="134"/>
      <c r="N713" s="134"/>
      <c r="O713" s="134"/>
      <c r="P713" s="134"/>
      <c r="Q713" s="134"/>
      <c r="R713" s="134"/>
      <c r="S713" s="134"/>
    </row>
    <row r="714" spans="1:19" x14ac:dyDescent="0.25">
      <c r="A714" s="133"/>
      <c r="B714" s="134"/>
      <c r="C714" s="134"/>
      <c r="D714" s="134"/>
      <c r="E714" s="134"/>
      <c r="F714" s="134"/>
      <c r="G714" s="135"/>
      <c r="H714" s="135"/>
      <c r="I714" s="135"/>
      <c r="J714" s="136"/>
      <c r="K714" s="134"/>
      <c r="L714" s="134"/>
      <c r="M714" s="134"/>
      <c r="N714" s="134"/>
      <c r="O714" s="134"/>
      <c r="P714" s="134"/>
      <c r="Q714" s="134"/>
      <c r="R714" s="134"/>
      <c r="S714" s="134"/>
    </row>
    <row r="715" spans="1:19" x14ac:dyDescent="0.25">
      <c r="A715" s="133"/>
      <c r="B715" s="134"/>
      <c r="C715" s="134"/>
      <c r="D715" s="134"/>
      <c r="E715" s="134"/>
      <c r="F715" s="134"/>
      <c r="G715" s="135"/>
      <c r="H715" s="135"/>
      <c r="I715" s="135"/>
      <c r="J715" s="136"/>
      <c r="K715" s="134"/>
      <c r="L715" s="134"/>
      <c r="M715" s="134"/>
      <c r="N715" s="134"/>
      <c r="O715" s="134"/>
      <c r="P715" s="134"/>
      <c r="Q715" s="134"/>
      <c r="R715" s="134"/>
      <c r="S715" s="134"/>
    </row>
    <row r="716" spans="1:19" x14ac:dyDescent="0.25">
      <c r="A716" s="133"/>
      <c r="B716" s="134"/>
      <c r="C716" s="134"/>
      <c r="D716" s="134"/>
      <c r="E716" s="134"/>
      <c r="F716" s="134"/>
      <c r="G716" s="135"/>
      <c r="H716" s="135"/>
      <c r="I716" s="135"/>
      <c r="J716" s="136"/>
      <c r="K716" s="134"/>
      <c r="L716" s="134"/>
      <c r="M716" s="134"/>
      <c r="N716" s="134"/>
      <c r="O716" s="134"/>
      <c r="P716" s="134"/>
      <c r="Q716" s="134"/>
      <c r="R716" s="134"/>
      <c r="S716" s="134"/>
    </row>
    <row r="717" spans="1:19" x14ac:dyDescent="0.25">
      <c r="A717" s="133"/>
      <c r="B717" s="134"/>
      <c r="C717" s="134"/>
      <c r="D717" s="134"/>
      <c r="E717" s="134"/>
      <c r="F717" s="134"/>
      <c r="G717" s="135"/>
      <c r="H717" s="135"/>
      <c r="I717" s="135"/>
      <c r="J717" s="136"/>
      <c r="K717" s="134"/>
      <c r="L717" s="134"/>
      <c r="M717" s="134"/>
      <c r="N717" s="134"/>
      <c r="O717" s="134"/>
      <c r="P717" s="134"/>
      <c r="Q717" s="134"/>
      <c r="R717" s="134"/>
      <c r="S717" s="134"/>
    </row>
    <row r="718" spans="1:19" x14ac:dyDescent="0.25">
      <c r="A718" s="133"/>
      <c r="B718" s="134"/>
      <c r="C718" s="134"/>
      <c r="D718" s="134"/>
      <c r="E718" s="134"/>
      <c r="F718" s="134"/>
      <c r="G718" s="135"/>
      <c r="H718" s="135"/>
      <c r="I718" s="135"/>
      <c r="J718" s="136"/>
      <c r="K718" s="134"/>
      <c r="L718" s="134"/>
      <c r="M718" s="134"/>
      <c r="N718" s="134"/>
      <c r="O718" s="134"/>
      <c r="P718" s="134"/>
      <c r="Q718" s="134"/>
      <c r="R718" s="134"/>
      <c r="S718" s="134"/>
    </row>
    <row r="719" spans="1:19" x14ac:dyDescent="0.25">
      <c r="A719" s="133"/>
      <c r="B719" s="134"/>
      <c r="C719" s="134"/>
      <c r="D719" s="134"/>
      <c r="E719" s="134"/>
      <c r="F719" s="134"/>
      <c r="G719" s="135"/>
      <c r="H719" s="135"/>
      <c r="I719" s="135"/>
      <c r="J719" s="136"/>
      <c r="K719" s="134"/>
      <c r="L719" s="134"/>
      <c r="M719" s="134"/>
      <c r="N719" s="134"/>
      <c r="O719" s="134"/>
      <c r="P719" s="134"/>
      <c r="Q719" s="134"/>
      <c r="R719" s="134"/>
      <c r="S719" s="134"/>
    </row>
    <row r="720" spans="1:19" x14ac:dyDescent="0.25">
      <c r="A720" s="133"/>
      <c r="B720" s="134"/>
      <c r="C720" s="134"/>
      <c r="D720" s="134"/>
      <c r="E720" s="134"/>
      <c r="F720" s="134"/>
      <c r="G720" s="135"/>
      <c r="H720" s="135"/>
      <c r="I720" s="135"/>
      <c r="J720" s="136"/>
      <c r="K720" s="134"/>
      <c r="L720" s="134"/>
      <c r="M720" s="134"/>
      <c r="N720" s="134"/>
      <c r="O720" s="134"/>
      <c r="P720" s="134"/>
      <c r="Q720" s="134"/>
      <c r="R720" s="134"/>
      <c r="S720" s="134"/>
    </row>
    <row r="721" spans="1:19" x14ac:dyDescent="0.25">
      <c r="A721" s="133"/>
      <c r="B721" s="134"/>
      <c r="C721" s="134"/>
      <c r="D721" s="134"/>
      <c r="E721" s="134"/>
      <c r="F721" s="134"/>
      <c r="G721" s="135"/>
      <c r="H721" s="135"/>
      <c r="I721" s="135"/>
      <c r="J721" s="136"/>
      <c r="K721" s="134"/>
      <c r="L721" s="134"/>
      <c r="M721" s="134"/>
      <c r="N721" s="134"/>
      <c r="O721" s="134"/>
      <c r="P721" s="134"/>
      <c r="Q721" s="134"/>
      <c r="R721" s="134"/>
      <c r="S721" s="134"/>
    </row>
    <row r="722" spans="1:19" x14ac:dyDescent="0.25">
      <c r="A722" s="133"/>
      <c r="B722" s="134"/>
      <c r="C722" s="134"/>
      <c r="D722" s="134"/>
      <c r="E722" s="134"/>
      <c r="F722" s="134"/>
      <c r="G722" s="135"/>
      <c r="H722" s="135"/>
      <c r="I722" s="135"/>
      <c r="J722" s="136"/>
      <c r="K722" s="134"/>
      <c r="L722" s="134"/>
      <c r="M722" s="134"/>
      <c r="N722" s="134"/>
      <c r="O722" s="134"/>
      <c r="P722" s="134"/>
      <c r="Q722" s="134"/>
      <c r="R722" s="134"/>
      <c r="S722" s="134"/>
    </row>
    <row r="723" spans="1:19" x14ac:dyDescent="0.25">
      <c r="A723" s="133"/>
      <c r="B723" s="134"/>
      <c r="C723" s="134"/>
      <c r="D723" s="134"/>
      <c r="E723" s="134"/>
      <c r="F723" s="134"/>
      <c r="G723" s="135"/>
      <c r="H723" s="135"/>
      <c r="I723" s="135"/>
      <c r="J723" s="136"/>
      <c r="K723" s="134"/>
      <c r="L723" s="134"/>
      <c r="M723" s="134"/>
      <c r="N723" s="134"/>
      <c r="O723" s="134"/>
      <c r="P723" s="134"/>
      <c r="Q723" s="134"/>
      <c r="R723" s="134"/>
      <c r="S723" s="134"/>
    </row>
    <row r="724" spans="1:19" x14ac:dyDescent="0.25">
      <c r="A724" s="133"/>
      <c r="B724" s="134"/>
      <c r="C724" s="134"/>
      <c r="D724" s="134"/>
      <c r="E724" s="134"/>
      <c r="F724" s="134"/>
      <c r="G724" s="135"/>
      <c r="H724" s="135"/>
      <c r="I724" s="135"/>
      <c r="J724" s="136"/>
      <c r="K724" s="134"/>
      <c r="L724" s="134"/>
      <c r="M724" s="134"/>
      <c r="N724" s="134"/>
      <c r="O724" s="134"/>
      <c r="P724" s="134"/>
      <c r="Q724" s="134"/>
      <c r="R724" s="134"/>
      <c r="S724" s="134"/>
    </row>
    <row r="725" spans="1:19" x14ac:dyDescent="0.25">
      <c r="A725" s="133"/>
      <c r="B725" s="134"/>
      <c r="C725" s="134"/>
      <c r="D725" s="134"/>
      <c r="E725" s="134"/>
      <c r="F725" s="134"/>
      <c r="G725" s="135"/>
      <c r="H725" s="135"/>
      <c r="I725" s="135"/>
      <c r="J725" s="136"/>
      <c r="K725" s="134"/>
      <c r="L725" s="134"/>
      <c r="M725" s="134"/>
      <c r="N725" s="134"/>
      <c r="O725" s="134"/>
      <c r="P725" s="134"/>
      <c r="Q725" s="134"/>
      <c r="R725" s="134"/>
      <c r="S725" s="134"/>
    </row>
    <row r="726" spans="1:19" x14ac:dyDescent="0.25">
      <c r="A726" s="133"/>
      <c r="B726" s="134"/>
      <c r="C726" s="134"/>
      <c r="D726" s="134"/>
      <c r="E726" s="134"/>
      <c r="F726" s="134"/>
      <c r="G726" s="135"/>
      <c r="H726" s="135"/>
      <c r="I726" s="135"/>
      <c r="J726" s="136"/>
      <c r="K726" s="134"/>
      <c r="L726" s="134"/>
      <c r="M726" s="134"/>
      <c r="N726" s="134"/>
      <c r="O726" s="134"/>
      <c r="P726" s="134"/>
      <c r="Q726" s="134"/>
      <c r="R726" s="134"/>
      <c r="S726" s="134"/>
    </row>
    <row r="727" spans="1:19" x14ac:dyDescent="0.25">
      <c r="A727" s="133"/>
      <c r="B727" s="134"/>
      <c r="C727" s="134"/>
      <c r="D727" s="134"/>
      <c r="E727" s="134"/>
      <c r="F727" s="134"/>
      <c r="G727" s="135"/>
      <c r="H727" s="135"/>
      <c r="I727" s="135"/>
      <c r="J727" s="136"/>
      <c r="K727" s="134"/>
      <c r="L727" s="134"/>
      <c r="M727" s="134"/>
      <c r="N727" s="134"/>
      <c r="O727" s="134"/>
      <c r="P727" s="134"/>
      <c r="Q727" s="134"/>
      <c r="R727" s="134"/>
      <c r="S727" s="134"/>
    </row>
    <row r="728" spans="1:19" x14ac:dyDescent="0.25">
      <c r="A728" s="133"/>
      <c r="B728" s="134"/>
      <c r="C728" s="134"/>
      <c r="D728" s="134"/>
      <c r="E728" s="134"/>
      <c r="F728" s="134"/>
      <c r="G728" s="135"/>
      <c r="H728" s="135"/>
      <c r="I728" s="135"/>
      <c r="J728" s="136"/>
      <c r="K728" s="134"/>
      <c r="L728" s="134"/>
      <c r="M728" s="134"/>
      <c r="N728" s="134"/>
      <c r="O728" s="134"/>
      <c r="P728" s="134"/>
      <c r="Q728" s="134"/>
      <c r="R728" s="134"/>
      <c r="S728" s="134"/>
    </row>
    <row r="729" spans="1:19" x14ac:dyDescent="0.25">
      <c r="A729" s="133"/>
      <c r="B729" s="134"/>
      <c r="C729" s="134"/>
      <c r="D729" s="134"/>
      <c r="E729" s="134"/>
      <c r="F729" s="134"/>
      <c r="G729" s="135"/>
      <c r="H729" s="135"/>
      <c r="I729" s="135"/>
      <c r="J729" s="136"/>
      <c r="K729" s="134"/>
      <c r="L729" s="134"/>
      <c r="M729" s="134"/>
      <c r="N729" s="134"/>
      <c r="O729" s="134"/>
      <c r="P729" s="134"/>
      <c r="Q729" s="134"/>
      <c r="R729" s="134"/>
      <c r="S729" s="134"/>
    </row>
    <row r="730" spans="1:19" x14ac:dyDescent="0.25">
      <c r="A730" s="133"/>
      <c r="B730" s="134"/>
      <c r="C730" s="134"/>
      <c r="D730" s="134"/>
      <c r="E730" s="134"/>
      <c r="F730" s="134"/>
      <c r="G730" s="135"/>
      <c r="H730" s="135"/>
      <c r="I730" s="135"/>
      <c r="J730" s="136"/>
      <c r="K730" s="134"/>
      <c r="L730" s="134"/>
      <c r="M730" s="134"/>
      <c r="N730" s="134"/>
      <c r="O730" s="134"/>
      <c r="P730" s="134"/>
      <c r="Q730" s="134"/>
      <c r="R730" s="134"/>
      <c r="S730" s="134"/>
    </row>
    <row r="731" spans="1:19" x14ac:dyDescent="0.25">
      <c r="A731" s="133"/>
      <c r="B731" s="134"/>
      <c r="C731" s="134"/>
      <c r="D731" s="134"/>
      <c r="E731" s="134"/>
      <c r="F731" s="134"/>
      <c r="G731" s="135"/>
      <c r="H731" s="135"/>
      <c r="I731" s="135"/>
      <c r="J731" s="136"/>
      <c r="K731" s="134"/>
      <c r="L731" s="134"/>
      <c r="M731" s="134"/>
      <c r="N731" s="134"/>
      <c r="O731" s="134"/>
      <c r="P731" s="134"/>
      <c r="Q731" s="134"/>
      <c r="R731" s="134"/>
      <c r="S731" s="134"/>
    </row>
    <row r="732" spans="1:19" x14ac:dyDescent="0.25">
      <c r="A732" s="133"/>
      <c r="B732" s="134"/>
      <c r="C732" s="134"/>
      <c r="D732" s="134"/>
      <c r="E732" s="134"/>
      <c r="F732" s="134"/>
      <c r="G732" s="135"/>
      <c r="H732" s="135"/>
      <c r="I732" s="135"/>
      <c r="J732" s="136"/>
      <c r="K732" s="134"/>
      <c r="L732" s="134"/>
      <c r="M732" s="134"/>
      <c r="N732" s="134"/>
      <c r="O732" s="134"/>
      <c r="P732" s="134"/>
      <c r="Q732" s="134"/>
      <c r="R732" s="134"/>
      <c r="S732" s="134"/>
    </row>
    <row r="733" spans="1:19" x14ac:dyDescent="0.25">
      <c r="A733" s="133"/>
      <c r="B733" s="134"/>
      <c r="C733" s="134"/>
      <c r="D733" s="134"/>
      <c r="E733" s="134"/>
      <c r="F733" s="134"/>
      <c r="G733" s="135"/>
      <c r="H733" s="135"/>
      <c r="I733" s="135"/>
      <c r="J733" s="136"/>
      <c r="K733" s="134"/>
      <c r="L733" s="134"/>
      <c r="M733" s="134"/>
      <c r="N733" s="134"/>
      <c r="O733" s="134"/>
      <c r="P733" s="134"/>
      <c r="Q733" s="134"/>
      <c r="R733" s="134"/>
      <c r="S733" s="134"/>
    </row>
    <row r="734" spans="1:19" x14ac:dyDescent="0.25">
      <c r="A734" s="133"/>
      <c r="B734" s="134"/>
      <c r="C734" s="134"/>
      <c r="D734" s="134"/>
      <c r="E734" s="134"/>
      <c r="F734" s="134"/>
      <c r="G734" s="135"/>
      <c r="H734" s="135"/>
      <c r="I734" s="135"/>
      <c r="J734" s="136"/>
      <c r="K734" s="134"/>
      <c r="L734" s="134"/>
      <c r="M734" s="134"/>
      <c r="N734" s="134"/>
      <c r="O734" s="134"/>
      <c r="P734" s="134"/>
      <c r="Q734" s="134"/>
      <c r="R734" s="134"/>
      <c r="S734" s="134"/>
    </row>
    <row r="735" spans="1:19" x14ac:dyDescent="0.25">
      <c r="A735" s="133"/>
      <c r="B735" s="134"/>
      <c r="C735" s="134"/>
      <c r="D735" s="134"/>
      <c r="E735" s="134"/>
      <c r="F735" s="134"/>
      <c r="G735" s="135"/>
      <c r="H735" s="135"/>
      <c r="I735" s="135"/>
      <c r="J735" s="136"/>
      <c r="K735" s="134"/>
      <c r="L735" s="134"/>
      <c r="M735" s="134"/>
      <c r="N735" s="134"/>
      <c r="O735" s="134"/>
      <c r="P735" s="134"/>
      <c r="Q735" s="134"/>
      <c r="R735" s="134"/>
      <c r="S735" s="134"/>
    </row>
    <row r="736" spans="1:19" x14ac:dyDescent="0.25">
      <c r="A736" s="133"/>
      <c r="B736" s="134"/>
      <c r="C736" s="134"/>
      <c r="D736" s="134"/>
      <c r="E736" s="134"/>
      <c r="F736" s="134"/>
      <c r="G736" s="135"/>
      <c r="H736" s="135"/>
      <c r="I736" s="135"/>
      <c r="J736" s="136"/>
      <c r="K736" s="134"/>
      <c r="L736" s="134"/>
      <c r="M736" s="134"/>
      <c r="N736" s="134"/>
      <c r="O736" s="134"/>
      <c r="P736" s="134"/>
      <c r="Q736" s="134"/>
      <c r="R736" s="134"/>
      <c r="S736" s="134"/>
    </row>
    <row r="737" spans="1:19" x14ac:dyDescent="0.25">
      <c r="A737" s="133"/>
      <c r="B737" s="134"/>
      <c r="C737" s="134"/>
      <c r="D737" s="134"/>
      <c r="E737" s="134"/>
      <c r="F737" s="134"/>
      <c r="G737" s="135"/>
      <c r="H737" s="135"/>
      <c r="I737" s="135"/>
      <c r="J737" s="136"/>
      <c r="K737" s="134"/>
      <c r="L737" s="134"/>
      <c r="M737" s="134"/>
      <c r="N737" s="134"/>
      <c r="O737" s="134"/>
      <c r="P737" s="134"/>
      <c r="Q737" s="134"/>
      <c r="R737" s="134"/>
      <c r="S737" s="134"/>
    </row>
    <row r="738" spans="1:19" x14ac:dyDescent="0.25">
      <c r="A738" s="133"/>
      <c r="B738" s="134"/>
      <c r="C738" s="134"/>
      <c r="D738" s="134"/>
      <c r="E738" s="134"/>
      <c r="F738" s="134"/>
      <c r="G738" s="135"/>
      <c r="H738" s="135"/>
      <c r="I738" s="135"/>
      <c r="J738" s="136"/>
      <c r="K738" s="134"/>
      <c r="L738" s="134"/>
      <c r="M738" s="134"/>
      <c r="N738" s="134"/>
      <c r="O738" s="134"/>
      <c r="P738" s="134"/>
      <c r="Q738" s="134"/>
      <c r="R738" s="134"/>
      <c r="S738" s="134"/>
    </row>
    <row r="739" spans="1:19" x14ac:dyDescent="0.25">
      <c r="A739" s="133"/>
      <c r="B739" s="134"/>
      <c r="C739" s="134"/>
      <c r="D739" s="134"/>
      <c r="E739" s="134"/>
      <c r="F739" s="134"/>
      <c r="G739" s="135"/>
      <c r="H739" s="135"/>
      <c r="I739" s="135"/>
      <c r="J739" s="136"/>
      <c r="K739" s="134"/>
      <c r="L739" s="134"/>
      <c r="M739" s="134"/>
      <c r="N739" s="134"/>
      <c r="O739" s="134"/>
      <c r="P739" s="134"/>
      <c r="Q739" s="134"/>
      <c r="R739" s="134"/>
      <c r="S739" s="134"/>
    </row>
    <row r="740" spans="1:19" x14ac:dyDescent="0.25">
      <c r="A740" s="133"/>
      <c r="B740" s="134"/>
      <c r="C740" s="134"/>
      <c r="D740" s="134"/>
      <c r="E740" s="134"/>
      <c r="F740" s="134"/>
      <c r="G740" s="135"/>
      <c r="H740" s="135"/>
      <c r="I740" s="135"/>
      <c r="J740" s="136"/>
      <c r="K740" s="134"/>
      <c r="L740" s="134"/>
      <c r="M740" s="134"/>
      <c r="N740" s="134"/>
      <c r="O740" s="134"/>
      <c r="P740" s="134"/>
      <c r="Q740" s="134"/>
      <c r="R740" s="134"/>
      <c r="S740" s="134"/>
    </row>
    <row r="741" spans="1:19" x14ac:dyDescent="0.25">
      <c r="A741" s="133"/>
      <c r="B741" s="134"/>
      <c r="C741" s="134"/>
      <c r="D741" s="134"/>
      <c r="E741" s="134"/>
      <c r="F741" s="134"/>
      <c r="G741" s="135"/>
      <c r="H741" s="135"/>
      <c r="I741" s="135"/>
      <c r="J741" s="136"/>
      <c r="K741" s="134"/>
      <c r="L741" s="134"/>
      <c r="M741" s="134"/>
      <c r="N741" s="134"/>
      <c r="O741" s="134"/>
      <c r="P741" s="134"/>
      <c r="Q741" s="134"/>
      <c r="R741" s="134"/>
      <c r="S741" s="134"/>
    </row>
    <row r="742" spans="1:19" x14ac:dyDescent="0.25">
      <c r="A742" s="133"/>
      <c r="B742" s="134"/>
      <c r="C742" s="134"/>
      <c r="D742" s="134"/>
      <c r="E742" s="134"/>
      <c r="F742" s="134"/>
      <c r="G742" s="135"/>
      <c r="H742" s="135"/>
      <c r="I742" s="135"/>
      <c r="J742" s="136"/>
      <c r="K742" s="134"/>
      <c r="L742" s="134"/>
      <c r="M742" s="134"/>
      <c r="N742" s="134"/>
      <c r="O742" s="134"/>
      <c r="P742" s="134"/>
      <c r="Q742" s="134"/>
      <c r="R742" s="134"/>
      <c r="S742" s="134"/>
    </row>
    <row r="743" spans="1:19" x14ac:dyDescent="0.25">
      <c r="A743" s="133"/>
      <c r="B743" s="134"/>
      <c r="C743" s="134"/>
      <c r="D743" s="134"/>
      <c r="E743" s="134"/>
      <c r="F743" s="134"/>
      <c r="G743" s="135"/>
      <c r="H743" s="135"/>
      <c r="I743" s="135"/>
      <c r="J743" s="136"/>
      <c r="K743" s="134"/>
      <c r="L743" s="134"/>
      <c r="M743" s="134"/>
      <c r="N743" s="134"/>
      <c r="O743" s="134"/>
      <c r="P743" s="134"/>
      <c r="Q743" s="134"/>
      <c r="R743" s="134"/>
      <c r="S743" s="134"/>
    </row>
    <row r="744" spans="1:19" x14ac:dyDescent="0.25">
      <c r="A744" s="133"/>
      <c r="B744" s="134"/>
      <c r="C744" s="134"/>
      <c r="D744" s="134"/>
      <c r="E744" s="134"/>
      <c r="F744" s="134"/>
      <c r="G744" s="135"/>
      <c r="H744" s="135"/>
      <c r="I744" s="135"/>
      <c r="J744" s="136"/>
      <c r="K744" s="134"/>
      <c r="L744" s="134"/>
      <c r="M744" s="134"/>
      <c r="N744" s="134"/>
      <c r="O744" s="134"/>
      <c r="P744" s="134"/>
      <c r="Q744" s="134"/>
      <c r="R744" s="134"/>
      <c r="S744" s="134"/>
    </row>
    <row r="745" spans="1:19" x14ac:dyDescent="0.25">
      <c r="A745" s="133"/>
      <c r="B745" s="134"/>
      <c r="C745" s="134"/>
      <c r="D745" s="134"/>
      <c r="E745" s="134"/>
      <c r="F745" s="134"/>
      <c r="G745" s="135"/>
      <c r="H745" s="135"/>
      <c r="I745" s="135"/>
      <c r="J745" s="136"/>
      <c r="K745" s="134"/>
      <c r="L745" s="134"/>
      <c r="M745" s="134"/>
      <c r="N745" s="134"/>
      <c r="O745" s="134"/>
      <c r="P745" s="134"/>
      <c r="Q745" s="134"/>
      <c r="R745" s="134"/>
      <c r="S745" s="134"/>
    </row>
    <row r="746" spans="1:19" x14ac:dyDescent="0.25">
      <c r="A746" s="133"/>
      <c r="B746" s="134"/>
      <c r="C746" s="134"/>
      <c r="D746" s="134"/>
      <c r="E746" s="134"/>
      <c r="F746" s="134"/>
      <c r="G746" s="135"/>
      <c r="H746" s="135"/>
      <c r="I746" s="135"/>
      <c r="J746" s="136"/>
      <c r="K746" s="134"/>
      <c r="L746" s="134"/>
      <c r="M746" s="134"/>
      <c r="N746" s="134"/>
      <c r="O746" s="134"/>
      <c r="P746" s="134"/>
      <c r="Q746" s="134"/>
      <c r="R746" s="134"/>
      <c r="S746" s="134"/>
    </row>
    <row r="747" spans="1:19" x14ac:dyDescent="0.25">
      <c r="A747" s="133"/>
      <c r="B747" s="134"/>
      <c r="C747" s="134"/>
      <c r="D747" s="134"/>
      <c r="E747" s="134"/>
      <c r="F747" s="134"/>
      <c r="G747" s="135"/>
      <c r="H747" s="135"/>
      <c r="I747" s="135"/>
      <c r="J747" s="136"/>
      <c r="K747" s="134"/>
      <c r="L747" s="134"/>
      <c r="M747" s="134"/>
      <c r="N747" s="134"/>
      <c r="O747" s="134"/>
      <c r="P747" s="134"/>
      <c r="Q747" s="134"/>
      <c r="R747" s="134"/>
      <c r="S747" s="134"/>
    </row>
    <row r="748" spans="1:19" x14ac:dyDescent="0.25">
      <c r="A748" s="133"/>
      <c r="B748" s="134"/>
      <c r="C748" s="134"/>
      <c r="D748" s="134"/>
      <c r="E748" s="134"/>
      <c r="F748" s="134"/>
      <c r="G748" s="135"/>
      <c r="H748" s="135"/>
      <c r="I748" s="135"/>
      <c r="J748" s="136"/>
      <c r="K748" s="134"/>
      <c r="L748" s="134"/>
      <c r="M748" s="134"/>
      <c r="N748" s="134"/>
      <c r="O748" s="134"/>
      <c r="P748" s="134"/>
      <c r="Q748" s="134"/>
      <c r="R748" s="134"/>
      <c r="S748" s="134"/>
    </row>
    <row r="749" spans="1:19" x14ac:dyDescent="0.25">
      <c r="A749" s="133"/>
      <c r="B749" s="134"/>
      <c r="C749" s="134"/>
      <c r="D749" s="134"/>
      <c r="E749" s="134"/>
      <c r="F749" s="134"/>
      <c r="G749" s="135"/>
      <c r="H749" s="135"/>
      <c r="I749" s="135"/>
      <c r="J749" s="136"/>
      <c r="K749" s="134"/>
      <c r="L749" s="134"/>
      <c r="M749" s="134"/>
      <c r="N749" s="134"/>
      <c r="O749" s="134"/>
      <c r="P749" s="134"/>
      <c r="Q749" s="134"/>
      <c r="R749" s="134"/>
      <c r="S749" s="134"/>
    </row>
    <row r="750" spans="1:19" x14ac:dyDescent="0.25">
      <c r="A750" s="133"/>
      <c r="B750" s="134"/>
      <c r="C750" s="134"/>
      <c r="D750" s="134"/>
      <c r="E750" s="134"/>
      <c r="F750" s="134"/>
      <c r="G750" s="135"/>
      <c r="H750" s="135"/>
      <c r="I750" s="135"/>
      <c r="J750" s="136"/>
      <c r="K750" s="134"/>
      <c r="L750" s="134"/>
      <c r="M750" s="134"/>
      <c r="N750" s="134"/>
      <c r="O750" s="134"/>
      <c r="P750" s="134"/>
      <c r="Q750" s="134"/>
      <c r="R750" s="134"/>
      <c r="S750" s="134"/>
    </row>
    <row r="751" spans="1:19" x14ac:dyDescent="0.25">
      <c r="A751" s="133"/>
      <c r="B751" s="134"/>
      <c r="C751" s="134"/>
      <c r="D751" s="134"/>
      <c r="E751" s="134"/>
      <c r="F751" s="134"/>
      <c r="G751" s="135"/>
      <c r="H751" s="135"/>
      <c r="I751" s="135"/>
      <c r="J751" s="136"/>
      <c r="K751" s="134"/>
      <c r="L751" s="134"/>
      <c r="M751" s="134"/>
      <c r="N751" s="134"/>
      <c r="O751" s="134"/>
      <c r="P751" s="134"/>
      <c r="Q751" s="134"/>
      <c r="R751" s="134"/>
      <c r="S751" s="134"/>
    </row>
    <row r="752" spans="1:19" x14ac:dyDescent="0.25">
      <c r="A752" s="133"/>
      <c r="B752" s="134"/>
      <c r="C752" s="134"/>
      <c r="D752" s="134"/>
      <c r="E752" s="134"/>
      <c r="F752" s="134"/>
      <c r="G752" s="135"/>
      <c r="H752" s="135"/>
      <c r="I752" s="135"/>
      <c r="J752" s="136"/>
      <c r="K752" s="134"/>
      <c r="L752" s="134"/>
      <c r="M752" s="134"/>
      <c r="N752" s="134"/>
      <c r="O752" s="134"/>
      <c r="P752" s="134"/>
      <c r="Q752" s="134"/>
      <c r="R752" s="134"/>
      <c r="S752" s="134"/>
    </row>
    <row r="753" spans="1:19" x14ac:dyDescent="0.25">
      <c r="A753" s="133"/>
      <c r="B753" s="134"/>
      <c r="C753" s="134"/>
      <c r="D753" s="134"/>
      <c r="E753" s="134"/>
      <c r="F753" s="134"/>
      <c r="G753" s="135"/>
      <c r="H753" s="135"/>
      <c r="I753" s="135"/>
      <c r="J753" s="136"/>
      <c r="K753" s="134"/>
      <c r="L753" s="134"/>
      <c r="M753" s="134"/>
      <c r="N753" s="134"/>
      <c r="O753" s="134"/>
      <c r="P753" s="134"/>
      <c r="Q753" s="134"/>
      <c r="R753" s="134"/>
      <c r="S753" s="134"/>
    </row>
    <row r="754" spans="1:19" x14ac:dyDescent="0.25">
      <c r="A754" s="133"/>
      <c r="B754" s="134"/>
      <c r="C754" s="134"/>
      <c r="D754" s="134"/>
      <c r="E754" s="134"/>
      <c r="F754" s="134"/>
      <c r="G754" s="135"/>
      <c r="H754" s="135"/>
      <c r="I754" s="135"/>
      <c r="J754" s="136"/>
      <c r="K754" s="134"/>
      <c r="L754" s="134"/>
      <c r="M754" s="134"/>
      <c r="N754" s="134"/>
      <c r="O754" s="134"/>
      <c r="P754" s="134"/>
      <c r="Q754" s="134"/>
      <c r="R754" s="134"/>
      <c r="S754" s="134"/>
    </row>
    <row r="755" spans="1:19" x14ac:dyDescent="0.25">
      <c r="A755" s="133"/>
      <c r="B755" s="134"/>
      <c r="C755" s="134"/>
      <c r="D755" s="134"/>
      <c r="E755" s="134"/>
      <c r="F755" s="134"/>
      <c r="G755" s="135"/>
      <c r="H755" s="135"/>
      <c r="I755" s="135"/>
      <c r="J755" s="136"/>
      <c r="K755" s="134"/>
      <c r="L755" s="134"/>
      <c r="M755" s="134"/>
      <c r="N755" s="134"/>
      <c r="O755" s="134"/>
      <c r="P755" s="134"/>
      <c r="Q755" s="134"/>
      <c r="R755" s="134"/>
      <c r="S755" s="134"/>
    </row>
    <row r="756" spans="1:19" x14ac:dyDescent="0.25">
      <c r="A756" s="133"/>
      <c r="B756" s="134"/>
      <c r="C756" s="134"/>
      <c r="D756" s="134"/>
      <c r="E756" s="134"/>
      <c r="F756" s="134"/>
      <c r="G756" s="135"/>
      <c r="H756" s="135"/>
      <c r="I756" s="135"/>
      <c r="J756" s="136"/>
      <c r="K756" s="134"/>
      <c r="L756" s="134"/>
      <c r="M756" s="134"/>
      <c r="N756" s="134"/>
      <c r="O756" s="134"/>
      <c r="P756" s="134"/>
      <c r="Q756" s="134"/>
      <c r="R756" s="134"/>
      <c r="S756" s="134"/>
    </row>
    <row r="757" spans="1:19" x14ac:dyDescent="0.25">
      <c r="A757" s="133"/>
      <c r="B757" s="134"/>
      <c r="C757" s="134"/>
      <c r="D757" s="134"/>
      <c r="E757" s="134"/>
      <c r="F757" s="134"/>
      <c r="G757" s="135"/>
      <c r="H757" s="135"/>
      <c r="I757" s="135"/>
      <c r="J757" s="136"/>
      <c r="K757" s="134"/>
      <c r="L757" s="134"/>
      <c r="M757" s="134"/>
      <c r="N757" s="134"/>
      <c r="O757" s="134"/>
      <c r="P757" s="134"/>
      <c r="Q757" s="134"/>
      <c r="R757" s="134"/>
      <c r="S757" s="134"/>
    </row>
    <row r="758" spans="1:19" x14ac:dyDescent="0.25">
      <c r="A758" s="133"/>
      <c r="B758" s="134"/>
      <c r="C758" s="134"/>
      <c r="D758" s="134"/>
      <c r="E758" s="134"/>
      <c r="F758" s="134"/>
      <c r="G758" s="135"/>
      <c r="H758" s="135"/>
      <c r="I758" s="135"/>
      <c r="J758" s="136"/>
      <c r="K758" s="134"/>
      <c r="L758" s="134"/>
      <c r="M758" s="134"/>
      <c r="N758" s="134"/>
      <c r="O758" s="134"/>
      <c r="P758" s="134"/>
      <c r="Q758" s="134"/>
      <c r="R758" s="134"/>
      <c r="S758" s="134"/>
    </row>
    <row r="759" spans="1:19" x14ac:dyDescent="0.25">
      <c r="A759" s="133"/>
      <c r="B759" s="134"/>
      <c r="C759" s="134"/>
      <c r="D759" s="134"/>
      <c r="E759" s="134"/>
      <c r="F759" s="134"/>
      <c r="G759" s="135"/>
      <c r="H759" s="135"/>
      <c r="I759" s="135"/>
      <c r="J759" s="136"/>
      <c r="K759" s="134"/>
      <c r="L759" s="134"/>
      <c r="M759" s="134"/>
      <c r="N759" s="134"/>
      <c r="O759" s="134"/>
      <c r="P759" s="134"/>
      <c r="Q759" s="134"/>
      <c r="R759" s="134"/>
      <c r="S759" s="134"/>
    </row>
    <row r="760" spans="1:19" x14ac:dyDescent="0.25">
      <c r="A760" s="133"/>
      <c r="B760" s="134"/>
      <c r="C760" s="134"/>
      <c r="D760" s="134"/>
      <c r="E760" s="134"/>
      <c r="F760" s="134"/>
      <c r="G760" s="135"/>
      <c r="H760" s="135"/>
      <c r="I760" s="135"/>
      <c r="J760" s="136"/>
      <c r="K760" s="134"/>
      <c r="L760" s="134"/>
      <c r="M760" s="134"/>
      <c r="N760" s="134"/>
      <c r="O760" s="134"/>
      <c r="P760" s="134"/>
      <c r="Q760" s="134"/>
      <c r="R760" s="134"/>
      <c r="S760" s="134"/>
    </row>
    <row r="761" spans="1:19" x14ac:dyDescent="0.25">
      <c r="A761" s="133"/>
      <c r="B761" s="134"/>
      <c r="C761" s="134"/>
      <c r="D761" s="134"/>
      <c r="E761" s="134"/>
      <c r="F761" s="134"/>
      <c r="G761" s="135"/>
      <c r="H761" s="135"/>
      <c r="I761" s="135"/>
      <c r="J761" s="136"/>
      <c r="K761" s="134"/>
      <c r="L761" s="134"/>
      <c r="M761" s="134"/>
      <c r="N761" s="134"/>
      <c r="O761" s="134"/>
      <c r="P761" s="134"/>
      <c r="Q761" s="134"/>
      <c r="R761" s="134"/>
      <c r="S761" s="134"/>
    </row>
    <row r="762" spans="1:19" x14ac:dyDescent="0.25">
      <c r="A762" s="133"/>
      <c r="B762" s="134"/>
      <c r="C762" s="134"/>
      <c r="D762" s="134"/>
      <c r="E762" s="134"/>
      <c r="F762" s="134"/>
      <c r="G762" s="135"/>
      <c r="H762" s="135"/>
      <c r="I762" s="135"/>
      <c r="J762" s="136"/>
      <c r="K762" s="134"/>
      <c r="L762" s="134"/>
      <c r="M762" s="134"/>
      <c r="N762" s="134"/>
      <c r="O762" s="134"/>
      <c r="P762" s="134"/>
      <c r="Q762" s="134"/>
      <c r="R762" s="134"/>
      <c r="S762" s="134"/>
    </row>
    <row r="763" spans="1:19" x14ac:dyDescent="0.25">
      <c r="A763" s="133"/>
      <c r="B763" s="134"/>
      <c r="C763" s="134"/>
      <c r="D763" s="134"/>
      <c r="E763" s="134"/>
      <c r="F763" s="134"/>
      <c r="G763" s="135"/>
      <c r="H763" s="135"/>
      <c r="I763" s="135"/>
      <c r="J763" s="136"/>
      <c r="K763" s="134"/>
      <c r="L763" s="134"/>
      <c r="M763" s="134"/>
      <c r="N763" s="134"/>
      <c r="O763" s="134"/>
      <c r="P763" s="134"/>
      <c r="Q763" s="134"/>
      <c r="R763" s="134"/>
      <c r="S763" s="134"/>
    </row>
    <row r="764" spans="1:19" x14ac:dyDescent="0.25">
      <c r="A764" s="133"/>
      <c r="B764" s="134"/>
      <c r="C764" s="134"/>
      <c r="D764" s="134"/>
      <c r="E764" s="134"/>
      <c r="F764" s="134"/>
      <c r="G764" s="135"/>
      <c r="H764" s="135"/>
      <c r="I764" s="135"/>
      <c r="J764" s="136"/>
      <c r="K764" s="134"/>
      <c r="L764" s="134"/>
      <c r="M764" s="134"/>
      <c r="N764" s="134"/>
      <c r="O764" s="134"/>
      <c r="P764" s="134"/>
      <c r="Q764" s="134"/>
      <c r="R764" s="134"/>
      <c r="S764" s="134"/>
    </row>
    <row r="765" spans="1:19" x14ac:dyDescent="0.25">
      <c r="A765" s="133"/>
      <c r="B765" s="134"/>
      <c r="C765" s="134"/>
      <c r="D765" s="134"/>
      <c r="E765" s="134"/>
      <c r="F765" s="134"/>
      <c r="G765" s="135"/>
      <c r="H765" s="135"/>
      <c r="I765" s="135"/>
      <c r="J765" s="136"/>
      <c r="K765" s="134"/>
      <c r="L765" s="134"/>
      <c r="M765" s="134"/>
      <c r="N765" s="134"/>
      <c r="O765" s="134"/>
      <c r="P765" s="134"/>
      <c r="Q765" s="134"/>
      <c r="R765" s="134"/>
      <c r="S765" s="134"/>
    </row>
    <row r="766" spans="1:19" x14ac:dyDescent="0.25">
      <c r="A766" s="133"/>
      <c r="B766" s="134"/>
      <c r="C766" s="134"/>
      <c r="D766" s="134"/>
      <c r="E766" s="134"/>
      <c r="F766" s="134"/>
      <c r="G766" s="135"/>
      <c r="H766" s="135"/>
      <c r="I766" s="135"/>
      <c r="J766" s="136"/>
      <c r="K766" s="134"/>
      <c r="L766" s="134"/>
      <c r="M766" s="134"/>
      <c r="N766" s="134"/>
      <c r="O766" s="134"/>
      <c r="P766" s="134"/>
      <c r="Q766" s="134"/>
      <c r="R766" s="134"/>
      <c r="S766" s="134"/>
    </row>
    <row r="767" spans="1:19" x14ac:dyDescent="0.25">
      <c r="A767" s="133"/>
      <c r="B767" s="134"/>
      <c r="C767" s="134"/>
      <c r="D767" s="134"/>
      <c r="E767" s="134"/>
      <c r="F767" s="134"/>
      <c r="G767" s="135"/>
      <c r="H767" s="135"/>
      <c r="I767" s="135"/>
      <c r="J767" s="136"/>
      <c r="K767" s="134"/>
      <c r="L767" s="134"/>
      <c r="M767" s="134"/>
      <c r="N767" s="134"/>
      <c r="O767" s="134"/>
      <c r="P767" s="134"/>
      <c r="Q767" s="134"/>
      <c r="R767" s="134"/>
      <c r="S767" s="134"/>
    </row>
    <row r="768" spans="1:19" x14ac:dyDescent="0.25">
      <c r="A768" s="133"/>
      <c r="B768" s="134"/>
      <c r="C768" s="134"/>
      <c r="D768" s="134"/>
      <c r="E768" s="134"/>
      <c r="F768" s="134"/>
      <c r="G768" s="135"/>
      <c r="H768" s="135"/>
      <c r="I768" s="135"/>
      <c r="J768" s="136"/>
      <c r="K768" s="134"/>
      <c r="L768" s="134"/>
      <c r="M768" s="134"/>
      <c r="N768" s="134"/>
      <c r="O768" s="134"/>
      <c r="P768" s="134"/>
      <c r="Q768" s="134"/>
      <c r="R768" s="134"/>
      <c r="S768" s="134"/>
    </row>
    <row r="769" spans="1:19" x14ac:dyDescent="0.25">
      <c r="A769" s="133"/>
      <c r="B769" s="134"/>
      <c r="C769" s="134"/>
      <c r="D769" s="134"/>
      <c r="E769" s="134"/>
      <c r="F769" s="134"/>
      <c r="G769" s="135"/>
      <c r="H769" s="135"/>
      <c r="I769" s="135"/>
      <c r="J769" s="136"/>
      <c r="K769" s="134"/>
      <c r="L769" s="134"/>
      <c r="M769" s="134"/>
      <c r="N769" s="134"/>
      <c r="O769" s="134"/>
      <c r="P769" s="134"/>
      <c r="Q769" s="134"/>
      <c r="R769" s="134"/>
      <c r="S769" s="134"/>
    </row>
    <row r="770" spans="1:19" x14ac:dyDescent="0.25">
      <c r="A770" s="133"/>
      <c r="B770" s="134"/>
      <c r="C770" s="134"/>
      <c r="D770" s="134"/>
      <c r="E770" s="134"/>
      <c r="F770" s="134"/>
      <c r="G770" s="135"/>
      <c r="H770" s="135"/>
      <c r="I770" s="135"/>
      <c r="J770" s="136"/>
      <c r="K770" s="134"/>
      <c r="L770" s="134"/>
      <c r="M770" s="134"/>
      <c r="N770" s="134"/>
      <c r="O770" s="134"/>
      <c r="P770" s="134"/>
      <c r="Q770" s="134"/>
      <c r="R770" s="134"/>
      <c r="S770" s="134"/>
    </row>
    <row r="771" spans="1:19" x14ac:dyDescent="0.25">
      <c r="A771" s="133"/>
      <c r="B771" s="134"/>
      <c r="C771" s="134"/>
      <c r="D771" s="134"/>
      <c r="E771" s="134"/>
      <c r="F771" s="134"/>
      <c r="G771" s="135"/>
      <c r="H771" s="135"/>
      <c r="I771" s="135"/>
      <c r="J771" s="136"/>
      <c r="K771" s="134"/>
      <c r="L771" s="134"/>
      <c r="M771" s="134"/>
      <c r="N771" s="134"/>
      <c r="O771" s="134"/>
      <c r="P771" s="134"/>
      <c r="Q771" s="134"/>
      <c r="R771" s="134"/>
      <c r="S771" s="134"/>
    </row>
    <row r="772" spans="1:19" x14ac:dyDescent="0.25">
      <c r="A772" s="133"/>
      <c r="B772" s="134"/>
      <c r="C772" s="134"/>
      <c r="D772" s="134"/>
      <c r="E772" s="134"/>
      <c r="F772" s="134"/>
      <c r="G772" s="135"/>
      <c r="H772" s="135"/>
      <c r="I772" s="135"/>
      <c r="J772" s="136"/>
      <c r="K772" s="134"/>
      <c r="L772" s="134"/>
      <c r="M772" s="134"/>
      <c r="N772" s="134"/>
      <c r="O772" s="134"/>
      <c r="P772" s="134"/>
      <c r="Q772" s="134"/>
      <c r="R772" s="134"/>
      <c r="S772" s="134"/>
    </row>
    <row r="773" spans="1:19" x14ac:dyDescent="0.25">
      <c r="A773" s="133"/>
      <c r="B773" s="134"/>
      <c r="C773" s="134"/>
      <c r="D773" s="134"/>
      <c r="E773" s="134"/>
      <c r="F773" s="134"/>
      <c r="G773" s="135"/>
      <c r="H773" s="135"/>
      <c r="I773" s="135"/>
      <c r="J773" s="136"/>
      <c r="K773" s="134"/>
      <c r="L773" s="134"/>
      <c r="M773" s="134"/>
      <c r="N773" s="134"/>
      <c r="O773" s="134"/>
      <c r="P773" s="134"/>
      <c r="Q773" s="134"/>
      <c r="R773" s="134"/>
      <c r="S773" s="134"/>
    </row>
    <row r="774" spans="1:19" x14ac:dyDescent="0.25">
      <c r="A774" s="133"/>
      <c r="B774" s="134"/>
      <c r="C774" s="134"/>
      <c r="D774" s="134"/>
      <c r="E774" s="134"/>
      <c r="F774" s="134"/>
      <c r="G774" s="135"/>
      <c r="H774" s="135"/>
      <c r="I774" s="135"/>
      <c r="J774" s="136"/>
      <c r="K774" s="134"/>
      <c r="L774" s="134"/>
      <c r="M774" s="134"/>
      <c r="N774" s="134"/>
      <c r="O774" s="134"/>
      <c r="P774" s="134"/>
      <c r="Q774" s="134"/>
      <c r="R774" s="134"/>
      <c r="S774" s="134"/>
    </row>
    <row r="775" spans="1:19" x14ac:dyDescent="0.25">
      <c r="A775" s="133"/>
      <c r="B775" s="134"/>
      <c r="C775" s="134"/>
      <c r="D775" s="134"/>
      <c r="E775" s="134"/>
      <c r="F775" s="134"/>
      <c r="G775" s="135"/>
      <c r="H775" s="135"/>
      <c r="I775" s="135"/>
      <c r="J775" s="136"/>
      <c r="K775" s="134"/>
      <c r="L775" s="134"/>
      <c r="M775" s="134"/>
      <c r="N775" s="134"/>
      <c r="O775" s="134"/>
      <c r="P775" s="134"/>
      <c r="Q775" s="134"/>
      <c r="R775" s="134"/>
      <c r="S775" s="134"/>
    </row>
    <row r="776" spans="1:19" x14ac:dyDescent="0.25">
      <c r="A776" s="133"/>
      <c r="B776" s="134"/>
      <c r="C776" s="134"/>
      <c r="D776" s="134"/>
      <c r="E776" s="134"/>
      <c r="F776" s="134"/>
      <c r="G776" s="135"/>
      <c r="H776" s="135"/>
      <c r="I776" s="135"/>
      <c r="J776" s="136"/>
      <c r="K776" s="134"/>
      <c r="L776" s="134"/>
      <c r="M776" s="134"/>
      <c r="N776" s="134"/>
      <c r="O776" s="134"/>
      <c r="P776" s="134"/>
      <c r="Q776" s="134"/>
      <c r="R776" s="134"/>
      <c r="S776" s="134"/>
    </row>
    <row r="777" spans="1:19" x14ac:dyDescent="0.25">
      <c r="A777" s="133"/>
      <c r="B777" s="134"/>
      <c r="C777" s="134"/>
      <c r="D777" s="134"/>
      <c r="E777" s="134"/>
      <c r="F777" s="134"/>
      <c r="G777" s="135"/>
      <c r="H777" s="135"/>
      <c r="I777" s="135"/>
      <c r="J777" s="136"/>
      <c r="K777" s="134"/>
      <c r="L777" s="134"/>
      <c r="M777" s="134"/>
      <c r="N777" s="134"/>
      <c r="O777" s="134"/>
      <c r="P777" s="134"/>
      <c r="Q777" s="134"/>
      <c r="R777" s="134"/>
      <c r="S777" s="134"/>
    </row>
    <row r="778" spans="1:19" x14ac:dyDescent="0.25">
      <c r="A778" s="133"/>
      <c r="B778" s="134"/>
      <c r="C778" s="134"/>
      <c r="D778" s="134"/>
      <c r="E778" s="134"/>
      <c r="F778" s="134"/>
      <c r="G778" s="135"/>
      <c r="H778" s="135"/>
      <c r="I778" s="135"/>
      <c r="J778" s="136"/>
      <c r="K778" s="134"/>
      <c r="L778" s="134"/>
      <c r="M778" s="134"/>
      <c r="N778" s="134"/>
      <c r="O778" s="134"/>
      <c r="P778" s="134"/>
      <c r="Q778" s="134"/>
      <c r="R778" s="134"/>
      <c r="S778" s="134"/>
    </row>
    <row r="779" spans="1:19" x14ac:dyDescent="0.25">
      <c r="A779" s="133"/>
      <c r="B779" s="134"/>
      <c r="C779" s="134"/>
      <c r="D779" s="134"/>
      <c r="E779" s="134"/>
      <c r="F779" s="134"/>
      <c r="G779" s="135"/>
      <c r="H779" s="135"/>
      <c r="I779" s="135"/>
      <c r="J779" s="136"/>
      <c r="K779" s="134"/>
      <c r="L779" s="134"/>
      <c r="M779" s="134"/>
      <c r="N779" s="134"/>
      <c r="O779" s="134"/>
      <c r="P779" s="134"/>
      <c r="Q779" s="134"/>
      <c r="R779" s="134"/>
      <c r="S779" s="134"/>
    </row>
    <row r="780" spans="1:19" x14ac:dyDescent="0.25">
      <c r="A780" s="133"/>
      <c r="B780" s="134"/>
      <c r="C780" s="134"/>
      <c r="D780" s="134"/>
      <c r="E780" s="134"/>
      <c r="F780" s="134"/>
      <c r="G780" s="135"/>
      <c r="H780" s="135"/>
      <c r="I780" s="135"/>
      <c r="J780" s="136"/>
      <c r="K780" s="134"/>
      <c r="L780" s="134"/>
      <c r="M780" s="134"/>
      <c r="N780" s="134"/>
      <c r="O780" s="134"/>
      <c r="P780" s="134"/>
      <c r="Q780" s="134"/>
      <c r="R780" s="134"/>
      <c r="S780" s="134"/>
    </row>
    <row r="781" spans="1:19" x14ac:dyDescent="0.25">
      <c r="A781" s="133"/>
      <c r="B781" s="134"/>
      <c r="C781" s="134"/>
      <c r="D781" s="134"/>
      <c r="E781" s="134"/>
      <c r="F781" s="134"/>
      <c r="G781" s="135"/>
      <c r="H781" s="135"/>
      <c r="I781" s="135"/>
      <c r="J781" s="136"/>
      <c r="K781" s="134"/>
      <c r="L781" s="134"/>
      <c r="M781" s="134"/>
      <c r="N781" s="134"/>
      <c r="O781" s="134"/>
      <c r="P781" s="134"/>
      <c r="Q781" s="134"/>
      <c r="R781" s="134"/>
      <c r="S781" s="134"/>
    </row>
    <row r="782" spans="1:19" x14ac:dyDescent="0.25">
      <c r="A782" s="133"/>
      <c r="B782" s="134"/>
      <c r="C782" s="134"/>
      <c r="D782" s="134"/>
      <c r="E782" s="134"/>
      <c r="F782" s="134"/>
      <c r="G782" s="135"/>
      <c r="H782" s="135"/>
      <c r="I782" s="135"/>
      <c r="J782" s="136"/>
      <c r="K782" s="134"/>
      <c r="L782" s="134"/>
      <c r="M782" s="134"/>
      <c r="N782" s="134"/>
      <c r="O782" s="134"/>
      <c r="P782" s="134"/>
      <c r="Q782" s="134"/>
      <c r="R782" s="134"/>
      <c r="S782" s="134"/>
    </row>
    <row r="783" spans="1:19" x14ac:dyDescent="0.25">
      <c r="A783" s="133"/>
      <c r="B783" s="134"/>
      <c r="C783" s="134"/>
      <c r="D783" s="134"/>
      <c r="E783" s="134"/>
      <c r="F783" s="134"/>
      <c r="G783" s="135"/>
      <c r="H783" s="135"/>
      <c r="I783" s="135"/>
      <c r="J783" s="136"/>
      <c r="K783" s="134"/>
      <c r="L783" s="134"/>
      <c r="M783" s="134"/>
      <c r="N783" s="134"/>
      <c r="O783" s="134"/>
      <c r="P783" s="134"/>
      <c r="Q783" s="134"/>
      <c r="R783" s="134"/>
      <c r="S783" s="134"/>
    </row>
    <row r="784" spans="1:19" x14ac:dyDescent="0.25">
      <c r="A784" s="133"/>
      <c r="B784" s="134"/>
      <c r="C784" s="134"/>
      <c r="D784" s="134"/>
      <c r="E784" s="134"/>
      <c r="F784" s="134"/>
      <c r="G784" s="135"/>
      <c r="H784" s="135"/>
      <c r="I784" s="135"/>
      <c r="J784" s="136"/>
      <c r="K784" s="134"/>
      <c r="L784" s="134"/>
      <c r="M784" s="134"/>
      <c r="N784" s="134"/>
      <c r="O784" s="134"/>
      <c r="P784" s="134"/>
      <c r="Q784" s="134"/>
      <c r="R784" s="134"/>
      <c r="S784" s="134"/>
    </row>
    <row r="785" spans="1:19" x14ac:dyDescent="0.25">
      <c r="A785" s="133"/>
      <c r="B785" s="134"/>
      <c r="C785" s="134"/>
      <c r="D785" s="134"/>
      <c r="E785" s="134"/>
      <c r="F785" s="134"/>
      <c r="G785" s="135"/>
      <c r="H785" s="135"/>
      <c r="I785" s="135"/>
      <c r="J785" s="136"/>
      <c r="K785" s="134"/>
      <c r="L785" s="134"/>
      <c r="M785" s="134"/>
      <c r="N785" s="134"/>
      <c r="O785" s="134"/>
      <c r="P785" s="134"/>
      <c r="Q785" s="134"/>
      <c r="R785" s="134"/>
      <c r="S785" s="134"/>
    </row>
    <row r="786" spans="1:19" x14ac:dyDescent="0.25">
      <c r="A786" s="133"/>
      <c r="B786" s="134"/>
      <c r="C786" s="134"/>
      <c r="D786" s="134"/>
      <c r="E786" s="134"/>
      <c r="F786" s="134"/>
      <c r="G786" s="135"/>
      <c r="H786" s="135"/>
      <c r="I786" s="135"/>
      <c r="J786" s="136"/>
      <c r="K786" s="134"/>
      <c r="L786" s="134"/>
      <c r="M786" s="134"/>
      <c r="N786" s="134"/>
      <c r="O786" s="134"/>
      <c r="P786" s="134"/>
      <c r="Q786" s="134"/>
      <c r="R786" s="134"/>
      <c r="S786" s="134"/>
    </row>
    <row r="787" spans="1:19" x14ac:dyDescent="0.25">
      <c r="A787" s="133"/>
      <c r="B787" s="134"/>
      <c r="C787" s="134"/>
      <c r="D787" s="134"/>
      <c r="E787" s="134"/>
      <c r="F787" s="134"/>
      <c r="G787" s="135"/>
      <c r="H787" s="135"/>
      <c r="I787" s="135"/>
      <c r="J787" s="136"/>
      <c r="K787" s="134"/>
      <c r="L787" s="134"/>
      <c r="M787" s="134"/>
      <c r="N787" s="134"/>
      <c r="O787" s="134"/>
      <c r="P787" s="134"/>
      <c r="Q787" s="134"/>
      <c r="R787" s="134"/>
      <c r="S787" s="134"/>
    </row>
    <row r="788" spans="1:19" x14ac:dyDescent="0.25">
      <c r="A788" s="133"/>
      <c r="B788" s="134"/>
      <c r="C788" s="134"/>
      <c r="D788" s="134"/>
      <c r="E788" s="134"/>
      <c r="F788" s="134"/>
      <c r="G788" s="135"/>
      <c r="H788" s="135"/>
      <c r="I788" s="135"/>
      <c r="J788" s="136"/>
      <c r="K788" s="134"/>
      <c r="L788" s="134"/>
      <c r="M788" s="134"/>
      <c r="N788" s="134"/>
      <c r="O788" s="134"/>
      <c r="P788" s="134"/>
      <c r="Q788" s="134"/>
      <c r="R788" s="134"/>
      <c r="S788" s="134"/>
    </row>
    <row r="789" spans="1:19" x14ac:dyDescent="0.25">
      <c r="A789" s="133"/>
      <c r="B789" s="134"/>
      <c r="C789" s="134"/>
      <c r="D789" s="134"/>
      <c r="E789" s="134"/>
      <c r="F789" s="134"/>
      <c r="G789" s="135"/>
      <c r="H789" s="135"/>
      <c r="I789" s="135"/>
      <c r="J789" s="136"/>
      <c r="K789" s="134"/>
      <c r="L789" s="134"/>
      <c r="M789" s="134"/>
      <c r="N789" s="134"/>
      <c r="O789" s="134"/>
      <c r="P789" s="134"/>
      <c r="Q789" s="134"/>
      <c r="R789" s="134"/>
      <c r="S789" s="134"/>
    </row>
    <row r="790" spans="1:19" x14ac:dyDescent="0.25">
      <c r="A790" s="133"/>
      <c r="B790" s="134"/>
      <c r="C790" s="134"/>
      <c r="D790" s="134"/>
      <c r="E790" s="134"/>
      <c r="F790" s="134"/>
      <c r="G790" s="135"/>
      <c r="H790" s="135"/>
      <c r="I790" s="135"/>
      <c r="J790" s="136"/>
      <c r="K790" s="134"/>
      <c r="L790" s="134"/>
      <c r="M790" s="134"/>
      <c r="N790" s="134"/>
      <c r="O790" s="134"/>
      <c r="P790" s="134"/>
      <c r="Q790" s="134"/>
      <c r="R790" s="134"/>
      <c r="S790" s="134"/>
    </row>
    <row r="791" spans="1:19" x14ac:dyDescent="0.25">
      <c r="A791" s="133"/>
      <c r="B791" s="134"/>
      <c r="C791" s="134"/>
      <c r="D791" s="134"/>
      <c r="E791" s="134"/>
      <c r="F791" s="134"/>
      <c r="G791" s="135"/>
      <c r="H791" s="135"/>
      <c r="I791" s="135"/>
      <c r="J791" s="136"/>
      <c r="K791" s="134"/>
      <c r="L791" s="134"/>
      <c r="M791" s="134"/>
      <c r="N791" s="134"/>
      <c r="O791" s="134"/>
      <c r="P791" s="134"/>
      <c r="Q791" s="134"/>
      <c r="R791" s="134"/>
      <c r="S791" s="134"/>
    </row>
    <row r="792" spans="1:19" x14ac:dyDescent="0.25">
      <c r="A792" s="133"/>
      <c r="B792" s="134"/>
      <c r="C792" s="134"/>
      <c r="D792" s="134"/>
      <c r="E792" s="134"/>
      <c r="F792" s="134"/>
      <c r="G792" s="135"/>
      <c r="H792" s="135"/>
      <c r="I792" s="135"/>
      <c r="J792" s="136"/>
      <c r="K792" s="134"/>
      <c r="L792" s="134"/>
      <c r="M792" s="134"/>
      <c r="N792" s="134"/>
      <c r="O792" s="134"/>
      <c r="P792" s="134"/>
      <c r="Q792" s="134"/>
      <c r="R792" s="134"/>
      <c r="S792" s="134"/>
    </row>
    <row r="793" spans="1:19" x14ac:dyDescent="0.25">
      <c r="A793" s="133"/>
      <c r="B793" s="134"/>
      <c r="C793" s="134"/>
      <c r="D793" s="134"/>
      <c r="E793" s="134"/>
      <c r="F793" s="134"/>
      <c r="G793" s="135"/>
      <c r="H793" s="135"/>
      <c r="I793" s="135"/>
      <c r="J793" s="136"/>
      <c r="K793" s="134"/>
      <c r="L793" s="134"/>
      <c r="M793" s="134"/>
      <c r="N793" s="134"/>
      <c r="O793" s="134"/>
      <c r="P793" s="134"/>
      <c r="Q793" s="134"/>
      <c r="R793" s="134"/>
      <c r="S793" s="134"/>
    </row>
    <row r="794" spans="1:19" x14ac:dyDescent="0.25">
      <c r="A794" s="133"/>
      <c r="B794" s="134"/>
      <c r="C794" s="134"/>
      <c r="D794" s="134"/>
      <c r="E794" s="134"/>
      <c r="F794" s="134"/>
      <c r="G794" s="135"/>
      <c r="H794" s="135"/>
      <c r="I794" s="135"/>
      <c r="J794" s="136"/>
      <c r="K794" s="134"/>
      <c r="L794" s="134"/>
      <c r="M794" s="134"/>
      <c r="N794" s="134"/>
      <c r="O794" s="134"/>
      <c r="P794" s="134"/>
      <c r="Q794" s="134"/>
      <c r="R794" s="134"/>
      <c r="S794" s="134"/>
    </row>
    <row r="795" spans="1:19" x14ac:dyDescent="0.25">
      <c r="A795" s="133"/>
      <c r="B795" s="134"/>
      <c r="C795" s="134"/>
      <c r="D795" s="134"/>
      <c r="E795" s="134"/>
      <c r="F795" s="134"/>
      <c r="G795" s="135"/>
      <c r="H795" s="135"/>
      <c r="I795" s="135"/>
      <c r="J795" s="136"/>
      <c r="K795" s="134"/>
      <c r="L795" s="134"/>
      <c r="M795" s="134"/>
      <c r="N795" s="134"/>
      <c r="O795" s="134"/>
      <c r="P795" s="134"/>
      <c r="Q795" s="134"/>
      <c r="R795" s="134"/>
      <c r="S795" s="134"/>
    </row>
    <row r="796" spans="1:19" x14ac:dyDescent="0.25">
      <c r="A796" s="133"/>
      <c r="B796" s="134"/>
      <c r="C796" s="134"/>
      <c r="D796" s="134"/>
      <c r="E796" s="134"/>
      <c r="F796" s="134"/>
      <c r="G796" s="135"/>
      <c r="H796" s="135"/>
      <c r="I796" s="135"/>
      <c r="J796" s="136"/>
      <c r="K796" s="134"/>
      <c r="L796" s="134"/>
      <c r="M796" s="134"/>
      <c r="N796" s="134"/>
      <c r="O796" s="134"/>
      <c r="P796" s="134"/>
      <c r="Q796" s="134"/>
      <c r="R796" s="134"/>
      <c r="S796" s="134"/>
    </row>
    <row r="797" spans="1:19" x14ac:dyDescent="0.25">
      <c r="A797" s="133"/>
      <c r="B797" s="134"/>
      <c r="C797" s="134"/>
      <c r="D797" s="134"/>
      <c r="E797" s="134"/>
      <c r="F797" s="134"/>
      <c r="G797" s="135"/>
      <c r="H797" s="135"/>
      <c r="I797" s="135"/>
      <c r="J797" s="136"/>
      <c r="K797" s="134"/>
      <c r="L797" s="134"/>
      <c r="M797" s="134"/>
      <c r="N797" s="134"/>
      <c r="O797" s="134"/>
      <c r="P797" s="134"/>
      <c r="Q797" s="134"/>
      <c r="R797" s="134"/>
      <c r="S797" s="134"/>
    </row>
    <row r="798" spans="1:19" x14ac:dyDescent="0.25">
      <c r="A798" s="133"/>
      <c r="B798" s="134"/>
      <c r="C798" s="134"/>
      <c r="D798" s="134"/>
      <c r="E798" s="134"/>
      <c r="F798" s="134"/>
      <c r="G798" s="135"/>
      <c r="H798" s="135"/>
      <c r="I798" s="135"/>
      <c r="J798" s="136"/>
      <c r="K798" s="134"/>
      <c r="L798" s="134"/>
      <c r="M798" s="134"/>
      <c r="N798" s="134"/>
      <c r="O798" s="134"/>
      <c r="P798" s="134"/>
      <c r="Q798" s="134"/>
      <c r="R798" s="134"/>
      <c r="S798" s="134"/>
    </row>
    <row r="799" spans="1:19" x14ac:dyDescent="0.25">
      <c r="A799" s="133"/>
      <c r="B799" s="134"/>
      <c r="C799" s="134"/>
      <c r="D799" s="134"/>
      <c r="E799" s="134"/>
      <c r="F799" s="134"/>
      <c r="G799" s="135"/>
      <c r="H799" s="135"/>
      <c r="I799" s="135"/>
      <c r="J799" s="136"/>
      <c r="K799" s="134"/>
      <c r="L799" s="134"/>
      <c r="M799" s="134"/>
      <c r="N799" s="134"/>
      <c r="O799" s="134"/>
      <c r="P799" s="134"/>
      <c r="Q799" s="134"/>
      <c r="R799" s="134"/>
      <c r="S799" s="134"/>
    </row>
    <row r="800" spans="1:19" x14ac:dyDescent="0.25">
      <c r="A800" s="133"/>
      <c r="B800" s="134"/>
      <c r="C800" s="134"/>
      <c r="D800" s="134"/>
      <c r="E800" s="134"/>
      <c r="F800" s="134"/>
      <c r="G800" s="135"/>
      <c r="H800" s="135"/>
      <c r="I800" s="135"/>
      <c r="J800" s="136"/>
      <c r="K800" s="134"/>
      <c r="L800" s="134"/>
      <c r="M800" s="134"/>
      <c r="N800" s="134"/>
      <c r="O800" s="134"/>
      <c r="P800" s="134"/>
      <c r="Q800" s="134"/>
      <c r="R800" s="134"/>
      <c r="S800" s="134"/>
    </row>
    <row r="801" spans="1:19" x14ac:dyDescent="0.25">
      <c r="A801" s="133"/>
      <c r="B801" s="134"/>
      <c r="C801" s="134"/>
      <c r="D801" s="134"/>
      <c r="E801" s="134"/>
      <c r="F801" s="134"/>
      <c r="G801" s="135"/>
      <c r="H801" s="135"/>
      <c r="I801" s="135"/>
      <c r="J801" s="136"/>
      <c r="K801" s="134"/>
      <c r="L801" s="134"/>
      <c r="M801" s="134"/>
      <c r="N801" s="134"/>
      <c r="O801" s="134"/>
      <c r="P801" s="134"/>
      <c r="Q801" s="134"/>
      <c r="R801" s="134"/>
      <c r="S801" s="134"/>
    </row>
    <row r="802" spans="1:19" x14ac:dyDescent="0.25">
      <c r="A802" s="133"/>
      <c r="B802" s="134"/>
      <c r="C802" s="134"/>
      <c r="D802" s="134"/>
      <c r="E802" s="134"/>
      <c r="F802" s="134"/>
      <c r="G802" s="135"/>
      <c r="H802" s="135"/>
      <c r="I802" s="135"/>
      <c r="J802" s="136"/>
      <c r="K802" s="134"/>
      <c r="L802" s="134"/>
      <c r="M802" s="134"/>
      <c r="N802" s="134"/>
      <c r="O802" s="134"/>
      <c r="P802" s="134"/>
      <c r="Q802" s="134"/>
      <c r="R802" s="134"/>
      <c r="S802" s="134"/>
    </row>
    <row r="803" spans="1:19" x14ac:dyDescent="0.25">
      <c r="A803" s="133"/>
      <c r="B803" s="134"/>
      <c r="C803" s="134"/>
      <c r="D803" s="134"/>
      <c r="E803" s="134"/>
      <c r="F803" s="134"/>
      <c r="G803" s="135"/>
      <c r="H803" s="135"/>
      <c r="I803" s="135"/>
      <c r="J803" s="136"/>
      <c r="K803" s="134"/>
      <c r="L803" s="134"/>
      <c r="M803" s="134"/>
      <c r="N803" s="134"/>
      <c r="O803" s="134"/>
      <c r="P803" s="134"/>
      <c r="Q803" s="134"/>
      <c r="R803" s="134"/>
      <c r="S803" s="134"/>
    </row>
    <row r="804" spans="1:19" x14ac:dyDescent="0.25">
      <c r="A804" s="133"/>
      <c r="B804" s="134"/>
      <c r="C804" s="134"/>
      <c r="D804" s="134"/>
      <c r="E804" s="134"/>
      <c r="F804" s="134"/>
      <c r="G804" s="135"/>
      <c r="H804" s="135"/>
      <c r="I804" s="135"/>
      <c r="J804" s="136"/>
      <c r="K804" s="134"/>
      <c r="L804" s="134"/>
      <c r="M804" s="134"/>
      <c r="N804" s="134"/>
      <c r="O804" s="134"/>
      <c r="P804" s="134"/>
      <c r="Q804" s="134"/>
      <c r="R804" s="134"/>
      <c r="S804" s="134"/>
    </row>
    <row r="805" spans="1:19" x14ac:dyDescent="0.25">
      <c r="A805" s="133"/>
      <c r="B805" s="134"/>
      <c r="C805" s="134"/>
      <c r="D805" s="134"/>
      <c r="E805" s="134"/>
      <c r="F805" s="134"/>
      <c r="G805" s="135"/>
      <c r="H805" s="135"/>
      <c r="I805" s="135"/>
      <c r="J805" s="136"/>
      <c r="K805" s="134"/>
      <c r="L805" s="134"/>
      <c r="M805" s="134"/>
      <c r="N805" s="134"/>
      <c r="O805" s="134"/>
      <c r="P805" s="134"/>
      <c r="Q805" s="134"/>
      <c r="R805" s="134"/>
      <c r="S805" s="134"/>
    </row>
    <row r="806" spans="1:19" x14ac:dyDescent="0.25">
      <c r="A806" s="133"/>
      <c r="B806" s="134"/>
      <c r="C806" s="134"/>
      <c r="D806" s="134"/>
      <c r="E806" s="134"/>
      <c r="F806" s="134"/>
      <c r="G806" s="135"/>
      <c r="H806" s="135"/>
      <c r="I806" s="135"/>
      <c r="J806" s="136"/>
      <c r="K806" s="134"/>
      <c r="L806" s="134"/>
      <c r="M806" s="134"/>
      <c r="N806" s="134"/>
      <c r="O806" s="134"/>
      <c r="P806" s="134"/>
      <c r="Q806" s="134"/>
      <c r="R806" s="134"/>
      <c r="S806" s="134"/>
    </row>
    <row r="807" spans="1:19" x14ac:dyDescent="0.25">
      <c r="A807" s="133"/>
      <c r="B807" s="134"/>
      <c r="C807" s="134"/>
      <c r="D807" s="134"/>
      <c r="E807" s="134"/>
      <c r="F807" s="134"/>
      <c r="G807" s="135"/>
      <c r="H807" s="135"/>
      <c r="I807" s="135"/>
      <c r="J807" s="136"/>
      <c r="K807" s="134"/>
      <c r="L807" s="134"/>
      <c r="M807" s="134"/>
      <c r="N807" s="134"/>
      <c r="O807" s="134"/>
      <c r="P807" s="134"/>
      <c r="Q807" s="134"/>
      <c r="R807" s="134"/>
      <c r="S807" s="134"/>
    </row>
    <row r="808" spans="1:19" x14ac:dyDescent="0.25">
      <c r="A808" s="133"/>
      <c r="B808" s="134"/>
      <c r="C808" s="134"/>
      <c r="D808" s="134"/>
      <c r="E808" s="134"/>
      <c r="F808" s="134"/>
      <c r="G808" s="135"/>
      <c r="H808" s="135"/>
      <c r="I808" s="135"/>
      <c r="J808" s="136"/>
      <c r="K808" s="134"/>
      <c r="L808" s="134"/>
      <c r="M808" s="134"/>
      <c r="N808" s="134"/>
      <c r="O808" s="134"/>
      <c r="P808" s="134"/>
      <c r="Q808" s="134"/>
      <c r="R808" s="134"/>
      <c r="S808" s="134"/>
    </row>
    <row r="809" spans="1:19" x14ac:dyDescent="0.25">
      <c r="A809" s="133"/>
      <c r="B809" s="134"/>
      <c r="C809" s="134"/>
      <c r="D809" s="134"/>
      <c r="E809" s="134"/>
      <c r="F809" s="134"/>
      <c r="G809" s="135"/>
      <c r="H809" s="135"/>
      <c r="I809" s="135"/>
      <c r="J809" s="136"/>
      <c r="K809" s="134"/>
      <c r="L809" s="134"/>
      <c r="M809" s="134"/>
      <c r="N809" s="134"/>
      <c r="O809" s="134"/>
      <c r="P809" s="134"/>
      <c r="Q809" s="134"/>
      <c r="R809" s="134"/>
      <c r="S809" s="134"/>
    </row>
    <row r="810" spans="1:19" x14ac:dyDescent="0.25">
      <c r="A810" s="133"/>
      <c r="B810" s="134"/>
      <c r="C810" s="134"/>
      <c r="D810" s="134"/>
      <c r="E810" s="134"/>
      <c r="F810" s="134"/>
      <c r="G810" s="135"/>
      <c r="H810" s="135"/>
      <c r="I810" s="135"/>
      <c r="J810" s="136"/>
      <c r="K810" s="134"/>
      <c r="L810" s="134"/>
      <c r="M810" s="134"/>
      <c r="N810" s="134"/>
      <c r="O810" s="134"/>
      <c r="P810" s="134"/>
      <c r="Q810" s="134"/>
      <c r="R810" s="134"/>
      <c r="S810" s="134"/>
    </row>
    <row r="811" spans="1:19" x14ac:dyDescent="0.25">
      <c r="A811" s="133"/>
      <c r="B811" s="134"/>
      <c r="C811" s="134"/>
      <c r="D811" s="134"/>
      <c r="E811" s="134"/>
      <c r="F811" s="134"/>
      <c r="G811" s="135"/>
      <c r="H811" s="135"/>
      <c r="I811" s="135"/>
      <c r="J811" s="136"/>
      <c r="K811" s="134"/>
      <c r="L811" s="134"/>
      <c r="M811" s="134"/>
      <c r="N811" s="134"/>
      <c r="O811" s="134"/>
      <c r="P811" s="134"/>
      <c r="Q811" s="134"/>
      <c r="R811" s="134"/>
      <c r="S811" s="134"/>
    </row>
    <row r="812" spans="1:19" x14ac:dyDescent="0.25">
      <c r="A812" s="133"/>
      <c r="B812" s="134"/>
      <c r="C812" s="134"/>
      <c r="D812" s="134"/>
      <c r="E812" s="134"/>
      <c r="F812" s="134"/>
      <c r="G812" s="135"/>
      <c r="H812" s="135"/>
      <c r="I812" s="135"/>
      <c r="J812" s="136"/>
      <c r="K812" s="134"/>
      <c r="L812" s="134"/>
      <c r="M812" s="134"/>
      <c r="N812" s="134"/>
      <c r="O812" s="134"/>
      <c r="P812" s="134"/>
      <c r="Q812" s="134"/>
      <c r="R812" s="134"/>
      <c r="S812" s="134"/>
    </row>
    <row r="813" spans="1:19" x14ac:dyDescent="0.25">
      <c r="A813" s="133"/>
      <c r="B813" s="134"/>
      <c r="C813" s="134"/>
      <c r="D813" s="134"/>
      <c r="E813" s="134"/>
      <c r="F813" s="134"/>
      <c r="G813" s="135"/>
      <c r="H813" s="135"/>
      <c r="I813" s="135"/>
      <c r="J813" s="136"/>
      <c r="K813" s="134"/>
      <c r="L813" s="134"/>
      <c r="M813" s="134"/>
      <c r="N813" s="134"/>
      <c r="O813" s="134"/>
      <c r="P813" s="134"/>
      <c r="Q813" s="134"/>
      <c r="R813" s="134"/>
      <c r="S813" s="134"/>
    </row>
    <row r="814" spans="1:19" x14ac:dyDescent="0.25">
      <c r="A814" s="133"/>
      <c r="B814" s="134"/>
      <c r="C814" s="134"/>
      <c r="D814" s="134"/>
      <c r="E814" s="134"/>
      <c r="F814" s="134"/>
      <c r="G814" s="135"/>
      <c r="H814" s="135"/>
      <c r="I814" s="135"/>
      <c r="J814" s="136"/>
      <c r="K814" s="134"/>
      <c r="L814" s="134"/>
      <c r="M814" s="134"/>
      <c r="N814" s="134"/>
      <c r="O814" s="134"/>
      <c r="P814" s="134"/>
      <c r="Q814" s="134"/>
      <c r="R814" s="134"/>
      <c r="S814" s="134"/>
    </row>
    <row r="815" spans="1:19" x14ac:dyDescent="0.25">
      <c r="A815" s="133"/>
      <c r="B815" s="134"/>
      <c r="C815" s="134"/>
      <c r="D815" s="134"/>
      <c r="E815" s="134"/>
      <c r="F815" s="134"/>
      <c r="G815" s="135"/>
      <c r="H815" s="135"/>
      <c r="I815" s="135"/>
      <c r="J815" s="136"/>
      <c r="K815" s="134"/>
      <c r="L815" s="134"/>
      <c r="M815" s="134"/>
      <c r="N815" s="134"/>
      <c r="O815" s="134"/>
      <c r="P815" s="134"/>
      <c r="Q815" s="134"/>
      <c r="R815" s="134"/>
      <c r="S815" s="134"/>
    </row>
    <row r="816" spans="1:19" x14ac:dyDescent="0.25">
      <c r="A816" s="133"/>
      <c r="B816" s="134"/>
      <c r="C816" s="134"/>
      <c r="D816" s="134"/>
      <c r="E816" s="134"/>
      <c r="F816" s="134"/>
      <c r="G816" s="135"/>
      <c r="H816" s="135"/>
      <c r="I816" s="135"/>
      <c r="J816" s="136"/>
      <c r="K816" s="134"/>
      <c r="L816" s="134"/>
      <c r="M816" s="134"/>
      <c r="N816" s="134"/>
      <c r="O816" s="134"/>
      <c r="P816" s="134"/>
      <c r="Q816" s="134"/>
      <c r="R816" s="134"/>
      <c r="S816" s="134"/>
    </row>
    <row r="817" spans="1:19" x14ac:dyDescent="0.25">
      <c r="A817" s="133"/>
      <c r="B817" s="134"/>
      <c r="C817" s="134"/>
      <c r="D817" s="134"/>
      <c r="E817" s="134"/>
      <c r="F817" s="134"/>
      <c r="G817" s="135"/>
      <c r="H817" s="135"/>
      <c r="I817" s="135"/>
      <c r="J817" s="136"/>
      <c r="K817" s="134"/>
      <c r="L817" s="134"/>
      <c r="M817" s="134"/>
      <c r="N817" s="134"/>
      <c r="O817" s="134"/>
      <c r="P817" s="134"/>
      <c r="Q817" s="134"/>
      <c r="R817" s="134"/>
      <c r="S817" s="134"/>
    </row>
    <row r="818" spans="1:19" x14ac:dyDescent="0.25">
      <c r="A818" s="133"/>
      <c r="B818" s="134"/>
      <c r="C818" s="134"/>
      <c r="D818" s="134"/>
      <c r="E818" s="134"/>
      <c r="F818" s="134"/>
      <c r="G818" s="135"/>
      <c r="H818" s="135"/>
      <c r="I818" s="135"/>
      <c r="J818" s="136"/>
      <c r="K818" s="134"/>
      <c r="L818" s="134"/>
      <c r="M818" s="134"/>
      <c r="N818" s="134"/>
      <c r="O818" s="134"/>
      <c r="P818" s="134"/>
      <c r="Q818" s="134"/>
      <c r="R818" s="134"/>
      <c r="S818" s="134"/>
    </row>
    <row r="819" spans="1:19" x14ac:dyDescent="0.25">
      <c r="A819" s="133"/>
      <c r="B819" s="134"/>
      <c r="C819" s="134"/>
      <c r="D819" s="134"/>
      <c r="E819" s="134"/>
      <c r="F819" s="134"/>
      <c r="G819" s="135"/>
      <c r="H819" s="135"/>
      <c r="I819" s="135"/>
      <c r="J819" s="136"/>
      <c r="K819" s="134"/>
      <c r="L819" s="134"/>
      <c r="M819" s="134"/>
      <c r="N819" s="134"/>
      <c r="O819" s="134"/>
      <c r="P819" s="134"/>
      <c r="Q819" s="134"/>
      <c r="R819" s="134"/>
      <c r="S819" s="134"/>
    </row>
    <row r="820" spans="1:19" x14ac:dyDescent="0.25">
      <c r="A820" s="133"/>
      <c r="B820" s="134"/>
      <c r="C820" s="134"/>
      <c r="D820" s="134"/>
      <c r="E820" s="134"/>
      <c r="F820" s="134"/>
      <c r="G820" s="135"/>
      <c r="H820" s="135"/>
      <c r="I820" s="135"/>
      <c r="J820" s="136"/>
      <c r="K820" s="134"/>
      <c r="L820" s="134"/>
      <c r="M820" s="134"/>
      <c r="N820" s="134"/>
      <c r="O820" s="134"/>
      <c r="P820" s="134"/>
      <c r="Q820" s="134"/>
      <c r="R820" s="134"/>
      <c r="S820" s="134"/>
    </row>
    <row r="821" spans="1:19" x14ac:dyDescent="0.25">
      <c r="A821" s="133"/>
      <c r="B821" s="134"/>
      <c r="C821" s="134"/>
      <c r="D821" s="134"/>
      <c r="E821" s="134"/>
      <c r="F821" s="134"/>
      <c r="G821" s="135"/>
      <c r="H821" s="135"/>
      <c r="I821" s="135"/>
      <c r="J821" s="136"/>
      <c r="K821" s="134"/>
      <c r="L821" s="134"/>
      <c r="M821" s="134"/>
      <c r="N821" s="134"/>
      <c r="O821" s="134"/>
      <c r="P821" s="134"/>
      <c r="Q821" s="134"/>
      <c r="R821" s="134"/>
      <c r="S821" s="134"/>
    </row>
    <row r="822" spans="1:19" x14ac:dyDescent="0.25">
      <c r="A822" s="133"/>
      <c r="B822" s="134"/>
      <c r="C822" s="134"/>
      <c r="D822" s="134"/>
      <c r="E822" s="134"/>
      <c r="F822" s="134"/>
      <c r="G822" s="135"/>
      <c r="H822" s="135"/>
      <c r="I822" s="135"/>
      <c r="J822" s="136"/>
      <c r="K822" s="134"/>
      <c r="L822" s="134"/>
      <c r="M822" s="134"/>
      <c r="N822" s="134"/>
      <c r="O822" s="134"/>
      <c r="P822" s="134"/>
      <c r="Q822" s="134"/>
      <c r="R822" s="134"/>
      <c r="S822" s="134"/>
    </row>
    <row r="823" spans="1:19" x14ac:dyDescent="0.25">
      <c r="A823" s="133"/>
      <c r="B823" s="134"/>
      <c r="C823" s="134"/>
      <c r="D823" s="134"/>
      <c r="E823" s="134"/>
      <c r="F823" s="134"/>
      <c r="G823" s="135"/>
      <c r="H823" s="135"/>
      <c r="I823" s="135"/>
      <c r="J823" s="136"/>
      <c r="K823" s="134"/>
      <c r="L823" s="134"/>
      <c r="M823" s="134"/>
      <c r="N823" s="134"/>
      <c r="O823" s="134"/>
      <c r="P823" s="134"/>
      <c r="Q823" s="134"/>
      <c r="R823" s="134"/>
      <c r="S823" s="134"/>
    </row>
    <row r="824" spans="1:19" x14ac:dyDescent="0.25">
      <c r="A824" s="133"/>
      <c r="B824" s="134"/>
      <c r="C824" s="134"/>
      <c r="D824" s="134"/>
      <c r="E824" s="134"/>
      <c r="F824" s="134"/>
      <c r="G824" s="135"/>
      <c r="H824" s="135"/>
      <c r="I824" s="135"/>
      <c r="J824" s="136"/>
      <c r="K824" s="134"/>
      <c r="L824" s="134"/>
      <c r="M824" s="134"/>
      <c r="N824" s="134"/>
      <c r="O824" s="134"/>
      <c r="P824" s="134"/>
      <c r="Q824" s="134"/>
      <c r="R824" s="134"/>
      <c r="S824" s="134"/>
    </row>
    <row r="825" spans="1:19" x14ac:dyDescent="0.25">
      <c r="A825" s="133"/>
      <c r="B825" s="134"/>
      <c r="C825" s="134"/>
      <c r="D825" s="134"/>
      <c r="E825" s="134"/>
      <c r="F825" s="134"/>
      <c r="G825" s="135"/>
      <c r="H825" s="135"/>
      <c r="I825" s="135"/>
      <c r="J825" s="136"/>
      <c r="K825" s="134"/>
      <c r="L825" s="134"/>
      <c r="M825" s="134"/>
      <c r="N825" s="134"/>
      <c r="O825" s="134"/>
      <c r="P825" s="134"/>
      <c r="Q825" s="134"/>
      <c r="R825" s="134"/>
      <c r="S825" s="134"/>
    </row>
    <row r="826" spans="1:19" x14ac:dyDescent="0.25">
      <c r="A826" s="133"/>
      <c r="B826" s="134"/>
      <c r="C826" s="134"/>
      <c r="D826" s="134"/>
      <c r="E826" s="134"/>
      <c r="F826" s="134"/>
      <c r="G826" s="135"/>
      <c r="H826" s="135"/>
      <c r="I826" s="135"/>
      <c r="J826" s="136"/>
      <c r="K826" s="134"/>
      <c r="L826" s="134"/>
      <c r="M826" s="134"/>
      <c r="N826" s="134"/>
      <c r="O826" s="134"/>
      <c r="P826" s="134"/>
      <c r="Q826" s="134"/>
      <c r="R826" s="134"/>
      <c r="S826" s="134"/>
    </row>
    <row r="827" spans="1:19" x14ac:dyDescent="0.25">
      <c r="A827" s="133"/>
      <c r="B827" s="134"/>
      <c r="C827" s="134"/>
      <c r="D827" s="134"/>
      <c r="E827" s="134"/>
      <c r="F827" s="134"/>
      <c r="G827" s="135"/>
      <c r="H827" s="135"/>
      <c r="I827" s="135"/>
      <c r="J827" s="136"/>
      <c r="K827" s="134"/>
      <c r="L827" s="134"/>
      <c r="M827" s="134"/>
      <c r="N827" s="134"/>
      <c r="O827" s="134"/>
      <c r="P827" s="134"/>
      <c r="Q827" s="134"/>
      <c r="R827" s="134"/>
      <c r="S827" s="134"/>
    </row>
    <row r="828" spans="1:19" x14ac:dyDescent="0.25">
      <c r="A828" s="133"/>
      <c r="B828" s="134"/>
      <c r="C828" s="134"/>
      <c r="D828" s="134"/>
      <c r="E828" s="134"/>
      <c r="F828" s="134"/>
      <c r="G828" s="135"/>
      <c r="H828" s="135"/>
      <c r="I828" s="135"/>
      <c r="J828" s="136"/>
      <c r="K828" s="134"/>
      <c r="L828" s="134"/>
      <c r="M828" s="134"/>
      <c r="N828" s="134"/>
      <c r="O828" s="134"/>
      <c r="P828" s="134"/>
      <c r="Q828" s="134"/>
      <c r="R828" s="134"/>
      <c r="S828" s="134"/>
    </row>
    <row r="829" spans="1:19" x14ac:dyDescent="0.25">
      <c r="A829" s="133"/>
      <c r="B829" s="134"/>
      <c r="C829" s="134"/>
      <c r="D829" s="134"/>
      <c r="E829" s="134"/>
      <c r="F829" s="134"/>
      <c r="G829" s="135"/>
      <c r="H829" s="135"/>
      <c r="I829" s="135"/>
      <c r="J829" s="136"/>
      <c r="K829" s="134"/>
      <c r="L829" s="134"/>
      <c r="M829" s="134"/>
      <c r="N829" s="134"/>
      <c r="O829" s="134"/>
      <c r="P829" s="134"/>
      <c r="Q829" s="134"/>
      <c r="R829" s="134"/>
      <c r="S829" s="134"/>
    </row>
    <row r="830" spans="1:19" x14ac:dyDescent="0.25">
      <c r="A830" s="133"/>
      <c r="B830" s="134"/>
      <c r="C830" s="134"/>
      <c r="D830" s="134"/>
      <c r="E830" s="134"/>
      <c r="F830" s="134"/>
      <c r="G830" s="135"/>
      <c r="H830" s="135"/>
      <c r="I830" s="135"/>
      <c r="J830" s="136"/>
      <c r="K830" s="134"/>
      <c r="L830" s="134"/>
      <c r="M830" s="134"/>
      <c r="N830" s="134"/>
      <c r="O830" s="134"/>
      <c r="P830" s="134"/>
      <c r="Q830" s="134"/>
      <c r="R830" s="134"/>
      <c r="S830" s="134"/>
    </row>
    <row r="831" spans="1:19" x14ac:dyDescent="0.25">
      <c r="A831" s="133"/>
      <c r="B831" s="134"/>
      <c r="C831" s="134"/>
      <c r="D831" s="134"/>
      <c r="E831" s="134"/>
      <c r="F831" s="134"/>
      <c r="G831" s="135"/>
      <c r="H831" s="135"/>
      <c r="I831" s="135"/>
      <c r="J831" s="136"/>
      <c r="K831" s="134"/>
      <c r="L831" s="134"/>
      <c r="M831" s="134"/>
      <c r="N831" s="134"/>
      <c r="O831" s="134"/>
      <c r="P831" s="134"/>
      <c r="Q831" s="134"/>
      <c r="R831" s="134"/>
      <c r="S831" s="134"/>
    </row>
    <row r="832" spans="1:19" x14ac:dyDescent="0.25">
      <c r="A832" s="133"/>
      <c r="B832" s="134"/>
      <c r="C832" s="134"/>
      <c r="D832" s="134"/>
      <c r="E832" s="134"/>
      <c r="F832" s="134"/>
      <c r="G832" s="135"/>
      <c r="H832" s="135"/>
      <c r="I832" s="135"/>
      <c r="J832" s="136"/>
      <c r="K832" s="134"/>
      <c r="L832" s="134"/>
      <c r="M832" s="134"/>
      <c r="N832" s="134"/>
      <c r="O832" s="134"/>
      <c r="P832" s="134"/>
      <c r="Q832" s="134"/>
      <c r="R832" s="134"/>
      <c r="S832" s="134"/>
    </row>
    <row r="833" spans="1:19" x14ac:dyDescent="0.25">
      <c r="A833" s="133"/>
      <c r="B833" s="134"/>
      <c r="C833" s="134"/>
      <c r="D833" s="134"/>
      <c r="E833" s="134"/>
      <c r="F833" s="134"/>
      <c r="G833" s="135"/>
      <c r="H833" s="135"/>
      <c r="I833" s="135"/>
      <c r="J833" s="136"/>
      <c r="K833" s="134"/>
      <c r="L833" s="134"/>
      <c r="M833" s="134"/>
      <c r="N833" s="134"/>
      <c r="O833" s="134"/>
      <c r="P833" s="134"/>
      <c r="Q833" s="134"/>
      <c r="R833" s="134"/>
      <c r="S833" s="134"/>
    </row>
    <row r="834" spans="1:19" x14ac:dyDescent="0.25">
      <c r="A834" s="133"/>
      <c r="B834" s="134"/>
      <c r="C834" s="134"/>
      <c r="D834" s="134"/>
      <c r="E834" s="134"/>
      <c r="F834" s="134"/>
      <c r="G834" s="135"/>
      <c r="H834" s="135"/>
      <c r="I834" s="135"/>
      <c r="J834" s="136"/>
      <c r="K834" s="134"/>
      <c r="L834" s="134"/>
      <c r="M834" s="134"/>
      <c r="N834" s="134"/>
      <c r="O834" s="134"/>
      <c r="P834" s="134"/>
      <c r="Q834" s="134"/>
      <c r="R834" s="134"/>
      <c r="S834" s="134"/>
    </row>
    <row r="835" spans="1:19" x14ac:dyDescent="0.25">
      <c r="A835" s="133"/>
      <c r="B835" s="134"/>
      <c r="C835" s="134"/>
      <c r="D835" s="134"/>
      <c r="E835" s="134"/>
      <c r="F835" s="134"/>
      <c r="G835" s="135"/>
      <c r="H835" s="135"/>
      <c r="I835" s="135"/>
      <c r="J835" s="136"/>
      <c r="K835" s="134"/>
      <c r="L835" s="134"/>
      <c r="M835" s="134"/>
      <c r="N835" s="134"/>
      <c r="O835" s="134"/>
      <c r="P835" s="134"/>
      <c r="Q835" s="134"/>
      <c r="R835" s="134"/>
      <c r="S835" s="134"/>
    </row>
    <row r="836" spans="1:19" x14ac:dyDescent="0.25">
      <c r="A836" s="133"/>
      <c r="B836" s="134"/>
      <c r="C836" s="134"/>
      <c r="D836" s="134"/>
      <c r="E836" s="134"/>
      <c r="F836" s="134"/>
      <c r="G836" s="135"/>
      <c r="H836" s="135"/>
      <c r="I836" s="135"/>
      <c r="J836" s="136"/>
      <c r="K836" s="134"/>
      <c r="L836" s="134"/>
      <c r="M836" s="134"/>
      <c r="N836" s="134"/>
      <c r="O836" s="134"/>
      <c r="P836" s="134"/>
      <c r="Q836" s="134"/>
      <c r="R836" s="134"/>
      <c r="S836" s="134"/>
    </row>
    <row r="837" spans="1:19" x14ac:dyDescent="0.25">
      <c r="A837" s="133"/>
      <c r="B837" s="134"/>
      <c r="C837" s="134"/>
      <c r="D837" s="134"/>
      <c r="E837" s="134"/>
      <c r="F837" s="134"/>
      <c r="G837" s="135"/>
      <c r="H837" s="135"/>
      <c r="I837" s="135"/>
      <c r="J837" s="136"/>
      <c r="K837" s="134"/>
      <c r="L837" s="134"/>
      <c r="M837" s="134"/>
      <c r="N837" s="134"/>
      <c r="O837" s="134"/>
      <c r="P837" s="134"/>
      <c r="Q837" s="134"/>
      <c r="R837" s="134"/>
      <c r="S837" s="134"/>
    </row>
    <row r="838" spans="1:19" x14ac:dyDescent="0.25">
      <c r="A838" s="133"/>
      <c r="B838" s="134"/>
      <c r="C838" s="134"/>
      <c r="D838" s="134"/>
      <c r="E838" s="134"/>
      <c r="F838" s="134"/>
      <c r="G838" s="135"/>
      <c r="H838" s="135"/>
      <c r="I838" s="135"/>
      <c r="J838" s="136"/>
      <c r="K838" s="134"/>
      <c r="L838" s="134"/>
      <c r="M838" s="134"/>
      <c r="N838" s="134"/>
      <c r="O838" s="134"/>
      <c r="P838" s="134"/>
      <c r="Q838" s="134"/>
      <c r="R838" s="134"/>
      <c r="S838" s="134"/>
    </row>
    <row r="839" spans="1:19" x14ac:dyDescent="0.25">
      <c r="A839" s="133"/>
      <c r="B839" s="134"/>
      <c r="C839" s="134"/>
      <c r="D839" s="134"/>
      <c r="E839" s="134"/>
      <c r="F839" s="134"/>
      <c r="G839" s="135"/>
      <c r="H839" s="135"/>
      <c r="I839" s="135"/>
      <c r="J839" s="136"/>
      <c r="K839" s="134"/>
      <c r="L839" s="134"/>
      <c r="M839" s="134"/>
      <c r="N839" s="134"/>
      <c r="O839" s="134"/>
      <c r="P839" s="134"/>
      <c r="Q839" s="134"/>
      <c r="R839" s="134"/>
      <c r="S839" s="134"/>
    </row>
    <row r="840" spans="1:19" x14ac:dyDescent="0.25">
      <c r="A840" s="133"/>
      <c r="B840" s="134"/>
      <c r="C840" s="134"/>
      <c r="D840" s="134"/>
      <c r="E840" s="134"/>
      <c r="F840" s="134"/>
      <c r="G840" s="135"/>
      <c r="H840" s="135"/>
      <c r="I840" s="135"/>
      <c r="J840" s="136"/>
      <c r="K840" s="134"/>
      <c r="L840" s="134"/>
      <c r="M840" s="134"/>
      <c r="N840" s="134"/>
      <c r="O840" s="134"/>
      <c r="P840" s="134"/>
      <c r="Q840" s="134"/>
      <c r="R840" s="134"/>
      <c r="S840" s="134"/>
    </row>
    <row r="841" spans="1:19" x14ac:dyDescent="0.25">
      <c r="A841" s="133"/>
      <c r="B841" s="134"/>
      <c r="C841" s="134"/>
      <c r="D841" s="134"/>
      <c r="E841" s="134"/>
      <c r="F841" s="134"/>
      <c r="G841" s="135"/>
      <c r="H841" s="135"/>
      <c r="I841" s="135"/>
      <c r="J841" s="136"/>
      <c r="K841" s="134"/>
      <c r="L841" s="134"/>
      <c r="M841" s="134"/>
      <c r="N841" s="134"/>
      <c r="O841" s="134"/>
      <c r="P841" s="134"/>
      <c r="Q841" s="134"/>
      <c r="R841" s="134"/>
      <c r="S841" s="134"/>
    </row>
    <row r="842" spans="1:19" x14ac:dyDescent="0.25">
      <c r="A842" s="133"/>
      <c r="B842" s="134"/>
      <c r="C842" s="134"/>
      <c r="D842" s="134"/>
      <c r="E842" s="134"/>
      <c r="F842" s="134"/>
      <c r="G842" s="135"/>
      <c r="H842" s="135"/>
      <c r="I842" s="135"/>
      <c r="J842" s="136"/>
      <c r="K842" s="134"/>
      <c r="L842" s="134"/>
      <c r="M842" s="134"/>
      <c r="N842" s="134"/>
      <c r="O842" s="134"/>
      <c r="P842" s="134"/>
      <c r="Q842" s="134"/>
      <c r="R842" s="134"/>
      <c r="S842" s="134"/>
    </row>
    <row r="843" spans="1:19" x14ac:dyDescent="0.25">
      <c r="A843" s="133"/>
      <c r="B843" s="134"/>
      <c r="C843" s="134"/>
      <c r="D843" s="134"/>
      <c r="E843" s="134"/>
      <c r="F843" s="134"/>
      <c r="G843" s="135"/>
      <c r="H843" s="135"/>
      <c r="I843" s="135"/>
      <c r="J843" s="136"/>
      <c r="K843" s="134"/>
      <c r="L843" s="134"/>
      <c r="M843" s="134"/>
      <c r="N843" s="134"/>
      <c r="O843" s="134"/>
      <c r="P843" s="134"/>
      <c r="Q843" s="134"/>
      <c r="R843" s="134"/>
      <c r="S843" s="134"/>
    </row>
    <row r="844" spans="1:19" x14ac:dyDescent="0.25">
      <c r="A844" s="133"/>
      <c r="B844" s="134"/>
      <c r="C844" s="134"/>
      <c r="D844" s="134"/>
      <c r="E844" s="134"/>
      <c r="F844" s="134"/>
      <c r="G844" s="135"/>
      <c r="H844" s="135"/>
      <c r="I844" s="135"/>
      <c r="J844" s="136"/>
      <c r="K844" s="134"/>
      <c r="L844" s="134"/>
      <c r="M844" s="134"/>
      <c r="N844" s="134"/>
      <c r="O844" s="134"/>
      <c r="P844" s="134"/>
      <c r="Q844" s="134"/>
      <c r="R844" s="134"/>
      <c r="S844" s="134"/>
    </row>
    <row r="845" spans="1:19" x14ac:dyDescent="0.25">
      <c r="A845" s="133"/>
      <c r="B845" s="134"/>
      <c r="C845" s="134"/>
      <c r="D845" s="134"/>
      <c r="E845" s="134"/>
      <c r="F845" s="134"/>
      <c r="G845" s="135"/>
      <c r="H845" s="135"/>
      <c r="I845" s="135"/>
      <c r="J845" s="136"/>
      <c r="K845" s="134"/>
      <c r="L845" s="134"/>
      <c r="M845" s="134"/>
      <c r="N845" s="134"/>
      <c r="O845" s="134"/>
      <c r="P845" s="134"/>
      <c r="Q845" s="134"/>
      <c r="R845" s="134"/>
      <c r="S845" s="134"/>
    </row>
    <row r="846" spans="1:19" x14ac:dyDescent="0.25">
      <c r="A846" s="133"/>
      <c r="B846" s="134"/>
      <c r="C846" s="134"/>
      <c r="D846" s="134"/>
      <c r="E846" s="134"/>
      <c r="F846" s="134"/>
      <c r="G846" s="135"/>
      <c r="H846" s="135"/>
      <c r="I846" s="135"/>
      <c r="J846" s="136"/>
      <c r="K846" s="134"/>
      <c r="L846" s="134"/>
      <c r="M846" s="134"/>
      <c r="N846" s="134"/>
      <c r="O846" s="134"/>
      <c r="P846" s="134"/>
      <c r="Q846" s="134"/>
      <c r="R846" s="134"/>
      <c r="S846" s="134"/>
    </row>
    <row r="847" spans="1:19" x14ac:dyDescent="0.25">
      <c r="A847" s="133"/>
      <c r="B847" s="134"/>
      <c r="C847" s="134"/>
      <c r="D847" s="134"/>
      <c r="E847" s="134"/>
      <c r="F847" s="134"/>
      <c r="G847" s="135"/>
      <c r="H847" s="135"/>
      <c r="I847" s="135"/>
      <c r="J847" s="136"/>
      <c r="K847" s="134"/>
      <c r="L847" s="134"/>
      <c r="M847" s="134"/>
      <c r="N847" s="134"/>
      <c r="O847" s="134"/>
      <c r="P847" s="134"/>
      <c r="Q847" s="134"/>
      <c r="R847" s="134"/>
      <c r="S847" s="134"/>
    </row>
    <row r="848" spans="1:19" x14ac:dyDescent="0.25">
      <c r="A848" s="133"/>
      <c r="B848" s="134"/>
      <c r="C848" s="134"/>
      <c r="D848" s="134"/>
      <c r="E848" s="134"/>
      <c r="F848" s="134"/>
      <c r="G848" s="135"/>
      <c r="H848" s="135"/>
      <c r="I848" s="135"/>
      <c r="J848" s="136"/>
      <c r="K848" s="134"/>
      <c r="L848" s="134"/>
      <c r="M848" s="134"/>
      <c r="N848" s="134"/>
      <c r="O848" s="134"/>
      <c r="P848" s="134"/>
      <c r="Q848" s="134"/>
      <c r="R848" s="134"/>
      <c r="S848" s="134"/>
    </row>
    <row r="849" spans="1:19" x14ac:dyDescent="0.25">
      <c r="A849" s="133"/>
      <c r="B849" s="134"/>
      <c r="C849" s="134"/>
      <c r="D849" s="134"/>
      <c r="E849" s="134"/>
      <c r="F849" s="134"/>
      <c r="G849" s="135"/>
      <c r="H849" s="135"/>
      <c r="I849" s="135"/>
      <c r="J849" s="136"/>
      <c r="K849" s="134"/>
      <c r="L849" s="134"/>
      <c r="M849" s="134"/>
      <c r="N849" s="134"/>
      <c r="O849" s="134"/>
      <c r="P849" s="134"/>
      <c r="Q849" s="134"/>
      <c r="R849" s="134"/>
      <c r="S849" s="134"/>
    </row>
    <row r="850" spans="1:19" x14ac:dyDescent="0.25">
      <c r="A850" s="133"/>
      <c r="B850" s="134"/>
      <c r="C850" s="134"/>
      <c r="D850" s="134"/>
      <c r="E850" s="134"/>
      <c r="F850" s="134"/>
      <c r="G850" s="135"/>
      <c r="H850" s="135"/>
      <c r="I850" s="135"/>
      <c r="J850" s="136"/>
      <c r="K850" s="134"/>
      <c r="L850" s="134"/>
      <c r="M850" s="134"/>
      <c r="N850" s="134"/>
      <c r="O850" s="134"/>
      <c r="P850" s="134"/>
      <c r="Q850" s="134"/>
      <c r="R850" s="134"/>
      <c r="S850" s="134"/>
    </row>
    <row r="851" spans="1:19" x14ac:dyDescent="0.25">
      <c r="A851" s="133"/>
      <c r="B851" s="134"/>
      <c r="C851" s="134"/>
      <c r="D851" s="134"/>
      <c r="E851" s="134"/>
      <c r="F851" s="134"/>
      <c r="G851" s="135"/>
      <c r="H851" s="135"/>
      <c r="I851" s="135"/>
      <c r="J851" s="136"/>
      <c r="K851" s="134"/>
      <c r="L851" s="134"/>
      <c r="M851" s="134"/>
      <c r="N851" s="134"/>
      <c r="O851" s="134"/>
      <c r="P851" s="134"/>
      <c r="Q851" s="134"/>
      <c r="R851" s="134"/>
      <c r="S851" s="134"/>
    </row>
    <row r="852" spans="1:19" x14ac:dyDescent="0.25">
      <c r="A852" s="133"/>
      <c r="B852" s="134"/>
      <c r="C852" s="134"/>
      <c r="D852" s="134"/>
      <c r="E852" s="134"/>
      <c r="F852" s="134"/>
      <c r="G852" s="135"/>
      <c r="H852" s="135"/>
      <c r="I852" s="135"/>
      <c r="J852" s="136"/>
      <c r="K852" s="134"/>
      <c r="L852" s="134"/>
      <c r="M852" s="134"/>
      <c r="N852" s="134"/>
      <c r="O852" s="134"/>
      <c r="P852" s="134"/>
      <c r="Q852" s="134"/>
      <c r="R852" s="134"/>
      <c r="S852" s="134"/>
    </row>
    <row r="853" spans="1:19" x14ac:dyDescent="0.25">
      <c r="A853" s="133"/>
      <c r="B853" s="134"/>
      <c r="C853" s="134"/>
      <c r="D853" s="134"/>
      <c r="E853" s="134"/>
      <c r="F853" s="134"/>
      <c r="G853" s="135"/>
      <c r="H853" s="135"/>
      <c r="I853" s="135"/>
      <c r="J853" s="136"/>
      <c r="K853" s="134"/>
      <c r="L853" s="134"/>
      <c r="M853" s="134"/>
      <c r="N853" s="134"/>
      <c r="O853" s="134"/>
      <c r="P853" s="134"/>
      <c r="Q853" s="134"/>
      <c r="R853" s="134"/>
      <c r="S853" s="134"/>
    </row>
    <row r="854" spans="1:19" x14ac:dyDescent="0.25">
      <c r="A854" s="133"/>
      <c r="B854" s="134"/>
      <c r="C854" s="134"/>
      <c r="D854" s="134"/>
      <c r="E854" s="134"/>
      <c r="F854" s="134"/>
      <c r="G854" s="135"/>
      <c r="H854" s="135"/>
      <c r="I854" s="135"/>
      <c r="J854" s="136"/>
      <c r="K854" s="134"/>
      <c r="L854" s="134"/>
      <c r="M854" s="134"/>
      <c r="N854" s="134"/>
      <c r="O854" s="134"/>
      <c r="P854" s="134"/>
      <c r="Q854" s="134"/>
      <c r="R854" s="134"/>
      <c r="S854" s="134"/>
    </row>
    <row r="855" spans="1:19" x14ac:dyDescent="0.25">
      <c r="A855" s="133"/>
      <c r="B855" s="134"/>
      <c r="C855" s="134"/>
      <c r="D855" s="134"/>
      <c r="E855" s="134"/>
      <c r="F855" s="134"/>
      <c r="G855" s="135"/>
      <c r="H855" s="135"/>
      <c r="I855" s="135"/>
      <c r="J855" s="136"/>
      <c r="K855" s="134"/>
      <c r="L855" s="134"/>
      <c r="M855" s="134"/>
      <c r="N855" s="134"/>
      <c r="O855" s="134"/>
      <c r="P855" s="134"/>
      <c r="Q855" s="134"/>
      <c r="R855" s="134"/>
      <c r="S855" s="134"/>
    </row>
    <row r="856" spans="1:19" x14ac:dyDescent="0.25">
      <c r="A856" s="133"/>
      <c r="B856" s="134"/>
      <c r="C856" s="134"/>
      <c r="D856" s="134"/>
      <c r="E856" s="134"/>
      <c r="F856" s="134"/>
      <c r="G856" s="135"/>
      <c r="H856" s="135"/>
      <c r="I856" s="135"/>
      <c r="J856" s="136"/>
      <c r="K856" s="134"/>
      <c r="L856" s="134"/>
      <c r="M856" s="134"/>
      <c r="N856" s="134"/>
      <c r="O856" s="134"/>
      <c r="P856" s="134"/>
      <c r="Q856" s="134"/>
      <c r="R856" s="134"/>
      <c r="S856" s="134"/>
    </row>
    <row r="857" spans="1:19" x14ac:dyDescent="0.25">
      <c r="A857" s="133"/>
      <c r="B857" s="134"/>
      <c r="C857" s="134"/>
      <c r="D857" s="134"/>
      <c r="E857" s="134"/>
      <c r="F857" s="134"/>
      <c r="G857" s="135"/>
      <c r="H857" s="135"/>
      <c r="I857" s="135"/>
      <c r="J857" s="136"/>
      <c r="K857" s="134"/>
      <c r="L857" s="134"/>
      <c r="M857" s="134"/>
      <c r="N857" s="134"/>
      <c r="O857" s="134"/>
      <c r="P857" s="134"/>
      <c r="Q857" s="134"/>
      <c r="R857" s="134"/>
      <c r="S857" s="134"/>
    </row>
    <row r="858" spans="1:19" x14ac:dyDescent="0.25">
      <c r="A858" s="133"/>
      <c r="B858" s="134"/>
      <c r="C858" s="134"/>
      <c r="D858" s="134"/>
      <c r="E858" s="134"/>
      <c r="F858" s="134"/>
      <c r="G858" s="135"/>
      <c r="H858" s="135"/>
      <c r="I858" s="135"/>
      <c r="J858" s="136"/>
      <c r="K858" s="134"/>
      <c r="L858" s="134"/>
      <c r="M858" s="134"/>
      <c r="N858" s="134"/>
      <c r="O858" s="134"/>
      <c r="P858" s="134"/>
      <c r="Q858" s="134"/>
      <c r="R858" s="134"/>
      <c r="S858" s="134"/>
    </row>
    <row r="859" spans="1:19" x14ac:dyDescent="0.25">
      <c r="A859" s="133"/>
      <c r="B859" s="134"/>
      <c r="C859" s="134"/>
      <c r="D859" s="134"/>
      <c r="E859" s="134"/>
      <c r="F859" s="134"/>
      <c r="G859" s="135"/>
      <c r="H859" s="135"/>
      <c r="I859" s="135"/>
      <c r="J859" s="136"/>
      <c r="K859" s="134"/>
      <c r="L859" s="134"/>
      <c r="M859" s="134"/>
      <c r="N859" s="134"/>
      <c r="O859" s="134"/>
      <c r="P859" s="134"/>
      <c r="Q859" s="134"/>
      <c r="R859" s="134"/>
      <c r="S859" s="134"/>
    </row>
    <row r="860" spans="1:19" x14ac:dyDescent="0.25">
      <c r="A860" s="133"/>
      <c r="B860" s="134"/>
      <c r="C860" s="134"/>
      <c r="D860" s="134"/>
      <c r="E860" s="134"/>
      <c r="F860" s="134"/>
      <c r="G860" s="135"/>
      <c r="H860" s="135"/>
      <c r="I860" s="135"/>
      <c r="J860" s="136"/>
      <c r="K860" s="134"/>
      <c r="L860" s="134"/>
      <c r="M860" s="134"/>
      <c r="N860" s="134"/>
      <c r="O860" s="134"/>
      <c r="P860" s="134"/>
      <c r="Q860" s="134"/>
      <c r="R860" s="134"/>
      <c r="S860" s="134"/>
    </row>
    <row r="861" spans="1:19" x14ac:dyDescent="0.25">
      <c r="A861" s="133"/>
      <c r="B861" s="134"/>
      <c r="C861" s="134"/>
      <c r="D861" s="134"/>
      <c r="E861" s="134"/>
      <c r="F861" s="134"/>
      <c r="G861" s="135"/>
      <c r="H861" s="135"/>
      <c r="I861" s="135"/>
      <c r="J861" s="136"/>
      <c r="K861" s="134"/>
      <c r="L861" s="134"/>
      <c r="M861" s="134"/>
      <c r="N861" s="134"/>
      <c r="O861" s="134"/>
      <c r="P861" s="134"/>
      <c r="Q861" s="134"/>
      <c r="R861" s="134"/>
      <c r="S861" s="134"/>
    </row>
    <row r="862" spans="1:19" x14ac:dyDescent="0.25">
      <c r="A862" s="133"/>
      <c r="B862" s="134"/>
      <c r="C862" s="134"/>
      <c r="D862" s="134"/>
      <c r="E862" s="134"/>
      <c r="F862" s="134"/>
      <c r="G862" s="135"/>
      <c r="H862" s="135"/>
      <c r="I862" s="135"/>
      <c r="J862" s="136"/>
      <c r="K862" s="134"/>
      <c r="L862" s="134"/>
      <c r="M862" s="134"/>
      <c r="N862" s="134"/>
      <c r="O862" s="134"/>
      <c r="P862" s="134"/>
      <c r="Q862" s="134"/>
      <c r="R862" s="134"/>
      <c r="S862" s="134"/>
    </row>
    <row r="863" spans="1:19" x14ac:dyDescent="0.25">
      <c r="A863" s="133"/>
      <c r="B863" s="134"/>
      <c r="C863" s="134"/>
      <c r="D863" s="134"/>
      <c r="E863" s="134"/>
      <c r="F863" s="134"/>
      <c r="G863" s="135"/>
      <c r="H863" s="135"/>
      <c r="I863" s="135"/>
      <c r="J863" s="136"/>
      <c r="K863" s="134"/>
      <c r="L863" s="134"/>
      <c r="M863" s="134"/>
      <c r="N863" s="134"/>
      <c r="O863" s="134"/>
      <c r="P863" s="134"/>
      <c r="Q863" s="134"/>
      <c r="R863" s="134"/>
      <c r="S863" s="134"/>
    </row>
    <row r="864" spans="1:19" x14ac:dyDescent="0.25">
      <c r="A864" s="133"/>
      <c r="B864" s="134"/>
      <c r="C864" s="134"/>
      <c r="D864" s="134"/>
      <c r="E864" s="134"/>
      <c r="F864" s="134"/>
      <c r="G864" s="135"/>
      <c r="H864" s="135"/>
      <c r="I864" s="135"/>
      <c r="J864" s="136"/>
      <c r="K864" s="134"/>
      <c r="L864" s="134"/>
      <c r="M864" s="134"/>
      <c r="N864" s="134"/>
      <c r="O864" s="134"/>
      <c r="P864" s="134"/>
      <c r="Q864" s="134"/>
      <c r="R864" s="134"/>
      <c r="S864" s="134"/>
    </row>
    <row r="865" spans="1:19" x14ac:dyDescent="0.25">
      <c r="A865" s="133"/>
      <c r="B865" s="134"/>
      <c r="C865" s="134"/>
      <c r="D865" s="134"/>
      <c r="E865" s="134"/>
      <c r="F865" s="134"/>
      <c r="G865" s="135"/>
      <c r="H865" s="135"/>
      <c r="I865" s="135"/>
      <c r="J865" s="136"/>
      <c r="K865" s="134"/>
      <c r="L865" s="134"/>
      <c r="M865" s="134"/>
      <c r="N865" s="134"/>
      <c r="O865" s="134"/>
      <c r="P865" s="134"/>
      <c r="Q865" s="134"/>
      <c r="R865" s="134"/>
      <c r="S865" s="134"/>
    </row>
    <row r="866" spans="1:19" x14ac:dyDescent="0.25">
      <c r="A866" s="133"/>
      <c r="B866" s="134"/>
      <c r="C866" s="134"/>
      <c r="D866" s="134"/>
      <c r="E866" s="134"/>
      <c r="F866" s="134"/>
      <c r="G866" s="135"/>
      <c r="H866" s="135"/>
      <c r="I866" s="135"/>
      <c r="J866" s="136"/>
      <c r="K866" s="134"/>
      <c r="L866" s="134"/>
      <c r="M866" s="134"/>
      <c r="N866" s="134"/>
      <c r="O866" s="134"/>
      <c r="P866" s="134"/>
      <c r="Q866" s="134"/>
      <c r="R866" s="134"/>
      <c r="S866" s="134"/>
    </row>
    <row r="867" spans="1:19" x14ac:dyDescent="0.25">
      <c r="A867" s="133"/>
      <c r="B867" s="134"/>
      <c r="C867" s="134"/>
      <c r="D867" s="134"/>
      <c r="E867" s="134"/>
      <c r="F867" s="134"/>
      <c r="G867" s="135"/>
      <c r="H867" s="135"/>
      <c r="I867" s="135"/>
      <c r="J867" s="136"/>
      <c r="K867" s="134"/>
      <c r="L867" s="134"/>
      <c r="M867" s="134"/>
      <c r="N867" s="134"/>
      <c r="O867" s="134"/>
      <c r="P867" s="134"/>
      <c r="Q867" s="134"/>
      <c r="R867" s="134"/>
      <c r="S867" s="134"/>
    </row>
    <row r="868" spans="1:19" x14ac:dyDescent="0.25">
      <c r="A868" s="133"/>
      <c r="B868" s="134"/>
      <c r="C868" s="134"/>
      <c r="D868" s="134"/>
      <c r="E868" s="134"/>
      <c r="F868" s="134"/>
      <c r="G868" s="135"/>
      <c r="H868" s="135"/>
      <c r="I868" s="135"/>
      <c r="J868" s="136"/>
      <c r="K868" s="134"/>
      <c r="L868" s="134"/>
      <c r="M868" s="134"/>
      <c r="N868" s="134"/>
      <c r="O868" s="134"/>
      <c r="P868" s="134"/>
      <c r="Q868" s="134"/>
      <c r="R868" s="134"/>
      <c r="S868" s="134"/>
    </row>
    <row r="869" spans="1:19" x14ac:dyDescent="0.25">
      <c r="A869" s="133"/>
      <c r="B869" s="134"/>
      <c r="C869" s="134"/>
      <c r="D869" s="134"/>
      <c r="E869" s="134"/>
      <c r="F869" s="134"/>
      <c r="G869" s="135"/>
      <c r="H869" s="135"/>
      <c r="I869" s="135"/>
      <c r="J869" s="136"/>
      <c r="K869" s="134"/>
      <c r="L869" s="134"/>
      <c r="M869" s="134"/>
      <c r="N869" s="134"/>
      <c r="O869" s="134"/>
      <c r="P869" s="134"/>
      <c r="Q869" s="134"/>
      <c r="R869" s="134"/>
      <c r="S869" s="134"/>
    </row>
    <row r="870" spans="1:19" x14ac:dyDescent="0.25">
      <c r="A870" s="133"/>
      <c r="B870" s="134"/>
      <c r="C870" s="134"/>
      <c r="D870" s="134"/>
      <c r="E870" s="134"/>
      <c r="F870" s="134"/>
      <c r="G870" s="135"/>
      <c r="H870" s="135"/>
      <c r="I870" s="135"/>
      <c r="J870" s="136"/>
      <c r="K870" s="134"/>
      <c r="L870" s="134"/>
      <c r="M870" s="134"/>
      <c r="N870" s="134"/>
      <c r="O870" s="134"/>
      <c r="P870" s="134"/>
      <c r="Q870" s="134"/>
      <c r="R870" s="134"/>
      <c r="S870" s="134"/>
    </row>
    <row r="871" spans="1:19" x14ac:dyDescent="0.25">
      <c r="A871" s="133"/>
      <c r="B871" s="134"/>
      <c r="C871" s="134"/>
      <c r="D871" s="134"/>
      <c r="E871" s="134"/>
      <c r="F871" s="134"/>
      <c r="G871" s="135"/>
      <c r="H871" s="135"/>
      <c r="I871" s="135"/>
      <c r="J871" s="136"/>
      <c r="K871" s="134"/>
      <c r="L871" s="134"/>
      <c r="M871" s="134"/>
      <c r="N871" s="134"/>
      <c r="O871" s="134"/>
      <c r="P871" s="134"/>
      <c r="Q871" s="134"/>
      <c r="R871" s="134"/>
      <c r="S871" s="134"/>
    </row>
    <row r="872" spans="1:19" x14ac:dyDescent="0.25">
      <c r="A872" s="133"/>
      <c r="B872" s="134"/>
      <c r="C872" s="134"/>
      <c r="D872" s="134"/>
      <c r="E872" s="134"/>
      <c r="F872" s="134"/>
      <c r="G872" s="135"/>
      <c r="H872" s="135"/>
      <c r="I872" s="135"/>
      <c r="J872" s="136"/>
      <c r="K872" s="134"/>
      <c r="L872" s="134"/>
      <c r="M872" s="134"/>
      <c r="N872" s="134"/>
      <c r="O872" s="134"/>
      <c r="P872" s="134"/>
      <c r="Q872" s="134"/>
      <c r="R872" s="134"/>
      <c r="S872" s="134"/>
    </row>
    <row r="873" spans="1:19" x14ac:dyDescent="0.25">
      <c r="A873" s="133"/>
      <c r="B873" s="134"/>
      <c r="C873" s="134"/>
      <c r="D873" s="134"/>
      <c r="E873" s="134"/>
      <c r="F873" s="134"/>
      <c r="G873" s="135"/>
      <c r="H873" s="135"/>
      <c r="I873" s="135"/>
      <c r="J873" s="136"/>
      <c r="K873" s="134"/>
      <c r="L873" s="134"/>
      <c r="M873" s="134"/>
      <c r="N873" s="134"/>
      <c r="O873" s="134"/>
      <c r="P873" s="134"/>
      <c r="Q873" s="134"/>
      <c r="R873" s="134"/>
      <c r="S873" s="134"/>
    </row>
    <row r="874" spans="1:19" x14ac:dyDescent="0.25">
      <c r="A874" s="133"/>
      <c r="B874" s="134"/>
      <c r="C874" s="134"/>
      <c r="D874" s="134"/>
      <c r="E874" s="134"/>
      <c r="F874" s="134"/>
      <c r="G874" s="135"/>
      <c r="H874" s="135"/>
      <c r="I874" s="135"/>
      <c r="J874" s="136"/>
      <c r="K874" s="134"/>
      <c r="L874" s="134"/>
      <c r="M874" s="134"/>
      <c r="N874" s="134"/>
      <c r="O874" s="134"/>
      <c r="P874" s="134"/>
      <c r="Q874" s="134"/>
      <c r="R874" s="134"/>
      <c r="S874" s="134"/>
    </row>
    <row r="875" spans="1:19" x14ac:dyDescent="0.25">
      <c r="A875" s="133"/>
      <c r="B875" s="134"/>
      <c r="C875" s="134"/>
      <c r="D875" s="134"/>
      <c r="E875" s="134"/>
      <c r="F875" s="134"/>
      <c r="G875" s="135"/>
      <c r="H875" s="135"/>
      <c r="I875" s="135"/>
      <c r="J875" s="136"/>
      <c r="K875" s="134"/>
      <c r="L875" s="134"/>
      <c r="M875" s="134"/>
      <c r="N875" s="134"/>
      <c r="O875" s="134"/>
      <c r="P875" s="134"/>
      <c r="Q875" s="134"/>
      <c r="R875" s="134"/>
      <c r="S875" s="134"/>
    </row>
    <row r="876" spans="1:19" x14ac:dyDescent="0.25">
      <c r="A876" s="133"/>
      <c r="B876" s="134"/>
      <c r="C876" s="134"/>
      <c r="D876" s="134"/>
      <c r="E876" s="134"/>
      <c r="F876" s="134"/>
      <c r="G876" s="135"/>
      <c r="H876" s="135"/>
      <c r="I876" s="135"/>
      <c r="J876" s="136"/>
      <c r="K876" s="134"/>
      <c r="L876" s="134"/>
      <c r="M876" s="134"/>
      <c r="N876" s="134"/>
      <c r="O876" s="134"/>
      <c r="P876" s="134"/>
      <c r="Q876" s="134"/>
      <c r="R876" s="134"/>
      <c r="S876" s="134"/>
    </row>
    <row r="877" spans="1:19" x14ac:dyDescent="0.25">
      <c r="A877" s="133"/>
      <c r="B877" s="134"/>
      <c r="C877" s="134"/>
      <c r="D877" s="134"/>
      <c r="E877" s="134"/>
      <c r="F877" s="134"/>
      <c r="G877" s="135"/>
      <c r="H877" s="135"/>
      <c r="I877" s="135"/>
      <c r="J877" s="136"/>
      <c r="K877" s="134"/>
      <c r="L877" s="134"/>
      <c r="M877" s="134"/>
      <c r="N877" s="134"/>
      <c r="O877" s="134"/>
      <c r="P877" s="134"/>
      <c r="Q877" s="134"/>
      <c r="R877" s="134"/>
      <c r="S877" s="134"/>
    </row>
    <row r="878" spans="1:19" x14ac:dyDescent="0.25">
      <c r="A878" s="133"/>
      <c r="B878" s="134"/>
      <c r="C878" s="134"/>
      <c r="D878" s="134"/>
      <c r="E878" s="134"/>
      <c r="F878" s="134"/>
      <c r="G878" s="135"/>
      <c r="H878" s="135"/>
      <c r="I878" s="135"/>
      <c r="J878" s="136"/>
      <c r="K878" s="134"/>
      <c r="L878" s="134"/>
      <c r="M878" s="134"/>
      <c r="N878" s="134"/>
      <c r="O878" s="134"/>
      <c r="P878" s="134"/>
      <c r="Q878" s="134"/>
      <c r="R878" s="134"/>
      <c r="S878" s="134"/>
    </row>
    <row r="879" spans="1:19" x14ac:dyDescent="0.25">
      <c r="A879" s="133"/>
      <c r="B879" s="134"/>
      <c r="C879" s="134"/>
      <c r="D879" s="134"/>
      <c r="E879" s="134"/>
      <c r="F879" s="134"/>
      <c r="G879" s="135"/>
      <c r="H879" s="135"/>
      <c r="I879" s="135"/>
      <c r="J879" s="136"/>
      <c r="K879" s="134"/>
      <c r="L879" s="134"/>
      <c r="M879" s="134"/>
      <c r="N879" s="134"/>
      <c r="O879" s="134"/>
      <c r="P879" s="134"/>
      <c r="Q879" s="134"/>
      <c r="R879" s="134"/>
      <c r="S879" s="134"/>
    </row>
    <row r="880" spans="1:19" x14ac:dyDescent="0.25">
      <c r="A880" s="133"/>
      <c r="B880" s="134"/>
      <c r="C880" s="134"/>
      <c r="D880" s="134"/>
      <c r="E880" s="134"/>
      <c r="F880" s="134"/>
      <c r="G880" s="135"/>
      <c r="H880" s="135"/>
      <c r="I880" s="135"/>
      <c r="J880" s="136"/>
      <c r="K880" s="134"/>
      <c r="L880" s="134"/>
      <c r="M880" s="134"/>
      <c r="N880" s="134"/>
      <c r="O880" s="134"/>
      <c r="P880" s="134"/>
      <c r="Q880" s="134"/>
      <c r="R880" s="134"/>
      <c r="S880" s="134"/>
    </row>
    <row r="881" spans="1:19" x14ac:dyDescent="0.25">
      <c r="A881" s="133"/>
      <c r="B881" s="134"/>
      <c r="C881" s="134"/>
      <c r="D881" s="134"/>
      <c r="E881" s="134"/>
      <c r="F881" s="134"/>
      <c r="G881" s="135"/>
      <c r="H881" s="135"/>
      <c r="I881" s="135"/>
      <c r="J881" s="136"/>
      <c r="K881" s="134"/>
      <c r="L881" s="134"/>
      <c r="M881" s="134"/>
      <c r="N881" s="134"/>
      <c r="O881" s="134"/>
      <c r="P881" s="134"/>
      <c r="Q881" s="134"/>
      <c r="R881" s="134"/>
      <c r="S881" s="134"/>
    </row>
    <row r="882" spans="1:19" x14ac:dyDescent="0.25">
      <c r="A882" s="133"/>
      <c r="B882" s="134"/>
      <c r="C882" s="134"/>
      <c r="D882" s="134"/>
      <c r="E882" s="134"/>
      <c r="F882" s="134"/>
      <c r="G882" s="135"/>
      <c r="H882" s="135"/>
      <c r="I882" s="135"/>
      <c r="J882" s="136"/>
      <c r="K882" s="134"/>
      <c r="L882" s="134"/>
      <c r="M882" s="134"/>
      <c r="N882" s="134"/>
      <c r="O882" s="134"/>
      <c r="P882" s="134"/>
      <c r="Q882" s="134"/>
      <c r="R882" s="134"/>
      <c r="S882" s="134"/>
    </row>
    <row r="883" spans="1:19" x14ac:dyDescent="0.25">
      <c r="A883" s="133"/>
      <c r="B883" s="134"/>
      <c r="C883" s="134"/>
      <c r="D883" s="134"/>
      <c r="E883" s="134"/>
      <c r="F883" s="134"/>
      <c r="G883" s="135"/>
      <c r="H883" s="135"/>
      <c r="I883" s="135"/>
      <c r="J883" s="136"/>
      <c r="K883" s="134"/>
      <c r="L883" s="134"/>
      <c r="M883" s="134"/>
      <c r="N883" s="134"/>
      <c r="O883" s="134"/>
      <c r="P883" s="134"/>
      <c r="Q883" s="134"/>
      <c r="R883" s="134"/>
      <c r="S883" s="134"/>
    </row>
    <row r="884" spans="1:19" x14ac:dyDescent="0.25">
      <c r="A884" s="133"/>
      <c r="B884" s="134"/>
      <c r="C884" s="134"/>
      <c r="D884" s="134"/>
      <c r="E884" s="134"/>
      <c r="F884" s="134"/>
      <c r="G884" s="135"/>
      <c r="H884" s="135"/>
      <c r="I884" s="135"/>
      <c r="J884" s="136"/>
      <c r="K884" s="134"/>
      <c r="L884" s="134"/>
      <c r="M884" s="134"/>
      <c r="N884" s="134"/>
      <c r="O884" s="134"/>
      <c r="P884" s="134"/>
      <c r="Q884" s="134"/>
      <c r="R884" s="134"/>
      <c r="S884" s="134"/>
    </row>
    <row r="885" spans="1:19" x14ac:dyDescent="0.25">
      <c r="A885" s="133"/>
      <c r="B885" s="134"/>
      <c r="C885" s="134"/>
      <c r="D885" s="134"/>
      <c r="E885" s="134"/>
      <c r="F885" s="134"/>
      <c r="G885" s="135"/>
      <c r="H885" s="135"/>
      <c r="I885" s="135"/>
      <c r="J885" s="136"/>
      <c r="K885" s="134"/>
      <c r="L885" s="134"/>
      <c r="M885" s="134"/>
      <c r="N885" s="134"/>
      <c r="O885" s="134"/>
      <c r="P885" s="134"/>
      <c r="Q885" s="134"/>
      <c r="R885" s="134"/>
      <c r="S885" s="134"/>
    </row>
    <row r="886" spans="1:19" x14ac:dyDescent="0.25">
      <c r="A886" s="133"/>
      <c r="B886" s="134"/>
      <c r="C886" s="134"/>
      <c r="D886" s="134"/>
      <c r="E886" s="134"/>
      <c r="F886" s="134"/>
      <c r="G886" s="135"/>
      <c r="H886" s="135"/>
      <c r="I886" s="135"/>
      <c r="J886" s="136"/>
      <c r="K886" s="134"/>
      <c r="L886" s="134"/>
      <c r="M886" s="134"/>
      <c r="N886" s="134"/>
      <c r="O886" s="134"/>
      <c r="P886" s="134"/>
      <c r="Q886" s="134"/>
      <c r="R886" s="134"/>
      <c r="S886" s="134"/>
    </row>
    <row r="887" spans="1:19" x14ac:dyDescent="0.25">
      <c r="A887" s="133"/>
      <c r="B887" s="134"/>
      <c r="C887" s="134"/>
      <c r="D887" s="134"/>
      <c r="E887" s="134"/>
      <c r="F887" s="134"/>
      <c r="G887" s="135"/>
      <c r="H887" s="135"/>
      <c r="I887" s="135"/>
      <c r="J887" s="136"/>
      <c r="K887" s="134"/>
      <c r="L887" s="134"/>
      <c r="M887" s="134"/>
      <c r="N887" s="134"/>
      <c r="O887" s="134"/>
      <c r="P887" s="134"/>
      <c r="Q887" s="134"/>
      <c r="R887" s="134"/>
      <c r="S887" s="134"/>
    </row>
    <row r="888" spans="1:19" x14ac:dyDescent="0.25">
      <c r="A888" s="133"/>
      <c r="B888" s="134"/>
      <c r="C888" s="134"/>
      <c r="D888" s="134"/>
      <c r="E888" s="134"/>
      <c r="F888" s="134"/>
      <c r="G888" s="135"/>
      <c r="H888" s="135"/>
      <c r="I888" s="135"/>
      <c r="J888" s="136"/>
      <c r="K888" s="134"/>
      <c r="L888" s="134"/>
      <c r="M888" s="134"/>
      <c r="N888" s="134"/>
      <c r="O888" s="134"/>
      <c r="P888" s="134"/>
      <c r="Q888" s="134"/>
      <c r="R888" s="134"/>
      <c r="S888" s="134"/>
    </row>
    <row r="889" spans="1:19" x14ac:dyDescent="0.25">
      <c r="A889" s="133"/>
      <c r="B889" s="134"/>
      <c r="C889" s="134"/>
      <c r="D889" s="134"/>
      <c r="E889" s="134"/>
      <c r="F889" s="134"/>
      <c r="G889" s="135"/>
      <c r="H889" s="135"/>
      <c r="I889" s="135"/>
      <c r="J889" s="136"/>
      <c r="K889" s="134"/>
      <c r="L889" s="134"/>
      <c r="M889" s="134"/>
      <c r="N889" s="134"/>
      <c r="O889" s="134"/>
      <c r="P889" s="134"/>
      <c r="Q889" s="134"/>
      <c r="R889" s="134"/>
      <c r="S889" s="134"/>
    </row>
    <row r="890" spans="1:19" x14ac:dyDescent="0.25">
      <c r="A890" s="133"/>
      <c r="B890" s="134"/>
      <c r="C890" s="134"/>
      <c r="D890" s="134"/>
      <c r="E890" s="134"/>
      <c r="F890" s="134"/>
      <c r="G890" s="135"/>
      <c r="H890" s="135"/>
      <c r="I890" s="135"/>
      <c r="J890" s="136"/>
      <c r="K890" s="134"/>
      <c r="L890" s="134"/>
      <c r="M890" s="134"/>
      <c r="N890" s="134"/>
      <c r="O890" s="134"/>
      <c r="P890" s="134"/>
      <c r="Q890" s="134"/>
      <c r="R890" s="134"/>
      <c r="S890" s="134"/>
    </row>
    <row r="891" spans="1:19" x14ac:dyDescent="0.25">
      <c r="A891" s="133"/>
      <c r="B891" s="134"/>
      <c r="C891" s="134"/>
      <c r="D891" s="134"/>
      <c r="E891" s="134"/>
      <c r="F891" s="134"/>
      <c r="G891" s="135"/>
      <c r="H891" s="135"/>
      <c r="I891" s="135"/>
      <c r="J891" s="136"/>
      <c r="K891" s="134"/>
      <c r="L891" s="134"/>
      <c r="M891" s="134"/>
      <c r="N891" s="134"/>
      <c r="O891" s="134"/>
      <c r="P891" s="134"/>
      <c r="Q891" s="134"/>
      <c r="R891" s="134"/>
      <c r="S891" s="134"/>
    </row>
    <row r="892" spans="1:19" x14ac:dyDescent="0.25">
      <c r="A892" s="133"/>
      <c r="B892" s="134"/>
      <c r="C892" s="134"/>
      <c r="D892" s="134"/>
      <c r="E892" s="134"/>
      <c r="F892" s="134"/>
      <c r="G892" s="135"/>
      <c r="H892" s="135"/>
      <c r="I892" s="135"/>
      <c r="J892" s="136"/>
      <c r="K892" s="134"/>
      <c r="L892" s="134"/>
      <c r="M892" s="134"/>
      <c r="N892" s="134"/>
      <c r="O892" s="134"/>
      <c r="P892" s="134"/>
      <c r="Q892" s="134"/>
      <c r="R892" s="134"/>
      <c r="S892" s="134"/>
    </row>
    <row r="893" spans="1:19" x14ac:dyDescent="0.25">
      <c r="A893" s="133"/>
      <c r="B893" s="134"/>
      <c r="C893" s="134"/>
      <c r="D893" s="134"/>
      <c r="E893" s="134"/>
      <c r="F893" s="134"/>
      <c r="G893" s="135"/>
      <c r="H893" s="135"/>
      <c r="I893" s="135"/>
      <c r="J893" s="136"/>
      <c r="K893" s="134"/>
      <c r="L893" s="134"/>
      <c r="M893" s="134"/>
      <c r="N893" s="134"/>
      <c r="O893" s="134"/>
      <c r="P893" s="134"/>
      <c r="Q893" s="134"/>
      <c r="R893" s="134"/>
      <c r="S893" s="134"/>
    </row>
    <row r="894" spans="1:19" x14ac:dyDescent="0.25">
      <c r="A894" s="133"/>
      <c r="B894" s="134"/>
      <c r="C894" s="134"/>
      <c r="D894" s="134"/>
      <c r="E894" s="134"/>
      <c r="F894" s="134"/>
      <c r="G894" s="135"/>
      <c r="H894" s="135"/>
      <c r="I894" s="135"/>
      <c r="J894" s="136"/>
      <c r="K894" s="134"/>
      <c r="L894" s="134"/>
      <c r="M894" s="134"/>
      <c r="N894" s="134"/>
      <c r="O894" s="134"/>
      <c r="P894" s="134"/>
      <c r="Q894" s="134"/>
      <c r="R894" s="134"/>
      <c r="S894" s="134"/>
    </row>
    <row r="895" spans="1:19" x14ac:dyDescent="0.25">
      <c r="A895" s="133"/>
      <c r="B895" s="134"/>
      <c r="C895" s="134"/>
      <c r="D895" s="134"/>
      <c r="E895" s="134"/>
      <c r="F895" s="134"/>
      <c r="G895" s="135"/>
      <c r="H895" s="135"/>
      <c r="I895" s="135"/>
      <c r="J895" s="136"/>
      <c r="K895" s="134"/>
      <c r="L895" s="134"/>
      <c r="M895" s="134"/>
      <c r="N895" s="134"/>
      <c r="O895" s="134"/>
      <c r="P895" s="134"/>
      <c r="Q895" s="134"/>
      <c r="R895" s="134"/>
      <c r="S895" s="134"/>
    </row>
    <row r="896" spans="1:19" x14ac:dyDescent="0.25">
      <c r="A896" s="133"/>
      <c r="B896" s="134"/>
      <c r="C896" s="134"/>
      <c r="D896" s="134"/>
      <c r="E896" s="134"/>
      <c r="F896" s="134"/>
      <c r="G896" s="135"/>
      <c r="H896" s="135"/>
      <c r="I896" s="135"/>
      <c r="J896" s="136"/>
      <c r="K896" s="134"/>
      <c r="L896" s="134"/>
      <c r="M896" s="134"/>
      <c r="N896" s="134"/>
      <c r="O896" s="134"/>
      <c r="P896" s="134"/>
      <c r="Q896" s="134"/>
      <c r="R896" s="134"/>
      <c r="S896" s="134"/>
    </row>
    <row r="897" spans="1:19" x14ac:dyDescent="0.25">
      <c r="A897" s="133"/>
      <c r="B897" s="134"/>
      <c r="C897" s="134"/>
      <c r="D897" s="134"/>
      <c r="E897" s="134"/>
      <c r="F897" s="134"/>
      <c r="G897" s="135"/>
      <c r="H897" s="135"/>
      <c r="I897" s="135"/>
      <c r="J897" s="136"/>
      <c r="K897" s="134"/>
      <c r="L897" s="134"/>
      <c r="M897" s="134"/>
      <c r="N897" s="134"/>
      <c r="O897" s="134"/>
      <c r="P897" s="134"/>
      <c r="Q897" s="134"/>
      <c r="R897" s="134"/>
      <c r="S897" s="134"/>
    </row>
    <row r="898" spans="1:19" x14ac:dyDescent="0.25">
      <c r="A898" s="133"/>
      <c r="B898" s="134"/>
      <c r="C898" s="134"/>
      <c r="D898" s="134"/>
      <c r="E898" s="134"/>
      <c r="F898" s="134"/>
      <c r="G898" s="135"/>
      <c r="H898" s="135"/>
      <c r="I898" s="135"/>
      <c r="J898" s="136"/>
      <c r="K898" s="134"/>
      <c r="L898" s="134"/>
      <c r="M898" s="134"/>
      <c r="N898" s="134"/>
      <c r="O898" s="134"/>
      <c r="P898" s="134"/>
      <c r="Q898" s="134"/>
      <c r="R898" s="134"/>
      <c r="S898" s="134"/>
    </row>
    <row r="899" spans="1:19" x14ac:dyDescent="0.25">
      <c r="A899" s="133"/>
      <c r="B899" s="134"/>
      <c r="C899" s="134"/>
      <c r="D899" s="134"/>
      <c r="E899" s="134"/>
      <c r="F899" s="134"/>
      <c r="G899" s="135"/>
      <c r="H899" s="135"/>
      <c r="I899" s="135"/>
      <c r="J899" s="136"/>
      <c r="K899" s="134"/>
      <c r="L899" s="134"/>
      <c r="M899" s="134"/>
      <c r="N899" s="134"/>
      <c r="O899" s="134"/>
      <c r="P899" s="134"/>
      <c r="Q899" s="134"/>
      <c r="R899" s="134"/>
      <c r="S899" s="134"/>
    </row>
    <row r="900" spans="1:19" x14ac:dyDescent="0.25">
      <c r="A900" s="133"/>
      <c r="B900" s="134"/>
      <c r="C900" s="134"/>
      <c r="D900" s="134"/>
      <c r="E900" s="134"/>
      <c r="F900" s="134"/>
      <c r="G900" s="135"/>
      <c r="H900" s="135"/>
      <c r="I900" s="135"/>
      <c r="J900" s="136"/>
      <c r="K900" s="134"/>
      <c r="L900" s="134"/>
      <c r="M900" s="134"/>
      <c r="N900" s="134"/>
      <c r="O900" s="134"/>
      <c r="P900" s="134"/>
      <c r="Q900" s="134"/>
      <c r="R900" s="134"/>
      <c r="S900" s="134"/>
    </row>
    <row r="901" spans="1:19" x14ac:dyDescent="0.25">
      <c r="A901" s="133"/>
      <c r="B901" s="134"/>
      <c r="C901" s="134"/>
      <c r="D901" s="134"/>
      <c r="E901" s="134"/>
      <c r="F901" s="134"/>
      <c r="G901" s="135"/>
      <c r="H901" s="135"/>
      <c r="I901" s="135"/>
      <c r="J901" s="136"/>
      <c r="K901" s="134"/>
      <c r="L901" s="134"/>
      <c r="M901" s="134"/>
      <c r="N901" s="134"/>
      <c r="O901" s="134"/>
      <c r="P901" s="134"/>
      <c r="Q901" s="134"/>
      <c r="R901" s="134"/>
      <c r="S901" s="134"/>
    </row>
    <row r="902" spans="1:19" x14ac:dyDescent="0.25">
      <c r="A902" s="133"/>
      <c r="B902" s="134"/>
      <c r="C902" s="134"/>
      <c r="D902" s="134"/>
      <c r="E902" s="134"/>
      <c r="F902" s="134"/>
      <c r="G902" s="135"/>
      <c r="H902" s="135"/>
      <c r="I902" s="135"/>
      <c r="J902" s="136"/>
      <c r="K902" s="134"/>
      <c r="L902" s="134"/>
      <c r="M902" s="134"/>
      <c r="N902" s="134"/>
      <c r="O902" s="134"/>
      <c r="P902" s="134"/>
      <c r="Q902" s="134"/>
      <c r="R902" s="134"/>
      <c r="S902" s="134"/>
    </row>
    <row r="903" spans="1:19" x14ac:dyDescent="0.25">
      <c r="A903" s="133"/>
      <c r="B903" s="134"/>
      <c r="C903" s="134"/>
      <c r="D903" s="134"/>
      <c r="E903" s="134"/>
      <c r="F903" s="134"/>
      <c r="G903" s="135"/>
      <c r="H903" s="135"/>
      <c r="I903" s="135"/>
      <c r="J903" s="136"/>
      <c r="K903" s="134"/>
      <c r="L903" s="134"/>
      <c r="M903" s="134"/>
      <c r="N903" s="134"/>
      <c r="O903" s="134"/>
      <c r="P903" s="134"/>
      <c r="Q903" s="134"/>
      <c r="R903" s="134"/>
      <c r="S903" s="134"/>
    </row>
    <row r="904" spans="1:19" x14ac:dyDescent="0.25">
      <c r="A904" s="133"/>
      <c r="B904" s="134"/>
      <c r="C904" s="134"/>
      <c r="D904" s="134"/>
      <c r="E904" s="134"/>
      <c r="F904" s="134"/>
      <c r="G904" s="135"/>
      <c r="H904" s="135"/>
      <c r="I904" s="135"/>
      <c r="J904" s="136"/>
      <c r="K904" s="134"/>
      <c r="L904" s="134"/>
      <c r="M904" s="134"/>
      <c r="N904" s="134"/>
      <c r="O904" s="134"/>
      <c r="P904" s="134"/>
      <c r="Q904" s="134"/>
      <c r="R904" s="134"/>
      <c r="S904" s="134"/>
    </row>
    <row r="905" spans="1:19" x14ac:dyDescent="0.25">
      <c r="A905" s="133"/>
      <c r="B905" s="134"/>
      <c r="C905" s="134"/>
      <c r="D905" s="134"/>
      <c r="E905" s="134"/>
      <c r="F905" s="134"/>
      <c r="G905" s="135"/>
      <c r="H905" s="135"/>
      <c r="I905" s="135"/>
      <c r="J905" s="136"/>
      <c r="K905" s="134"/>
      <c r="L905" s="134"/>
      <c r="M905" s="134"/>
      <c r="N905" s="134"/>
      <c r="O905" s="134"/>
      <c r="P905" s="134"/>
      <c r="Q905" s="134"/>
      <c r="R905" s="134"/>
      <c r="S905" s="134"/>
    </row>
    <row r="906" spans="1:19" x14ac:dyDescent="0.25">
      <c r="A906" s="133"/>
      <c r="B906" s="134"/>
      <c r="C906" s="134"/>
      <c r="D906" s="134"/>
      <c r="E906" s="134"/>
      <c r="F906" s="134"/>
      <c r="G906" s="135"/>
      <c r="H906" s="135"/>
      <c r="I906" s="135"/>
      <c r="J906" s="136"/>
      <c r="K906" s="134"/>
      <c r="L906" s="134"/>
      <c r="M906" s="134"/>
      <c r="N906" s="134"/>
      <c r="O906" s="134"/>
      <c r="P906" s="134"/>
      <c r="Q906" s="134"/>
      <c r="R906" s="134"/>
      <c r="S906" s="134"/>
    </row>
    <row r="907" spans="1:19" x14ac:dyDescent="0.25">
      <c r="A907" s="133"/>
      <c r="B907" s="134"/>
      <c r="C907" s="134"/>
      <c r="D907" s="134"/>
      <c r="E907" s="134"/>
      <c r="F907" s="134"/>
      <c r="G907" s="135"/>
      <c r="H907" s="135"/>
      <c r="I907" s="135"/>
      <c r="J907" s="136"/>
      <c r="K907" s="134"/>
      <c r="L907" s="134"/>
      <c r="M907" s="134"/>
      <c r="N907" s="134"/>
      <c r="O907" s="134"/>
      <c r="P907" s="134"/>
      <c r="Q907" s="134"/>
      <c r="R907" s="134"/>
      <c r="S907" s="134"/>
    </row>
    <row r="908" spans="1:19" x14ac:dyDescent="0.25">
      <c r="A908" s="133"/>
      <c r="B908" s="134"/>
      <c r="C908" s="134"/>
      <c r="D908" s="134"/>
      <c r="E908" s="134"/>
      <c r="F908" s="134"/>
      <c r="G908" s="135"/>
      <c r="H908" s="135"/>
      <c r="I908" s="135"/>
      <c r="J908" s="136"/>
      <c r="K908" s="134"/>
      <c r="L908" s="134"/>
      <c r="M908" s="134"/>
      <c r="N908" s="134"/>
      <c r="O908" s="134"/>
      <c r="P908" s="134"/>
      <c r="Q908" s="134"/>
      <c r="R908" s="134"/>
      <c r="S908" s="134"/>
    </row>
    <row r="909" spans="1:19" x14ac:dyDescent="0.25">
      <c r="A909" s="133"/>
      <c r="B909" s="134"/>
      <c r="C909" s="134"/>
      <c r="D909" s="134"/>
      <c r="E909" s="134"/>
      <c r="F909" s="134"/>
      <c r="G909" s="135"/>
      <c r="H909" s="135"/>
      <c r="I909" s="135"/>
      <c r="J909" s="136"/>
      <c r="K909" s="134"/>
      <c r="L909" s="134"/>
      <c r="M909" s="134"/>
      <c r="N909" s="134"/>
      <c r="O909" s="134"/>
      <c r="P909" s="134"/>
      <c r="Q909" s="134"/>
      <c r="R909" s="134"/>
      <c r="S909" s="134"/>
    </row>
    <row r="910" spans="1:19" x14ac:dyDescent="0.25">
      <c r="A910" s="133"/>
      <c r="B910" s="134"/>
      <c r="C910" s="134"/>
      <c r="D910" s="134"/>
      <c r="E910" s="134"/>
      <c r="F910" s="134"/>
      <c r="G910" s="135"/>
      <c r="H910" s="135"/>
      <c r="I910" s="135"/>
      <c r="J910" s="136"/>
      <c r="K910" s="134"/>
      <c r="L910" s="134"/>
      <c r="M910" s="134"/>
      <c r="N910" s="134"/>
      <c r="O910" s="134"/>
      <c r="P910" s="134"/>
      <c r="Q910" s="134"/>
      <c r="R910" s="134"/>
      <c r="S910" s="134"/>
    </row>
    <row r="911" spans="1:19" x14ac:dyDescent="0.25">
      <c r="A911" s="133"/>
      <c r="B911" s="134"/>
      <c r="C911" s="134"/>
      <c r="D911" s="134"/>
      <c r="E911" s="134"/>
      <c r="F911" s="134"/>
      <c r="G911" s="135"/>
      <c r="H911" s="135"/>
      <c r="I911" s="135"/>
      <c r="J911" s="136"/>
      <c r="K911" s="134"/>
      <c r="L911" s="134"/>
      <c r="M911" s="134"/>
      <c r="N911" s="134"/>
      <c r="O911" s="134"/>
      <c r="P911" s="134"/>
      <c r="Q911" s="134"/>
      <c r="R911" s="134"/>
      <c r="S911" s="134"/>
    </row>
    <row r="912" spans="1:19" x14ac:dyDescent="0.25">
      <c r="A912" s="133"/>
      <c r="B912" s="134"/>
      <c r="C912" s="134"/>
      <c r="D912" s="134"/>
      <c r="E912" s="134"/>
      <c r="F912" s="134"/>
      <c r="G912" s="135"/>
      <c r="H912" s="135"/>
      <c r="I912" s="135"/>
      <c r="J912" s="136"/>
      <c r="K912" s="134"/>
      <c r="L912" s="134"/>
      <c r="M912" s="134"/>
      <c r="N912" s="134"/>
      <c r="O912" s="134"/>
      <c r="P912" s="134"/>
      <c r="Q912" s="134"/>
      <c r="R912" s="134"/>
      <c r="S912" s="134"/>
    </row>
    <row r="913" spans="1:19" x14ac:dyDescent="0.25">
      <c r="A913" s="133"/>
      <c r="B913" s="134"/>
      <c r="C913" s="134"/>
      <c r="D913" s="134"/>
      <c r="E913" s="134"/>
      <c r="F913" s="134"/>
      <c r="G913" s="135"/>
      <c r="H913" s="135"/>
      <c r="I913" s="135"/>
      <c r="J913" s="136"/>
      <c r="K913" s="134"/>
      <c r="L913" s="134"/>
      <c r="M913" s="134"/>
      <c r="N913" s="134"/>
      <c r="O913" s="134"/>
      <c r="P913" s="134"/>
      <c r="Q913" s="134"/>
      <c r="R913" s="134"/>
      <c r="S913" s="134"/>
    </row>
    <row r="914" spans="1:19" x14ac:dyDescent="0.25">
      <c r="A914" s="133"/>
      <c r="B914" s="134"/>
      <c r="C914" s="134"/>
      <c r="D914" s="134"/>
      <c r="E914" s="134"/>
      <c r="F914" s="134"/>
      <c r="G914" s="135"/>
      <c r="H914" s="135"/>
      <c r="I914" s="135"/>
      <c r="J914" s="136"/>
      <c r="K914" s="134"/>
      <c r="L914" s="134"/>
      <c r="M914" s="134"/>
      <c r="N914" s="134"/>
      <c r="O914" s="134"/>
      <c r="P914" s="134"/>
      <c r="Q914" s="134"/>
      <c r="R914" s="134"/>
      <c r="S914" s="134"/>
    </row>
    <row r="915" spans="1:19" x14ac:dyDescent="0.25">
      <c r="A915" s="133"/>
      <c r="B915" s="134"/>
      <c r="C915" s="134"/>
      <c r="D915" s="134"/>
      <c r="E915" s="134"/>
      <c r="F915" s="134"/>
      <c r="G915" s="135"/>
      <c r="H915" s="135"/>
      <c r="I915" s="135"/>
      <c r="J915" s="136"/>
      <c r="K915" s="134"/>
      <c r="L915" s="134"/>
      <c r="M915" s="134"/>
      <c r="N915" s="134"/>
      <c r="O915" s="134"/>
      <c r="P915" s="134"/>
      <c r="Q915" s="134"/>
      <c r="R915" s="134"/>
      <c r="S915" s="134"/>
    </row>
    <row r="916" spans="1:19" x14ac:dyDescent="0.25">
      <c r="A916" s="133"/>
      <c r="B916" s="134"/>
      <c r="C916" s="134"/>
      <c r="D916" s="134"/>
      <c r="E916" s="134"/>
      <c r="F916" s="134"/>
      <c r="G916" s="135"/>
      <c r="H916" s="135"/>
      <c r="I916" s="135"/>
      <c r="J916" s="136"/>
      <c r="K916" s="134"/>
      <c r="L916" s="134"/>
      <c r="M916" s="134"/>
      <c r="N916" s="134"/>
      <c r="O916" s="134"/>
      <c r="P916" s="134"/>
      <c r="Q916" s="134"/>
      <c r="R916" s="134"/>
      <c r="S916" s="134"/>
    </row>
    <row r="917" spans="1:19" x14ac:dyDescent="0.25">
      <c r="A917" s="133"/>
      <c r="B917" s="134"/>
      <c r="C917" s="134"/>
      <c r="D917" s="134"/>
      <c r="E917" s="134"/>
      <c r="F917" s="134"/>
      <c r="G917" s="135"/>
      <c r="H917" s="135"/>
      <c r="I917" s="135"/>
      <c r="J917" s="136"/>
      <c r="K917" s="134"/>
      <c r="L917" s="134"/>
      <c r="M917" s="134"/>
      <c r="N917" s="134"/>
      <c r="O917" s="134"/>
      <c r="P917" s="134"/>
      <c r="Q917" s="134"/>
      <c r="R917" s="134"/>
      <c r="S917" s="134"/>
    </row>
    <row r="918" spans="1:19" x14ac:dyDescent="0.25">
      <c r="A918" s="133"/>
      <c r="B918" s="134"/>
      <c r="C918" s="134"/>
      <c r="D918" s="134"/>
      <c r="E918" s="134"/>
      <c r="F918" s="134"/>
      <c r="G918" s="135"/>
      <c r="H918" s="135"/>
      <c r="I918" s="135"/>
      <c r="J918" s="136"/>
      <c r="K918" s="134"/>
      <c r="L918" s="134"/>
      <c r="M918" s="134"/>
      <c r="N918" s="134"/>
      <c r="O918" s="134"/>
      <c r="P918" s="134"/>
      <c r="Q918" s="134"/>
      <c r="R918" s="134"/>
      <c r="S918" s="134"/>
    </row>
    <row r="919" spans="1:19" x14ac:dyDescent="0.25">
      <c r="A919" s="133"/>
      <c r="B919" s="134"/>
      <c r="C919" s="134"/>
      <c r="D919" s="134"/>
      <c r="E919" s="134"/>
      <c r="F919" s="134"/>
      <c r="G919" s="135"/>
      <c r="H919" s="135"/>
      <c r="I919" s="135"/>
      <c r="J919" s="136"/>
      <c r="K919" s="134"/>
      <c r="L919" s="134"/>
      <c r="M919" s="134"/>
      <c r="N919" s="134"/>
      <c r="O919" s="134"/>
      <c r="P919" s="134"/>
      <c r="Q919" s="134"/>
      <c r="R919" s="134"/>
      <c r="S919" s="134"/>
    </row>
    <row r="920" spans="1:19" x14ac:dyDescent="0.25">
      <c r="A920" s="133"/>
      <c r="B920" s="134"/>
      <c r="C920" s="134"/>
      <c r="D920" s="134"/>
      <c r="E920" s="134"/>
      <c r="F920" s="134"/>
      <c r="G920" s="135"/>
      <c r="H920" s="135"/>
      <c r="I920" s="135"/>
      <c r="J920" s="136"/>
      <c r="K920" s="134"/>
      <c r="L920" s="134"/>
      <c r="M920" s="134"/>
      <c r="N920" s="134"/>
      <c r="O920" s="134"/>
      <c r="P920" s="134"/>
      <c r="Q920" s="134"/>
      <c r="R920" s="134"/>
      <c r="S920" s="134"/>
    </row>
    <row r="921" spans="1:19" x14ac:dyDescent="0.25">
      <c r="A921" s="133"/>
      <c r="B921" s="134"/>
      <c r="C921" s="134"/>
      <c r="D921" s="134"/>
      <c r="E921" s="134"/>
      <c r="F921" s="134"/>
      <c r="G921" s="135"/>
      <c r="H921" s="135"/>
      <c r="I921" s="135"/>
      <c r="J921" s="136"/>
      <c r="K921" s="134"/>
      <c r="L921" s="134"/>
      <c r="M921" s="134"/>
      <c r="N921" s="134"/>
      <c r="O921" s="134"/>
      <c r="P921" s="134"/>
      <c r="Q921" s="134"/>
      <c r="R921" s="134"/>
      <c r="S921" s="134"/>
    </row>
    <row r="922" spans="1:19" x14ac:dyDescent="0.25">
      <c r="A922" s="133"/>
      <c r="B922" s="134"/>
      <c r="C922" s="134"/>
      <c r="D922" s="134"/>
      <c r="E922" s="134"/>
      <c r="F922" s="134"/>
      <c r="G922" s="135"/>
      <c r="H922" s="135"/>
      <c r="I922" s="135"/>
      <c r="J922" s="136"/>
      <c r="K922" s="134"/>
      <c r="L922" s="134"/>
      <c r="M922" s="134"/>
      <c r="N922" s="134"/>
      <c r="O922" s="134"/>
      <c r="P922" s="134"/>
      <c r="Q922" s="134"/>
      <c r="R922" s="134"/>
      <c r="S922" s="134"/>
    </row>
    <row r="923" spans="1:19" x14ac:dyDescent="0.25">
      <c r="A923" s="133"/>
      <c r="B923" s="134"/>
      <c r="C923" s="134"/>
      <c r="D923" s="134"/>
      <c r="E923" s="134"/>
      <c r="F923" s="134"/>
      <c r="G923" s="135"/>
      <c r="H923" s="135"/>
      <c r="I923" s="135"/>
      <c r="J923" s="136"/>
      <c r="K923" s="134"/>
      <c r="L923" s="134"/>
      <c r="M923" s="134"/>
      <c r="N923" s="134"/>
      <c r="O923" s="134"/>
      <c r="P923" s="134"/>
      <c r="Q923" s="134"/>
      <c r="R923" s="134"/>
      <c r="S923" s="134"/>
    </row>
    <row r="924" spans="1:19" x14ac:dyDescent="0.25">
      <c r="A924" s="133"/>
      <c r="B924" s="134"/>
      <c r="C924" s="134"/>
      <c r="D924" s="134"/>
      <c r="E924" s="134"/>
      <c r="F924" s="134"/>
      <c r="G924" s="135"/>
      <c r="H924" s="135"/>
      <c r="I924" s="135"/>
      <c r="J924" s="136"/>
      <c r="K924" s="134"/>
      <c r="L924" s="134"/>
      <c r="M924" s="134"/>
      <c r="N924" s="134"/>
      <c r="O924" s="134"/>
      <c r="P924" s="134"/>
      <c r="Q924" s="134"/>
      <c r="R924" s="134"/>
      <c r="S924" s="134"/>
    </row>
    <row r="925" spans="1:19" x14ac:dyDescent="0.25">
      <c r="A925" s="133"/>
      <c r="B925" s="134"/>
      <c r="C925" s="134"/>
      <c r="D925" s="134"/>
      <c r="E925" s="134"/>
      <c r="F925" s="134"/>
      <c r="G925" s="135"/>
      <c r="H925" s="135"/>
      <c r="I925" s="135"/>
      <c r="J925" s="136"/>
      <c r="K925" s="134"/>
      <c r="L925" s="134"/>
      <c r="M925" s="134"/>
      <c r="N925" s="134"/>
      <c r="O925" s="134"/>
      <c r="P925" s="134"/>
      <c r="Q925" s="134"/>
      <c r="R925" s="134"/>
      <c r="S925" s="134"/>
    </row>
    <row r="926" spans="1:19" x14ac:dyDescent="0.25">
      <c r="A926" s="133"/>
      <c r="B926" s="134"/>
      <c r="C926" s="134"/>
      <c r="D926" s="134"/>
      <c r="E926" s="134"/>
      <c r="F926" s="134"/>
      <c r="G926" s="135"/>
      <c r="H926" s="135"/>
      <c r="I926" s="135"/>
      <c r="J926" s="136"/>
      <c r="K926" s="134"/>
      <c r="L926" s="134"/>
      <c r="M926" s="134"/>
      <c r="N926" s="134"/>
      <c r="O926" s="134"/>
      <c r="P926" s="134"/>
      <c r="Q926" s="134"/>
      <c r="R926" s="134"/>
      <c r="S926" s="134"/>
    </row>
    <row r="927" spans="1:19" x14ac:dyDescent="0.25">
      <c r="A927" s="133"/>
      <c r="B927" s="134"/>
      <c r="C927" s="134"/>
      <c r="D927" s="134"/>
      <c r="E927" s="134"/>
      <c r="F927" s="134"/>
      <c r="G927" s="135"/>
      <c r="H927" s="135"/>
      <c r="I927" s="135"/>
      <c r="J927" s="136"/>
      <c r="K927" s="134"/>
      <c r="L927" s="134"/>
      <c r="M927" s="134"/>
      <c r="N927" s="134"/>
      <c r="O927" s="134"/>
      <c r="P927" s="134"/>
      <c r="Q927" s="134"/>
      <c r="R927" s="134"/>
      <c r="S927" s="134"/>
    </row>
    <row r="928" spans="1:19" x14ac:dyDescent="0.25">
      <c r="A928" s="133"/>
      <c r="B928" s="134"/>
      <c r="C928" s="134"/>
      <c r="D928" s="134"/>
      <c r="E928" s="134"/>
      <c r="F928" s="134"/>
      <c r="G928" s="135"/>
      <c r="H928" s="135"/>
      <c r="I928" s="135"/>
      <c r="J928" s="136"/>
      <c r="K928" s="134"/>
      <c r="L928" s="134"/>
      <c r="M928" s="134"/>
      <c r="N928" s="134"/>
      <c r="O928" s="134"/>
      <c r="P928" s="134"/>
      <c r="Q928" s="134"/>
      <c r="R928" s="134"/>
      <c r="S928" s="134"/>
    </row>
    <row r="929" spans="1:19" x14ac:dyDescent="0.25">
      <c r="A929" s="133"/>
      <c r="B929" s="134"/>
      <c r="C929" s="134"/>
      <c r="D929" s="134"/>
      <c r="E929" s="134"/>
      <c r="F929" s="134"/>
      <c r="G929" s="135"/>
      <c r="H929" s="135"/>
      <c r="I929" s="135"/>
      <c r="J929" s="136"/>
      <c r="K929" s="134"/>
      <c r="L929" s="134"/>
      <c r="M929" s="134"/>
      <c r="N929" s="134"/>
      <c r="O929" s="134"/>
      <c r="P929" s="134"/>
      <c r="Q929" s="134"/>
      <c r="R929" s="134"/>
      <c r="S929" s="134"/>
    </row>
    <row r="930" spans="1:19" x14ac:dyDescent="0.25">
      <c r="A930" s="133"/>
      <c r="B930" s="134"/>
      <c r="C930" s="134"/>
      <c r="D930" s="134"/>
      <c r="E930" s="134"/>
      <c r="F930" s="134"/>
      <c r="G930" s="135"/>
      <c r="H930" s="135"/>
      <c r="I930" s="135"/>
      <c r="J930" s="136"/>
      <c r="K930" s="134"/>
      <c r="L930" s="134"/>
      <c r="M930" s="134"/>
      <c r="N930" s="134"/>
      <c r="O930" s="134"/>
      <c r="P930" s="134"/>
      <c r="Q930" s="134"/>
      <c r="R930" s="134"/>
      <c r="S930" s="134"/>
    </row>
    <row r="931" spans="1:19" x14ac:dyDescent="0.25">
      <c r="A931" s="133"/>
      <c r="B931" s="134"/>
      <c r="C931" s="134"/>
      <c r="D931" s="134"/>
      <c r="E931" s="134"/>
      <c r="F931" s="134"/>
      <c r="G931" s="135"/>
      <c r="H931" s="135"/>
      <c r="I931" s="135"/>
      <c r="J931" s="136"/>
      <c r="K931" s="134"/>
      <c r="L931" s="134"/>
      <c r="M931" s="134"/>
      <c r="N931" s="134"/>
      <c r="O931" s="134"/>
      <c r="P931" s="134"/>
      <c r="Q931" s="134"/>
      <c r="R931" s="134"/>
      <c r="S931" s="134"/>
    </row>
    <row r="932" spans="1:19" x14ac:dyDescent="0.25">
      <c r="A932" s="133"/>
      <c r="B932" s="134"/>
      <c r="C932" s="134"/>
      <c r="D932" s="134"/>
      <c r="E932" s="134"/>
      <c r="F932" s="134"/>
      <c r="G932" s="135"/>
      <c r="H932" s="135"/>
      <c r="I932" s="135"/>
      <c r="J932" s="136"/>
      <c r="K932" s="134"/>
      <c r="L932" s="134"/>
      <c r="M932" s="134"/>
      <c r="N932" s="134"/>
      <c r="O932" s="134"/>
      <c r="P932" s="134"/>
      <c r="Q932" s="134"/>
      <c r="R932" s="134"/>
      <c r="S932" s="134"/>
    </row>
    <row r="933" spans="1:19" x14ac:dyDescent="0.25">
      <c r="A933" s="133"/>
      <c r="B933" s="134"/>
      <c r="C933" s="134"/>
      <c r="D933" s="134"/>
      <c r="E933" s="134"/>
      <c r="F933" s="134"/>
      <c r="G933" s="135"/>
      <c r="H933" s="135"/>
      <c r="I933" s="135"/>
      <c r="J933" s="136"/>
      <c r="K933" s="134"/>
      <c r="L933" s="134"/>
      <c r="M933" s="134"/>
      <c r="N933" s="134"/>
      <c r="O933" s="134"/>
      <c r="P933" s="134"/>
      <c r="Q933" s="134"/>
      <c r="R933" s="134"/>
      <c r="S933" s="134"/>
    </row>
    <row r="934" spans="1:19" x14ac:dyDescent="0.25">
      <c r="A934" s="133"/>
      <c r="B934" s="134"/>
      <c r="C934" s="134"/>
      <c r="D934" s="134"/>
      <c r="E934" s="134"/>
      <c r="F934" s="134"/>
      <c r="G934" s="135"/>
      <c r="H934" s="135"/>
      <c r="I934" s="135"/>
      <c r="J934" s="136"/>
      <c r="K934" s="134"/>
      <c r="L934" s="134"/>
      <c r="M934" s="134"/>
      <c r="N934" s="134"/>
      <c r="O934" s="134"/>
      <c r="P934" s="134"/>
      <c r="Q934" s="134"/>
      <c r="R934" s="134"/>
      <c r="S934" s="134"/>
    </row>
    <row r="935" spans="1:19" x14ac:dyDescent="0.25">
      <c r="A935" s="133"/>
      <c r="B935" s="134"/>
      <c r="C935" s="134"/>
      <c r="D935" s="134"/>
      <c r="E935" s="134"/>
      <c r="F935" s="134"/>
      <c r="G935" s="135"/>
      <c r="H935" s="135"/>
      <c r="I935" s="135"/>
      <c r="J935" s="136"/>
      <c r="K935" s="134"/>
      <c r="L935" s="134"/>
      <c r="M935" s="134"/>
      <c r="N935" s="134"/>
      <c r="O935" s="134"/>
      <c r="P935" s="134"/>
      <c r="Q935" s="134"/>
      <c r="R935" s="134"/>
      <c r="S935" s="134"/>
    </row>
    <row r="936" spans="1:19" x14ac:dyDescent="0.25">
      <c r="A936" s="133"/>
      <c r="B936" s="134"/>
      <c r="C936" s="134"/>
      <c r="D936" s="134"/>
      <c r="E936" s="134"/>
      <c r="F936" s="134"/>
      <c r="G936" s="135"/>
      <c r="H936" s="135"/>
      <c r="I936" s="135"/>
      <c r="J936" s="136"/>
      <c r="K936" s="134"/>
      <c r="L936" s="134"/>
      <c r="M936" s="134"/>
      <c r="N936" s="134"/>
      <c r="O936" s="134"/>
      <c r="P936" s="134"/>
      <c r="Q936" s="134"/>
      <c r="R936" s="134"/>
      <c r="S936" s="134"/>
    </row>
    <row r="937" spans="1:19" x14ac:dyDescent="0.25">
      <c r="A937" s="133"/>
      <c r="B937" s="134"/>
      <c r="C937" s="134"/>
      <c r="D937" s="134"/>
      <c r="E937" s="134"/>
      <c r="F937" s="134"/>
      <c r="G937" s="135"/>
      <c r="H937" s="135"/>
      <c r="I937" s="135"/>
      <c r="J937" s="136"/>
      <c r="K937" s="134"/>
      <c r="L937" s="134"/>
      <c r="M937" s="134"/>
      <c r="N937" s="134"/>
      <c r="O937" s="134"/>
      <c r="P937" s="134"/>
      <c r="Q937" s="134"/>
      <c r="R937" s="134"/>
      <c r="S937" s="134"/>
    </row>
    <row r="938" spans="1:19" x14ac:dyDescent="0.25">
      <c r="A938" s="133"/>
      <c r="B938" s="134"/>
      <c r="C938" s="134"/>
      <c r="D938" s="134"/>
      <c r="E938" s="134"/>
      <c r="F938" s="134"/>
      <c r="G938" s="135"/>
      <c r="H938" s="135"/>
      <c r="I938" s="135"/>
      <c r="J938" s="136"/>
      <c r="K938" s="134"/>
      <c r="L938" s="134"/>
      <c r="M938" s="134"/>
      <c r="N938" s="134"/>
      <c r="O938" s="134"/>
      <c r="P938" s="134"/>
      <c r="Q938" s="134"/>
      <c r="R938" s="134"/>
      <c r="S938" s="134"/>
    </row>
    <row r="939" spans="1:19" x14ac:dyDescent="0.25">
      <c r="A939" s="133"/>
      <c r="B939" s="134"/>
      <c r="C939" s="134"/>
      <c r="D939" s="134"/>
      <c r="E939" s="134"/>
      <c r="F939" s="134"/>
      <c r="G939" s="135"/>
      <c r="H939" s="135"/>
      <c r="I939" s="135"/>
      <c r="J939" s="136"/>
      <c r="K939" s="134"/>
      <c r="L939" s="134"/>
      <c r="M939" s="134"/>
      <c r="N939" s="134"/>
      <c r="O939" s="134"/>
      <c r="P939" s="134"/>
      <c r="Q939" s="134"/>
      <c r="R939" s="134"/>
      <c r="S939" s="134"/>
    </row>
    <row r="940" spans="1:19" x14ac:dyDescent="0.25">
      <c r="A940" s="133"/>
      <c r="B940" s="134"/>
      <c r="C940" s="134"/>
      <c r="D940" s="134"/>
      <c r="E940" s="134"/>
      <c r="F940" s="134"/>
      <c r="G940" s="135"/>
      <c r="H940" s="135"/>
      <c r="I940" s="135"/>
      <c r="J940" s="136"/>
      <c r="K940" s="134"/>
      <c r="L940" s="134"/>
      <c r="M940" s="134"/>
      <c r="N940" s="134"/>
      <c r="O940" s="134"/>
      <c r="P940" s="134"/>
      <c r="Q940" s="134"/>
      <c r="R940" s="134"/>
      <c r="S940" s="134"/>
    </row>
    <row r="941" spans="1:19" x14ac:dyDescent="0.25">
      <c r="A941" s="133"/>
      <c r="B941" s="134"/>
      <c r="C941" s="134"/>
      <c r="D941" s="134"/>
      <c r="E941" s="134"/>
      <c r="F941" s="134"/>
      <c r="G941" s="135"/>
      <c r="H941" s="135"/>
      <c r="I941" s="135"/>
      <c r="J941" s="136"/>
      <c r="K941" s="134"/>
      <c r="L941" s="134"/>
      <c r="M941" s="134"/>
      <c r="N941" s="134"/>
      <c r="O941" s="134"/>
      <c r="P941" s="134"/>
      <c r="Q941" s="134"/>
      <c r="R941" s="134"/>
      <c r="S941" s="134"/>
    </row>
    <row r="942" spans="1:19" x14ac:dyDescent="0.25">
      <c r="A942" s="133"/>
      <c r="B942" s="134"/>
      <c r="C942" s="134"/>
      <c r="D942" s="134"/>
      <c r="E942" s="134"/>
      <c r="F942" s="134"/>
      <c r="G942" s="135"/>
      <c r="H942" s="135"/>
      <c r="I942" s="135"/>
      <c r="J942" s="136"/>
      <c r="K942" s="134"/>
      <c r="L942" s="134"/>
      <c r="M942" s="134"/>
      <c r="N942" s="134"/>
      <c r="O942" s="134"/>
      <c r="P942" s="134"/>
      <c r="Q942" s="134"/>
      <c r="R942" s="134"/>
      <c r="S942" s="134"/>
    </row>
    <row r="943" spans="1:19" x14ac:dyDescent="0.25">
      <c r="A943" s="133"/>
      <c r="B943" s="134"/>
      <c r="C943" s="134"/>
      <c r="D943" s="134"/>
      <c r="E943" s="134"/>
      <c r="F943" s="134"/>
      <c r="G943" s="135"/>
      <c r="H943" s="135"/>
      <c r="I943" s="135"/>
      <c r="J943" s="136"/>
      <c r="K943" s="134"/>
      <c r="L943" s="134"/>
      <c r="M943" s="134"/>
      <c r="N943" s="134"/>
      <c r="O943" s="134"/>
      <c r="P943" s="134"/>
      <c r="Q943" s="134"/>
      <c r="R943" s="134"/>
      <c r="S943" s="134"/>
    </row>
    <row r="944" spans="1:19" x14ac:dyDescent="0.25">
      <c r="A944" s="133"/>
      <c r="B944" s="134"/>
      <c r="C944" s="134"/>
      <c r="D944" s="134"/>
      <c r="E944" s="134"/>
      <c r="F944" s="134"/>
      <c r="G944" s="135"/>
      <c r="H944" s="135"/>
      <c r="I944" s="135"/>
      <c r="J944" s="136"/>
      <c r="K944" s="134"/>
      <c r="L944" s="134"/>
      <c r="M944" s="134"/>
      <c r="N944" s="134"/>
      <c r="O944" s="134"/>
      <c r="P944" s="134"/>
      <c r="Q944" s="134"/>
      <c r="R944" s="134"/>
      <c r="S944" s="134"/>
    </row>
    <row r="945" spans="1:19" x14ac:dyDescent="0.25">
      <c r="A945" s="133"/>
      <c r="B945" s="134"/>
      <c r="C945" s="134"/>
      <c r="D945" s="134"/>
      <c r="E945" s="134"/>
      <c r="F945" s="134"/>
      <c r="G945" s="135"/>
      <c r="H945" s="135"/>
      <c r="I945" s="135"/>
      <c r="J945" s="136"/>
      <c r="K945" s="134"/>
      <c r="L945" s="134"/>
      <c r="M945" s="134"/>
      <c r="N945" s="134"/>
      <c r="O945" s="134"/>
      <c r="P945" s="134"/>
      <c r="Q945" s="134"/>
      <c r="R945" s="134"/>
      <c r="S945" s="134"/>
    </row>
    <row r="946" spans="1:19" x14ac:dyDescent="0.25">
      <c r="A946" s="133"/>
      <c r="B946" s="134"/>
      <c r="C946" s="134"/>
      <c r="D946" s="134"/>
      <c r="E946" s="134"/>
      <c r="F946" s="134"/>
      <c r="G946" s="135"/>
      <c r="H946" s="135"/>
      <c r="I946" s="135"/>
      <c r="J946" s="136"/>
      <c r="K946" s="134"/>
      <c r="L946" s="134"/>
      <c r="M946" s="134"/>
      <c r="N946" s="134"/>
      <c r="O946" s="134"/>
      <c r="P946" s="134"/>
      <c r="Q946" s="134"/>
      <c r="R946" s="134"/>
      <c r="S946" s="134"/>
    </row>
    <row r="947" spans="1:19" x14ac:dyDescent="0.25">
      <c r="A947" s="133"/>
      <c r="B947" s="134"/>
      <c r="C947" s="134"/>
      <c r="D947" s="134"/>
      <c r="E947" s="134"/>
      <c r="F947" s="134"/>
      <c r="G947" s="135"/>
      <c r="H947" s="135"/>
      <c r="I947" s="135"/>
      <c r="J947" s="136"/>
      <c r="K947" s="134"/>
      <c r="L947" s="134"/>
      <c r="M947" s="134"/>
      <c r="N947" s="134"/>
      <c r="O947" s="134"/>
      <c r="P947" s="134"/>
      <c r="Q947" s="134"/>
      <c r="R947" s="134"/>
      <c r="S947" s="134"/>
    </row>
    <row r="948" spans="1:19" x14ac:dyDescent="0.25">
      <c r="A948" s="133"/>
      <c r="B948" s="134"/>
      <c r="C948" s="134"/>
      <c r="D948" s="134"/>
      <c r="E948" s="134"/>
      <c r="F948" s="134"/>
      <c r="G948" s="135"/>
      <c r="H948" s="135"/>
      <c r="I948" s="135"/>
      <c r="J948" s="136"/>
      <c r="K948" s="134"/>
      <c r="L948" s="134"/>
      <c r="M948" s="134"/>
      <c r="N948" s="134"/>
      <c r="O948" s="134"/>
      <c r="P948" s="134"/>
      <c r="Q948" s="134"/>
      <c r="R948" s="134"/>
      <c r="S948" s="134"/>
    </row>
    <row r="949" spans="1:19" x14ac:dyDescent="0.25">
      <c r="A949" s="133"/>
      <c r="B949" s="134"/>
      <c r="C949" s="134"/>
      <c r="D949" s="134"/>
      <c r="E949" s="134"/>
      <c r="F949" s="134"/>
      <c r="G949" s="135"/>
      <c r="H949" s="135"/>
      <c r="I949" s="135"/>
      <c r="J949" s="136"/>
      <c r="K949" s="134"/>
      <c r="L949" s="134"/>
      <c r="M949" s="134"/>
      <c r="N949" s="134"/>
      <c r="O949" s="134"/>
      <c r="P949" s="134"/>
      <c r="Q949" s="134"/>
      <c r="R949" s="134"/>
      <c r="S949" s="134"/>
    </row>
    <row r="950" spans="1:19" x14ac:dyDescent="0.25">
      <c r="A950" s="133"/>
      <c r="B950" s="134"/>
      <c r="C950" s="134"/>
      <c r="D950" s="134"/>
      <c r="E950" s="134"/>
      <c r="F950" s="134"/>
      <c r="G950" s="135"/>
      <c r="H950" s="135"/>
      <c r="I950" s="135"/>
      <c r="J950" s="136"/>
      <c r="K950" s="134"/>
      <c r="L950" s="134"/>
      <c r="M950" s="134"/>
      <c r="N950" s="134"/>
      <c r="O950" s="134"/>
      <c r="P950" s="134"/>
      <c r="Q950" s="134"/>
      <c r="R950" s="134"/>
      <c r="S950" s="134"/>
    </row>
    <row r="951" spans="1:19" x14ac:dyDescent="0.25">
      <c r="A951" s="133"/>
      <c r="B951" s="134"/>
      <c r="C951" s="134"/>
      <c r="D951" s="134"/>
      <c r="E951" s="134"/>
      <c r="F951" s="134"/>
      <c r="G951" s="135"/>
      <c r="H951" s="135"/>
      <c r="I951" s="135"/>
      <c r="J951" s="136"/>
      <c r="K951" s="134"/>
      <c r="L951" s="134"/>
      <c r="M951" s="134"/>
      <c r="N951" s="134"/>
      <c r="O951" s="134"/>
      <c r="P951" s="134"/>
      <c r="Q951" s="134"/>
      <c r="R951" s="134"/>
      <c r="S951" s="134"/>
    </row>
    <row r="952" spans="1:19" x14ac:dyDescent="0.25">
      <c r="A952" s="133"/>
      <c r="B952" s="134"/>
      <c r="C952" s="134"/>
      <c r="D952" s="134"/>
      <c r="E952" s="134"/>
      <c r="F952" s="134"/>
      <c r="G952" s="135"/>
      <c r="H952" s="135"/>
      <c r="I952" s="135"/>
      <c r="J952" s="136"/>
      <c r="K952" s="134"/>
      <c r="L952" s="134"/>
      <c r="M952" s="134"/>
      <c r="N952" s="134"/>
      <c r="O952" s="134"/>
      <c r="P952" s="134"/>
      <c r="Q952" s="134"/>
      <c r="R952" s="134"/>
      <c r="S952" s="134"/>
    </row>
    <row r="953" spans="1:19" x14ac:dyDescent="0.25">
      <c r="A953" s="133"/>
      <c r="B953" s="134"/>
      <c r="C953" s="134"/>
      <c r="D953" s="134"/>
      <c r="E953" s="134"/>
      <c r="F953" s="134"/>
      <c r="G953" s="135"/>
      <c r="H953" s="135"/>
      <c r="I953" s="135"/>
      <c r="J953" s="136"/>
      <c r="K953" s="134"/>
      <c r="L953" s="134"/>
      <c r="M953" s="134"/>
      <c r="N953" s="134"/>
      <c r="O953" s="134"/>
      <c r="P953" s="134"/>
      <c r="Q953" s="134"/>
      <c r="R953" s="134"/>
      <c r="S953" s="134"/>
    </row>
    <row r="954" spans="1:19" x14ac:dyDescent="0.25">
      <c r="A954" s="133"/>
      <c r="B954" s="134"/>
      <c r="C954" s="134"/>
      <c r="D954" s="134"/>
      <c r="E954" s="134"/>
      <c r="F954" s="134"/>
      <c r="G954" s="135"/>
      <c r="H954" s="135"/>
      <c r="I954" s="135"/>
      <c r="J954" s="136"/>
      <c r="K954" s="134"/>
      <c r="L954" s="134"/>
      <c r="M954" s="134"/>
      <c r="N954" s="134"/>
      <c r="O954" s="134"/>
      <c r="P954" s="134"/>
      <c r="Q954" s="134"/>
      <c r="R954" s="134"/>
      <c r="S954" s="134"/>
    </row>
    <row r="955" spans="1:19" x14ac:dyDescent="0.25">
      <c r="A955" s="133"/>
      <c r="B955" s="134"/>
      <c r="C955" s="134"/>
      <c r="D955" s="134"/>
      <c r="E955" s="134"/>
      <c r="F955" s="134"/>
      <c r="G955" s="135"/>
      <c r="H955" s="135"/>
      <c r="I955" s="135"/>
      <c r="J955" s="136"/>
      <c r="K955" s="134"/>
      <c r="L955" s="134"/>
      <c r="M955" s="134"/>
      <c r="N955" s="134"/>
      <c r="O955" s="134"/>
      <c r="P955" s="134"/>
      <c r="Q955" s="134"/>
      <c r="R955" s="134"/>
      <c r="S955" s="134"/>
    </row>
    <row r="956" spans="1:19" x14ac:dyDescent="0.25">
      <c r="A956" s="133"/>
      <c r="B956" s="134"/>
      <c r="C956" s="134"/>
      <c r="D956" s="134"/>
      <c r="E956" s="134"/>
      <c r="F956" s="134"/>
      <c r="G956" s="135"/>
      <c r="H956" s="135"/>
      <c r="I956" s="135"/>
      <c r="J956" s="136"/>
      <c r="K956" s="134"/>
      <c r="L956" s="134"/>
      <c r="M956" s="134"/>
      <c r="N956" s="134"/>
      <c r="O956" s="134"/>
      <c r="P956" s="134"/>
      <c r="Q956" s="134"/>
      <c r="R956" s="134"/>
      <c r="S956" s="134"/>
    </row>
    <row r="957" spans="1:19" x14ac:dyDescent="0.25">
      <c r="A957" s="133"/>
      <c r="B957" s="134"/>
      <c r="C957" s="134"/>
      <c r="D957" s="134"/>
      <c r="E957" s="134"/>
      <c r="F957" s="134"/>
      <c r="G957" s="135"/>
      <c r="H957" s="135"/>
      <c r="I957" s="135"/>
      <c r="J957" s="136"/>
      <c r="K957" s="134"/>
      <c r="L957" s="134"/>
      <c r="M957" s="134"/>
      <c r="N957" s="134"/>
      <c r="O957" s="134"/>
      <c r="P957" s="134"/>
      <c r="Q957" s="134"/>
      <c r="R957" s="134"/>
      <c r="S957" s="134"/>
    </row>
    <row r="958" spans="1:19" x14ac:dyDescent="0.25">
      <c r="A958" s="133"/>
      <c r="B958" s="134"/>
      <c r="C958" s="134"/>
      <c r="D958" s="134"/>
      <c r="E958" s="134"/>
      <c r="F958" s="134"/>
      <c r="G958" s="135"/>
      <c r="H958" s="135"/>
      <c r="I958" s="135"/>
      <c r="J958" s="136"/>
      <c r="K958" s="134"/>
      <c r="L958" s="134"/>
      <c r="M958" s="134"/>
      <c r="N958" s="134"/>
      <c r="O958" s="134"/>
      <c r="P958" s="134"/>
      <c r="Q958" s="134"/>
      <c r="R958" s="134"/>
      <c r="S958" s="134"/>
    </row>
    <row r="959" spans="1:19" x14ac:dyDescent="0.25">
      <c r="A959" s="133"/>
      <c r="B959" s="134"/>
      <c r="C959" s="134"/>
      <c r="D959" s="134"/>
      <c r="E959" s="134"/>
      <c r="F959" s="134"/>
      <c r="G959" s="135"/>
      <c r="H959" s="135"/>
      <c r="I959" s="135"/>
      <c r="J959" s="136"/>
      <c r="K959" s="134"/>
      <c r="L959" s="134"/>
      <c r="M959" s="134"/>
      <c r="N959" s="134"/>
      <c r="O959" s="134"/>
      <c r="P959" s="134"/>
      <c r="Q959" s="134"/>
      <c r="R959" s="134"/>
      <c r="S959" s="134"/>
    </row>
    <row r="960" spans="1:19" x14ac:dyDescent="0.25">
      <c r="A960" s="133"/>
      <c r="B960" s="134"/>
      <c r="C960" s="134"/>
      <c r="D960" s="134"/>
      <c r="E960" s="134"/>
      <c r="F960" s="134"/>
      <c r="G960" s="135"/>
      <c r="H960" s="135"/>
      <c r="I960" s="135"/>
      <c r="J960" s="136"/>
      <c r="K960" s="134"/>
      <c r="L960" s="134"/>
      <c r="M960" s="134"/>
      <c r="N960" s="134"/>
      <c r="O960" s="134"/>
      <c r="P960" s="134"/>
      <c r="Q960" s="134"/>
      <c r="R960" s="134"/>
      <c r="S960" s="134"/>
    </row>
    <row r="961" spans="1:19" x14ac:dyDescent="0.25">
      <c r="A961" s="133"/>
      <c r="B961" s="134"/>
      <c r="C961" s="134"/>
      <c r="D961" s="134"/>
      <c r="E961" s="134"/>
      <c r="F961" s="134"/>
      <c r="G961" s="135"/>
      <c r="H961" s="135"/>
      <c r="I961" s="135"/>
      <c r="J961" s="136"/>
      <c r="K961" s="134"/>
      <c r="L961" s="134"/>
      <c r="M961" s="134"/>
      <c r="N961" s="134"/>
      <c r="O961" s="134"/>
      <c r="P961" s="134"/>
      <c r="Q961" s="134"/>
      <c r="R961" s="134"/>
      <c r="S961" s="134"/>
    </row>
    <row r="962" spans="1:19" x14ac:dyDescent="0.25">
      <c r="A962" s="133"/>
      <c r="B962" s="134"/>
      <c r="C962" s="134"/>
      <c r="D962" s="134"/>
      <c r="E962" s="134"/>
      <c r="F962" s="134"/>
      <c r="G962" s="135"/>
      <c r="H962" s="135"/>
      <c r="I962" s="135"/>
      <c r="J962" s="136"/>
      <c r="K962" s="134"/>
      <c r="L962" s="134"/>
      <c r="M962" s="134"/>
      <c r="N962" s="134"/>
      <c r="O962" s="134"/>
      <c r="P962" s="134"/>
      <c r="Q962" s="134"/>
      <c r="R962" s="134"/>
      <c r="S962" s="134"/>
    </row>
    <row r="963" spans="1:19" x14ac:dyDescent="0.25">
      <c r="A963" s="133"/>
      <c r="B963" s="134"/>
      <c r="C963" s="134"/>
      <c r="D963" s="134"/>
      <c r="E963" s="134"/>
      <c r="F963" s="134"/>
      <c r="G963" s="135"/>
      <c r="H963" s="135"/>
      <c r="I963" s="135"/>
      <c r="J963" s="136"/>
      <c r="K963" s="134"/>
      <c r="L963" s="134"/>
      <c r="M963" s="134"/>
      <c r="N963" s="134"/>
      <c r="O963" s="134"/>
      <c r="P963" s="134"/>
      <c r="Q963" s="134"/>
      <c r="R963" s="134"/>
      <c r="S963" s="134"/>
    </row>
    <row r="964" spans="1:19" x14ac:dyDescent="0.25">
      <c r="A964" s="133"/>
      <c r="B964" s="134"/>
      <c r="C964" s="134"/>
      <c r="D964" s="134"/>
      <c r="E964" s="134"/>
      <c r="F964" s="134"/>
      <c r="G964" s="135"/>
      <c r="H964" s="135"/>
      <c r="I964" s="135"/>
      <c r="J964" s="136"/>
      <c r="K964" s="134"/>
      <c r="L964" s="134"/>
      <c r="M964" s="134"/>
      <c r="N964" s="134"/>
      <c r="O964" s="134"/>
      <c r="P964" s="134"/>
      <c r="Q964" s="134"/>
      <c r="R964" s="134"/>
      <c r="S964" s="134"/>
    </row>
    <row r="965" spans="1:19" x14ac:dyDescent="0.25">
      <c r="A965" s="133"/>
      <c r="B965" s="134"/>
      <c r="C965" s="134"/>
      <c r="D965" s="134"/>
      <c r="E965" s="134"/>
      <c r="F965" s="134"/>
      <c r="G965" s="135"/>
      <c r="H965" s="135"/>
      <c r="I965" s="135"/>
      <c r="J965" s="136"/>
      <c r="K965" s="134"/>
      <c r="L965" s="134"/>
      <c r="M965" s="134"/>
      <c r="N965" s="134"/>
      <c r="O965" s="134"/>
      <c r="P965" s="134"/>
      <c r="Q965" s="134"/>
      <c r="R965" s="134"/>
      <c r="S965" s="134"/>
    </row>
    <row r="966" spans="1:19" x14ac:dyDescent="0.25">
      <c r="A966" s="133"/>
      <c r="B966" s="134"/>
      <c r="C966" s="134"/>
      <c r="D966" s="134"/>
      <c r="E966" s="134"/>
      <c r="F966" s="134"/>
      <c r="G966" s="135"/>
      <c r="H966" s="135"/>
      <c r="I966" s="135"/>
      <c r="J966" s="136"/>
      <c r="K966" s="134"/>
      <c r="L966" s="134"/>
      <c r="M966" s="134"/>
      <c r="N966" s="134"/>
      <c r="O966" s="134"/>
      <c r="P966" s="134"/>
      <c r="Q966" s="134"/>
      <c r="R966" s="134"/>
      <c r="S966" s="134"/>
    </row>
    <row r="967" spans="1:19" x14ac:dyDescent="0.25">
      <c r="A967" s="133"/>
      <c r="B967" s="134"/>
      <c r="C967" s="134"/>
      <c r="D967" s="134"/>
      <c r="E967" s="134"/>
      <c r="F967" s="134"/>
      <c r="G967" s="135"/>
      <c r="H967" s="135"/>
      <c r="I967" s="135"/>
      <c r="J967" s="136"/>
      <c r="K967" s="134"/>
      <c r="L967" s="134"/>
      <c r="M967" s="134"/>
      <c r="N967" s="134"/>
      <c r="O967" s="134"/>
      <c r="P967" s="134"/>
      <c r="Q967" s="134"/>
      <c r="R967" s="134"/>
      <c r="S967" s="134"/>
    </row>
    <row r="968" spans="1:19" x14ac:dyDescent="0.25">
      <c r="A968" s="133"/>
      <c r="B968" s="134"/>
      <c r="C968" s="134"/>
      <c r="D968" s="134"/>
      <c r="E968" s="134"/>
      <c r="F968" s="134"/>
      <c r="G968" s="135"/>
      <c r="H968" s="135"/>
      <c r="I968" s="135"/>
      <c r="J968" s="136"/>
      <c r="K968" s="134"/>
      <c r="L968" s="134"/>
      <c r="M968" s="134"/>
      <c r="N968" s="134"/>
      <c r="O968" s="134"/>
      <c r="P968" s="134"/>
      <c r="Q968" s="134"/>
      <c r="R968" s="134"/>
      <c r="S968" s="134"/>
    </row>
    <row r="969" spans="1:19" x14ac:dyDescent="0.25">
      <c r="A969" s="133"/>
      <c r="B969" s="134"/>
      <c r="C969" s="134"/>
      <c r="D969" s="134"/>
      <c r="E969" s="134"/>
      <c r="F969" s="134"/>
      <c r="G969" s="135"/>
      <c r="H969" s="135"/>
      <c r="I969" s="135"/>
      <c r="J969" s="136"/>
      <c r="K969" s="134"/>
      <c r="L969" s="134"/>
      <c r="M969" s="134"/>
      <c r="N969" s="134"/>
      <c r="O969" s="134"/>
      <c r="P969" s="134"/>
      <c r="Q969" s="134"/>
      <c r="R969" s="134"/>
      <c r="S969" s="134"/>
    </row>
    <row r="970" spans="1:19" x14ac:dyDescent="0.25">
      <c r="A970" s="133"/>
      <c r="B970" s="134"/>
      <c r="C970" s="134"/>
      <c r="D970" s="134"/>
      <c r="E970" s="134"/>
      <c r="F970" s="134"/>
      <c r="G970" s="135"/>
      <c r="H970" s="135"/>
      <c r="I970" s="135"/>
      <c r="J970" s="136"/>
      <c r="K970" s="134"/>
      <c r="L970" s="134"/>
      <c r="M970" s="134"/>
      <c r="N970" s="134"/>
      <c r="O970" s="134"/>
      <c r="P970" s="134"/>
      <c r="Q970" s="134"/>
      <c r="R970" s="134"/>
      <c r="S970" s="134"/>
    </row>
    <row r="971" spans="1:19" x14ac:dyDescent="0.25">
      <c r="A971" s="133"/>
      <c r="B971" s="134"/>
      <c r="C971" s="134"/>
      <c r="D971" s="134"/>
      <c r="E971" s="134"/>
      <c r="F971" s="134"/>
      <c r="G971" s="135"/>
      <c r="H971" s="135"/>
      <c r="I971" s="135"/>
      <c r="J971" s="136"/>
      <c r="K971" s="134"/>
      <c r="L971" s="134"/>
      <c r="M971" s="134"/>
      <c r="N971" s="134"/>
      <c r="O971" s="134"/>
      <c r="P971" s="134"/>
      <c r="Q971" s="134"/>
      <c r="R971" s="134"/>
      <c r="S971" s="134"/>
    </row>
    <row r="972" spans="1:19" x14ac:dyDescent="0.25">
      <c r="A972" s="133"/>
      <c r="B972" s="134"/>
      <c r="C972" s="134"/>
      <c r="D972" s="134"/>
      <c r="E972" s="134"/>
      <c r="F972" s="134"/>
      <c r="G972" s="135"/>
      <c r="H972" s="135"/>
      <c r="I972" s="135"/>
      <c r="J972" s="136"/>
      <c r="K972" s="134"/>
      <c r="L972" s="134"/>
      <c r="M972" s="134"/>
      <c r="N972" s="134"/>
      <c r="O972" s="134"/>
      <c r="P972" s="134"/>
      <c r="Q972" s="134"/>
      <c r="R972" s="134"/>
      <c r="S972" s="134"/>
    </row>
    <row r="973" spans="1:19" x14ac:dyDescent="0.25">
      <c r="A973" s="133"/>
      <c r="B973" s="134"/>
      <c r="C973" s="134"/>
      <c r="D973" s="134"/>
      <c r="E973" s="134"/>
      <c r="F973" s="134"/>
      <c r="G973" s="135"/>
      <c r="H973" s="135"/>
      <c r="I973" s="135"/>
      <c r="J973" s="136"/>
      <c r="K973" s="134"/>
      <c r="L973" s="134"/>
      <c r="M973" s="134"/>
      <c r="N973" s="134"/>
      <c r="O973" s="134"/>
      <c r="P973" s="134"/>
      <c r="Q973" s="134"/>
      <c r="R973" s="134"/>
      <c r="S973" s="134"/>
    </row>
    <row r="974" spans="1:19" x14ac:dyDescent="0.25">
      <c r="A974" s="133"/>
      <c r="B974" s="134"/>
      <c r="C974" s="134"/>
      <c r="D974" s="134"/>
      <c r="E974" s="134"/>
      <c r="F974" s="134"/>
      <c r="G974" s="135"/>
      <c r="H974" s="135"/>
      <c r="I974" s="135"/>
      <c r="J974" s="136"/>
      <c r="K974" s="134"/>
      <c r="L974" s="134"/>
      <c r="M974" s="134"/>
      <c r="N974" s="134"/>
      <c r="O974" s="134"/>
      <c r="P974" s="134"/>
      <c r="Q974" s="134"/>
      <c r="R974" s="134"/>
      <c r="S974" s="134"/>
    </row>
    <row r="975" spans="1:19" x14ac:dyDescent="0.25">
      <c r="A975" s="133"/>
      <c r="B975" s="134"/>
      <c r="C975" s="134"/>
      <c r="D975" s="134"/>
      <c r="E975" s="134"/>
      <c r="F975" s="134"/>
      <c r="G975" s="135"/>
      <c r="H975" s="135"/>
      <c r="I975" s="135"/>
      <c r="J975" s="136"/>
      <c r="K975" s="134"/>
      <c r="L975" s="134"/>
      <c r="M975" s="134"/>
      <c r="N975" s="134"/>
      <c r="O975" s="134"/>
      <c r="P975" s="134"/>
      <c r="Q975" s="134"/>
      <c r="R975" s="134"/>
      <c r="S975" s="134"/>
    </row>
    <row r="976" spans="1:19" x14ac:dyDescent="0.25">
      <c r="A976" s="133"/>
      <c r="B976" s="134"/>
      <c r="C976" s="134"/>
      <c r="D976" s="134"/>
      <c r="E976" s="134"/>
      <c r="F976" s="134"/>
      <c r="G976" s="135"/>
      <c r="H976" s="135"/>
      <c r="I976" s="135"/>
      <c r="J976" s="136"/>
      <c r="K976" s="134"/>
      <c r="L976" s="134"/>
      <c r="M976" s="134"/>
      <c r="N976" s="134"/>
      <c r="O976" s="134"/>
      <c r="P976" s="134"/>
      <c r="Q976" s="134"/>
      <c r="R976" s="134"/>
      <c r="S976" s="134"/>
    </row>
    <row r="977" spans="1:19" x14ac:dyDescent="0.25">
      <c r="A977" s="133"/>
      <c r="B977" s="134"/>
      <c r="C977" s="134"/>
      <c r="D977" s="134"/>
      <c r="E977" s="134"/>
      <c r="F977" s="134"/>
      <c r="G977" s="135"/>
      <c r="H977" s="135"/>
      <c r="I977" s="135"/>
      <c r="J977" s="136"/>
      <c r="K977" s="134"/>
      <c r="L977" s="134"/>
      <c r="M977" s="134"/>
      <c r="N977" s="134"/>
      <c r="O977" s="134"/>
      <c r="P977" s="134"/>
      <c r="Q977" s="134"/>
      <c r="R977" s="134"/>
      <c r="S977" s="134"/>
    </row>
    <row r="978" spans="1:19" x14ac:dyDescent="0.25">
      <c r="A978" s="133"/>
      <c r="B978" s="134"/>
      <c r="C978" s="134"/>
      <c r="D978" s="134"/>
      <c r="E978" s="134"/>
      <c r="F978" s="134"/>
      <c r="G978" s="135"/>
      <c r="H978" s="135"/>
      <c r="I978" s="135"/>
      <c r="J978" s="136"/>
      <c r="K978" s="134"/>
      <c r="L978" s="134"/>
      <c r="M978" s="134"/>
      <c r="N978" s="134"/>
      <c r="O978" s="134"/>
      <c r="P978" s="134"/>
      <c r="Q978" s="134"/>
      <c r="R978" s="134"/>
      <c r="S978" s="134"/>
    </row>
    <row r="979" spans="1:19" x14ac:dyDescent="0.25">
      <c r="A979" s="133"/>
      <c r="B979" s="134"/>
      <c r="C979" s="134"/>
      <c r="D979" s="134"/>
      <c r="E979" s="134"/>
      <c r="F979" s="134"/>
      <c r="G979" s="135"/>
      <c r="H979" s="135"/>
      <c r="I979" s="135"/>
      <c r="J979" s="136"/>
      <c r="K979" s="134"/>
      <c r="L979" s="134"/>
      <c r="M979" s="134"/>
      <c r="N979" s="134"/>
      <c r="O979" s="134"/>
      <c r="P979" s="134"/>
      <c r="Q979" s="134"/>
      <c r="R979" s="134"/>
      <c r="S979" s="134"/>
    </row>
    <row r="980" spans="1:19" x14ac:dyDescent="0.25">
      <c r="A980" s="133"/>
      <c r="B980" s="134"/>
      <c r="C980" s="134"/>
      <c r="D980" s="134"/>
      <c r="E980" s="134"/>
      <c r="F980" s="134"/>
      <c r="G980" s="135"/>
      <c r="H980" s="135"/>
      <c r="I980" s="135"/>
      <c r="J980" s="136"/>
      <c r="K980" s="134"/>
      <c r="L980" s="134"/>
      <c r="M980" s="134"/>
      <c r="N980" s="134"/>
      <c r="O980" s="134"/>
      <c r="P980" s="134"/>
      <c r="Q980" s="134"/>
      <c r="R980" s="134"/>
      <c r="S980" s="134"/>
    </row>
    <row r="981" spans="1:19" x14ac:dyDescent="0.25">
      <c r="A981" s="133"/>
      <c r="B981" s="134"/>
      <c r="C981" s="134"/>
      <c r="D981" s="134"/>
      <c r="E981" s="134"/>
      <c r="F981" s="134"/>
      <c r="G981" s="135"/>
      <c r="H981" s="135"/>
      <c r="I981" s="135"/>
      <c r="J981" s="136"/>
      <c r="K981" s="134"/>
      <c r="L981" s="134"/>
      <c r="M981" s="134"/>
      <c r="N981" s="134"/>
      <c r="O981" s="134"/>
      <c r="P981" s="134"/>
      <c r="Q981" s="134"/>
      <c r="R981" s="134"/>
      <c r="S981" s="134"/>
    </row>
    <row r="982" spans="1:19" x14ac:dyDescent="0.25">
      <c r="A982" s="133"/>
      <c r="B982" s="134"/>
      <c r="C982" s="134"/>
      <c r="D982" s="134"/>
      <c r="E982" s="134"/>
      <c r="F982" s="134"/>
      <c r="G982" s="135"/>
      <c r="H982" s="135"/>
      <c r="I982" s="135"/>
      <c r="J982" s="136"/>
      <c r="K982" s="134"/>
      <c r="L982" s="134"/>
      <c r="M982" s="134"/>
      <c r="N982" s="134"/>
      <c r="O982" s="134"/>
      <c r="P982" s="134"/>
      <c r="Q982" s="134"/>
      <c r="R982" s="134"/>
      <c r="S982" s="134"/>
    </row>
    <row r="983" spans="1:19" x14ac:dyDescent="0.25">
      <c r="A983" s="133"/>
      <c r="B983" s="134"/>
      <c r="C983" s="134"/>
      <c r="D983" s="134"/>
      <c r="E983" s="134"/>
      <c r="F983" s="134"/>
      <c r="G983" s="135"/>
      <c r="H983" s="135"/>
      <c r="I983" s="135"/>
      <c r="J983" s="136"/>
      <c r="K983" s="134"/>
      <c r="L983" s="134"/>
      <c r="M983" s="134"/>
      <c r="N983" s="134"/>
      <c r="O983" s="134"/>
      <c r="P983" s="134"/>
      <c r="Q983" s="134"/>
      <c r="R983" s="134"/>
      <c r="S983" s="134"/>
    </row>
    <row r="984" spans="1:19" x14ac:dyDescent="0.25">
      <c r="A984" s="133"/>
      <c r="B984" s="134"/>
      <c r="C984" s="134"/>
      <c r="D984" s="134"/>
      <c r="E984" s="134"/>
      <c r="F984" s="134"/>
      <c r="G984" s="135"/>
      <c r="H984" s="135"/>
      <c r="I984" s="135"/>
      <c r="J984" s="136"/>
      <c r="K984" s="134"/>
      <c r="L984" s="134"/>
      <c r="M984" s="134"/>
      <c r="N984" s="134"/>
      <c r="O984" s="134"/>
      <c r="P984" s="134"/>
      <c r="Q984" s="134"/>
      <c r="R984" s="134"/>
      <c r="S984" s="134"/>
    </row>
    <row r="985" spans="1:19" x14ac:dyDescent="0.25">
      <c r="A985" s="133"/>
      <c r="B985" s="134"/>
      <c r="C985" s="134"/>
      <c r="D985" s="134"/>
      <c r="E985" s="134"/>
      <c r="F985" s="134"/>
      <c r="G985" s="135"/>
      <c r="H985" s="135"/>
      <c r="I985" s="135"/>
      <c r="J985" s="136"/>
      <c r="K985" s="134"/>
      <c r="L985" s="134"/>
      <c r="M985" s="134"/>
      <c r="N985" s="134"/>
      <c r="O985" s="134"/>
      <c r="P985" s="134"/>
      <c r="Q985" s="134"/>
      <c r="R985" s="134"/>
      <c r="S985" s="134"/>
    </row>
    <row r="986" spans="1:19" x14ac:dyDescent="0.25">
      <c r="A986" s="133"/>
      <c r="B986" s="134"/>
      <c r="C986" s="134"/>
      <c r="D986" s="134"/>
      <c r="E986" s="134"/>
      <c r="F986" s="134"/>
      <c r="G986" s="135"/>
      <c r="H986" s="135"/>
      <c r="I986" s="135"/>
      <c r="J986" s="136"/>
      <c r="K986" s="134"/>
      <c r="L986" s="134"/>
      <c r="M986" s="134"/>
      <c r="N986" s="134"/>
      <c r="O986" s="134"/>
      <c r="P986" s="134"/>
      <c r="Q986" s="134"/>
      <c r="R986" s="134"/>
      <c r="S986" s="134"/>
    </row>
    <row r="987" spans="1:19" x14ac:dyDescent="0.25">
      <c r="A987" s="133"/>
      <c r="B987" s="134"/>
      <c r="C987" s="134"/>
      <c r="D987" s="134"/>
      <c r="E987" s="134"/>
      <c r="F987" s="134"/>
      <c r="G987" s="135"/>
      <c r="H987" s="135"/>
      <c r="I987" s="135"/>
      <c r="J987" s="136"/>
      <c r="K987" s="134"/>
      <c r="L987" s="134"/>
      <c r="M987" s="134"/>
      <c r="N987" s="134"/>
      <c r="O987" s="134"/>
      <c r="P987" s="134"/>
      <c r="Q987" s="134"/>
      <c r="R987" s="134"/>
      <c r="S987" s="134"/>
    </row>
    <row r="988" spans="1:19" x14ac:dyDescent="0.25">
      <c r="A988" s="133"/>
      <c r="B988" s="134"/>
      <c r="C988" s="134"/>
      <c r="D988" s="134"/>
      <c r="E988" s="134"/>
      <c r="F988" s="134"/>
      <c r="G988" s="135"/>
      <c r="H988" s="135"/>
      <c r="I988" s="135"/>
      <c r="J988" s="136"/>
      <c r="K988" s="134"/>
      <c r="L988" s="134"/>
      <c r="M988" s="134"/>
      <c r="N988" s="134"/>
      <c r="O988" s="134"/>
      <c r="P988" s="134"/>
      <c r="Q988" s="134"/>
      <c r="R988" s="134"/>
      <c r="S988" s="134"/>
    </row>
    <row r="989" spans="1:19" x14ac:dyDescent="0.25">
      <c r="A989" s="133"/>
      <c r="B989" s="134"/>
      <c r="C989" s="134"/>
      <c r="D989" s="134"/>
      <c r="E989" s="134"/>
      <c r="F989" s="134"/>
      <c r="G989" s="135"/>
      <c r="H989" s="135"/>
      <c r="I989" s="135"/>
      <c r="J989" s="136"/>
      <c r="K989" s="134"/>
      <c r="L989" s="134"/>
      <c r="M989" s="134"/>
      <c r="N989" s="134"/>
      <c r="O989" s="134"/>
      <c r="P989" s="134"/>
      <c r="Q989" s="134"/>
      <c r="R989" s="134"/>
      <c r="S989" s="134"/>
    </row>
    <row r="990" spans="1:19" x14ac:dyDescent="0.25">
      <c r="A990" s="133"/>
      <c r="B990" s="134"/>
      <c r="C990" s="134"/>
      <c r="D990" s="134"/>
      <c r="E990" s="134"/>
      <c r="F990" s="134"/>
      <c r="G990" s="135"/>
      <c r="H990" s="135"/>
      <c r="I990" s="135"/>
      <c r="J990" s="136"/>
      <c r="K990" s="134"/>
      <c r="L990" s="134"/>
      <c r="M990" s="134"/>
      <c r="N990" s="134"/>
      <c r="O990" s="134"/>
      <c r="P990" s="134"/>
      <c r="Q990" s="134"/>
      <c r="R990" s="134"/>
      <c r="S990" s="134"/>
    </row>
    <row r="991" spans="1:19" x14ac:dyDescent="0.25">
      <c r="A991" s="133"/>
      <c r="B991" s="134"/>
      <c r="C991" s="134"/>
      <c r="D991" s="134"/>
      <c r="E991" s="134"/>
      <c r="F991" s="134"/>
      <c r="G991" s="135"/>
      <c r="H991" s="135"/>
      <c r="I991" s="135"/>
      <c r="J991" s="136"/>
      <c r="K991" s="134"/>
      <c r="L991" s="134"/>
      <c r="M991" s="134"/>
      <c r="N991" s="134"/>
      <c r="O991" s="134"/>
      <c r="P991" s="134"/>
      <c r="Q991" s="134"/>
      <c r="R991" s="134"/>
      <c r="S991" s="134"/>
    </row>
    <row r="992" spans="1:19" x14ac:dyDescent="0.25">
      <c r="A992" s="133"/>
      <c r="B992" s="134"/>
      <c r="C992" s="134"/>
      <c r="D992" s="134"/>
      <c r="E992" s="134"/>
      <c r="F992" s="134"/>
      <c r="G992" s="135"/>
      <c r="H992" s="135"/>
      <c r="I992" s="135"/>
      <c r="J992" s="136"/>
      <c r="K992" s="134"/>
      <c r="L992" s="134"/>
      <c r="M992" s="134"/>
      <c r="N992" s="134"/>
      <c r="O992" s="134"/>
      <c r="P992" s="134"/>
      <c r="Q992" s="134"/>
      <c r="R992" s="134"/>
      <c r="S992" s="134"/>
    </row>
    <row r="993" spans="1:19" x14ac:dyDescent="0.25">
      <c r="A993" s="133"/>
      <c r="B993" s="134"/>
      <c r="C993" s="134"/>
      <c r="D993" s="134"/>
      <c r="E993" s="134"/>
      <c r="F993" s="134"/>
      <c r="G993" s="135"/>
      <c r="H993" s="135"/>
      <c r="I993" s="135"/>
      <c r="J993" s="136"/>
      <c r="K993" s="134"/>
      <c r="L993" s="134"/>
      <c r="M993" s="134"/>
      <c r="N993" s="134"/>
      <c r="O993" s="134"/>
      <c r="P993" s="134"/>
      <c r="Q993" s="134"/>
      <c r="R993" s="134"/>
      <c r="S993" s="134"/>
    </row>
    <row r="994" spans="1:19" x14ac:dyDescent="0.25">
      <c r="A994" s="133"/>
      <c r="B994" s="134"/>
      <c r="C994" s="134"/>
      <c r="D994" s="134"/>
      <c r="E994" s="134"/>
      <c r="F994" s="134"/>
      <c r="G994" s="135"/>
      <c r="H994" s="135"/>
      <c r="I994" s="135"/>
      <c r="J994" s="136"/>
      <c r="K994" s="134"/>
      <c r="L994" s="134"/>
      <c r="M994" s="134"/>
      <c r="N994" s="134"/>
      <c r="O994" s="134"/>
      <c r="P994" s="134"/>
      <c r="Q994" s="134"/>
      <c r="R994" s="134"/>
      <c r="S994" s="134"/>
    </row>
    <row r="995" spans="1:19" x14ac:dyDescent="0.25">
      <c r="A995" s="133"/>
      <c r="B995" s="134"/>
      <c r="C995" s="134"/>
      <c r="D995" s="134"/>
      <c r="E995" s="134"/>
      <c r="F995" s="134"/>
      <c r="G995" s="135"/>
      <c r="H995" s="135"/>
      <c r="I995" s="135"/>
      <c r="J995" s="136"/>
      <c r="K995" s="134"/>
      <c r="L995" s="134"/>
      <c r="M995" s="134"/>
      <c r="N995" s="134"/>
      <c r="O995" s="134"/>
      <c r="P995" s="134"/>
      <c r="Q995" s="134"/>
      <c r="R995" s="134"/>
      <c r="S995" s="134"/>
    </row>
    <row r="996" spans="1:19" x14ac:dyDescent="0.25">
      <c r="A996" s="133"/>
      <c r="B996" s="134"/>
      <c r="C996" s="134"/>
      <c r="D996" s="134"/>
      <c r="E996" s="134"/>
      <c r="F996" s="134"/>
      <c r="G996" s="135"/>
      <c r="H996" s="135"/>
      <c r="I996" s="135"/>
      <c r="J996" s="136"/>
      <c r="K996" s="134"/>
      <c r="L996" s="134"/>
      <c r="M996" s="134"/>
      <c r="N996" s="134"/>
      <c r="O996" s="134"/>
      <c r="P996" s="134"/>
      <c r="Q996" s="134"/>
      <c r="R996" s="134"/>
      <c r="S996" s="134"/>
    </row>
    <row r="997" spans="1:19" x14ac:dyDescent="0.25">
      <c r="A997" s="133"/>
      <c r="B997" s="134"/>
      <c r="C997" s="134"/>
      <c r="D997" s="134"/>
      <c r="E997" s="134"/>
      <c r="F997" s="134"/>
      <c r="G997" s="135"/>
      <c r="H997" s="135"/>
      <c r="I997" s="135"/>
      <c r="J997" s="136"/>
      <c r="K997" s="134"/>
      <c r="L997" s="134"/>
      <c r="M997" s="134"/>
      <c r="N997" s="134"/>
      <c r="O997" s="134"/>
      <c r="P997" s="134"/>
      <c r="Q997" s="134"/>
      <c r="R997" s="134"/>
      <c r="S997" s="134"/>
    </row>
    <row r="998" spans="1:19" x14ac:dyDescent="0.25">
      <c r="A998" s="133"/>
      <c r="B998" s="134"/>
      <c r="C998" s="134"/>
      <c r="D998" s="134"/>
      <c r="E998" s="134"/>
      <c r="F998" s="134"/>
      <c r="G998" s="135"/>
      <c r="H998" s="135"/>
      <c r="I998" s="135"/>
      <c r="J998" s="136"/>
      <c r="K998" s="134"/>
      <c r="L998" s="134"/>
      <c r="M998" s="134"/>
      <c r="N998" s="134"/>
      <c r="O998" s="134"/>
      <c r="P998" s="134"/>
      <c r="Q998" s="134"/>
      <c r="R998" s="134"/>
      <c r="S998" s="134"/>
    </row>
    <row r="999" spans="1:19" x14ac:dyDescent="0.25">
      <c r="A999" s="133"/>
      <c r="B999" s="134"/>
      <c r="C999" s="134"/>
      <c r="D999" s="134"/>
      <c r="E999" s="134"/>
      <c r="F999" s="134"/>
      <c r="G999" s="135"/>
      <c r="H999" s="135"/>
      <c r="I999" s="135"/>
      <c r="J999" s="136"/>
      <c r="K999" s="134"/>
      <c r="L999" s="134"/>
      <c r="M999" s="134"/>
      <c r="N999" s="134"/>
      <c r="O999" s="134"/>
      <c r="P999" s="134"/>
      <c r="Q999" s="134"/>
      <c r="R999" s="134"/>
      <c r="S999" s="134"/>
    </row>
    <row r="1000" spans="1:19" x14ac:dyDescent="0.25">
      <c r="A1000" s="133"/>
      <c r="B1000" s="134"/>
      <c r="C1000" s="134"/>
      <c r="D1000" s="134"/>
      <c r="E1000" s="134"/>
      <c r="F1000" s="134"/>
      <c r="G1000" s="135"/>
      <c r="H1000" s="135"/>
      <c r="I1000" s="135"/>
      <c r="J1000" s="136"/>
      <c r="K1000" s="134"/>
      <c r="L1000" s="134"/>
      <c r="M1000" s="134"/>
      <c r="N1000" s="134"/>
      <c r="O1000" s="134"/>
      <c r="P1000" s="134"/>
      <c r="Q1000" s="134"/>
      <c r="R1000" s="134"/>
      <c r="S1000" s="134"/>
    </row>
    <row r="1001" spans="1:19" x14ac:dyDescent="0.25">
      <c r="A1001" s="133"/>
      <c r="B1001" s="134"/>
      <c r="C1001" s="134"/>
      <c r="D1001" s="134"/>
      <c r="E1001" s="134"/>
      <c r="F1001" s="134"/>
      <c r="G1001" s="135"/>
      <c r="H1001" s="135"/>
      <c r="I1001" s="135"/>
      <c r="J1001" s="136"/>
      <c r="K1001" s="134"/>
      <c r="L1001" s="134"/>
      <c r="M1001" s="134"/>
      <c r="N1001" s="134"/>
      <c r="O1001" s="134"/>
      <c r="P1001" s="134"/>
      <c r="Q1001" s="134"/>
      <c r="R1001" s="134"/>
      <c r="S1001" s="134"/>
    </row>
    <row r="1002" spans="1:19" x14ac:dyDescent="0.25">
      <c r="A1002" s="133"/>
      <c r="B1002" s="134"/>
      <c r="C1002" s="134"/>
      <c r="D1002" s="134"/>
      <c r="E1002" s="134"/>
      <c r="F1002" s="134"/>
      <c r="G1002" s="135"/>
      <c r="H1002" s="135"/>
      <c r="I1002" s="135"/>
      <c r="J1002" s="136"/>
      <c r="K1002" s="134"/>
      <c r="L1002" s="134"/>
      <c r="M1002" s="134"/>
      <c r="N1002" s="134"/>
      <c r="O1002" s="134"/>
      <c r="P1002" s="134"/>
      <c r="Q1002" s="134"/>
      <c r="R1002" s="134"/>
      <c r="S1002" s="134"/>
    </row>
    <row r="1003" spans="1:19" x14ac:dyDescent="0.25">
      <c r="A1003" s="133"/>
      <c r="B1003" s="134"/>
      <c r="C1003" s="134"/>
      <c r="D1003" s="134"/>
      <c r="E1003" s="134"/>
      <c r="F1003" s="134"/>
      <c r="G1003" s="135"/>
      <c r="H1003" s="135"/>
      <c r="I1003" s="135"/>
      <c r="J1003" s="136"/>
      <c r="K1003" s="134"/>
      <c r="L1003" s="134"/>
      <c r="M1003" s="134"/>
      <c r="N1003" s="134"/>
      <c r="O1003" s="134"/>
      <c r="P1003" s="134"/>
      <c r="Q1003" s="134"/>
      <c r="R1003" s="134"/>
      <c r="S1003" s="134"/>
    </row>
    <row r="1004" spans="1:19" x14ac:dyDescent="0.25">
      <c r="A1004" s="133"/>
      <c r="B1004" s="134"/>
      <c r="C1004" s="134"/>
      <c r="D1004" s="134"/>
      <c r="E1004" s="134"/>
      <c r="F1004" s="134"/>
      <c r="G1004" s="135"/>
      <c r="H1004" s="135"/>
      <c r="I1004" s="135"/>
      <c r="J1004" s="136"/>
      <c r="K1004" s="134"/>
      <c r="L1004" s="134"/>
      <c r="M1004" s="134"/>
      <c r="N1004" s="134"/>
      <c r="O1004" s="134"/>
      <c r="P1004" s="134"/>
      <c r="Q1004" s="134"/>
      <c r="R1004" s="134"/>
      <c r="S1004" s="134"/>
    </row>
    <row r="1005" spans="1:19" x14ac:dyDescent="0.25">
      <c r="A1005" s="133"/>
      <c r="B1005" s="134"/>
      <c r="C1005" s="134"/>
      <c r="D1005" s="134"/>
      <c r="E1005" s="134"/>
      <c r="F1005" s="134"/>
      <c r="G1005" s="135"/>
      <c r="H1005" s="135"/>
      <c r="I1005" s="135"/>
      <c r="J1005" s="136"/>
      <c r="K1005" s="134"/>
      <c r="L1005" s="134"/>
      <c r="M1005" s="134"/>
      <c r="N1005" s="134"/>
      <c r="O1005" s="134"/>
      <c r="P1005" s="134"/>
      <c r="Q1005" s="134"/>
      <c r="R1005" s="134"/>
      <c r="S1005" s="134"/>
    </row>
    <row r="1006" spans="1:19" x14ac:dyDescent="0.25">
      <c r="A1006" s="133"/>
      <c r="B1006" s="134"/>
      <c r="C1006" s="134"/>
      <c r="D1006" s="134"/>
      <c r="E1006" s="134"/>
      <c r="F1006" s="134"/>
      <c r="G1006" s="135"/>
      <c r="H1006" s="135"/>
      <c r="I1006" s="135"/>
      <c r="J1006" s="136"/>
      <c r="K1006" s="134"/>
      <c r="L1006" s="134"/>
      <c r="M1006" s="134"/>
      <c r="N1006" s="134"/>
      <c r="O1006" s="134"/>
      <c r="P1006" s="134"/>
      <c r="Q1006" s="134"/>
      <c r="R1006" s="134"/>
      <c r="S1006" s="134"/>
    </row>
    <row r="1007" spans="1:19" x14ac:dyDescent="0.25">
      <c r="A1007" s="133"/>
      <c r="B1007" s="134"/>
      <c r="C1007" s="134"/>
      <c r="D1007" s="134"/>
      <c r="E1007" s="134"/>
      <c r="F1007" s="134"/>
      <c r="G1007" s="135"/>
      <c r="H1007" s="135"/>
      <c r="I1007" s="135"/>
      <c r="J1007" s="136"/>
      <c r="K1007" s="134"/>
      <c r="L1007" s="134"/>
      <c r="M1007" s="134"/>
      <c r="N1007" s="134"/>
      <c r="O1007" s="134"/>
      <c r="P1007" s="134"/>
      <c r="Q1007" s="134"/>
      <c r="R1007" s="134"/>
      <c r="S1007" s="134"/>
    </row>
    <row r="1008" spans="1:19" x14ac:dyDescent="0.25">
      <c r="A1008" s="133"/>
      <c r="B1008" s="134"/>
      <c r="C1008" s="134"/>
      <c r="D1008" s="134"/>
      <c r="E1008" s="134"/>
      <c r="F1008" s="134"/>
      <c r="G1008" s="135"/>
      <c r="H1008" s="135"/>
      <c r="I1008" s="135"/>
      <c r="J1008" s="136"/>
      <c r="K1008" s="134"/>
      <c r="L1008" s="134"/>
      <c r="M1008" s="134"/>
      <c r="N1008" s="134"/>
      <c r="O1008" s="134"/>
      <c r="P1008" s="134"/>
      <c r="Q1008" s="134"/>
      <c r="R1008" s="134"/>
      <c r="S1008" s="134"/>
    </row>
    <row r="1009" spans="1:19" x14ac:dyDescent="0.25">
      <c r="A1009" s="133"/>
      <c r="B1009" s="134"/>
      <c r="C1009" s="134"/>
      <c r="D1009" s="134"/>
      <c r="E1009" s="134"/>
      <c r="F1009" s="134"/>
      <c r="G1009" s="135"/>
      <c r="H1009" s="135"/>
      <c r="I1009" s="135"/>
      <c r="J1009" s="136"/>
      <c r="K1009" s="134"/>
      <c r="L1009" s="134"/>
      <c r="M1009" s="134"/>
      <c r="N1009" s="134"/>
      <c r="O1009" s="134"/>
      <c r="P1009" s="134"/>
      <c r="Q1009" s="134"/>
      <c r="R1009" s="134"/>
      <c r="S1009" s="134"/>
    </row>
    <row r="1010" spans="1:19" x14ac:dyDescent="0.25">
      <c r="A1010" s="133"/>
      <c r="B1010" s="134"/>
      <c r="C1010" s="134"/>
      <c r="D1010" s="134"/>
      <c r="E1010" s="134"/>
      <c r="F1010" s="134"/>
      <c r="G1010" s="135"/>
      <c r="H1010" s="135"/>
      <c r="I1010" s="135"/>
      <c r="J1010" s="136"/>
      <c r="K1010" s="134"/>
      <c r="L1010" s="134"/>
      <c r="M1010" s="134"/>
      <c r="N1010" s="134"/>
      <c r="O1010" s="134"/>
      <c r="P1010" s="134"/>
      <c r="Q1010" s="134"/>
      <c r="R1010" s="134"/>
      <c r="S1010" s="134"/>
    </row>
    <row r="1011" spans="1:19" x14ac:dyDescent="0.25">
      <c r="A1011" s="133"/>
      <c r="B1011" s="134"/>
      <c r="C1011" s="134"/>
      <c r="D1011" s="134"/>
      <c r="E1011" s="134"/>
      <c r="F1011" s="134"/>
      <c r="G1011" s="135"/>
      <c r="H1011" s="135"/>
      <c r="I1011" s="135"/>
      <c r="J1011" s="136"/>
      <c r="K1011" s="134"/>
      <c r="L1011" s="134"/>
      <c r="M1011" s="134"/>
      <c r="N1011" s="134"/>
      <c r="O1011" s="134"/>
      <c r="P1011" s="134"/>
      <c r="Q1011" s="134"/>
      <c r="R1011" s="134"/>
      <c r="S1011" s="134"/>
    </row>
    <row r="1012" spans="1:19" x14ac:dyDescent="0.25">
      <c r="A1012" s="133"/>
      <c r="B1012" s="134"/>
      <c r="C1012" s="134"/>
      <c r="D1012" s="134"/>
      <c r="E1012" s="134"/>
      <c r="F1012" s="134"/>
      <c r="G1012" s="135"/>
      <c r="H1012" s="135"/>
      <c r="I1012" s="135"/>
      <c r="J1012" s="136"/>
      <c r="K1012" s="134"/>
      <c r="L1012" s="134"/>
      <c r="M1012" s="134"/>
      <c r="N1012" s="134"/>
      <c r="O1012" s="134"/>
      <c r="P1012" s="134"/>
      <c r="Q1012" s="134"/>
      <c r="R1012" s="134"/>
      <c r="S1012" s="134"/>
    </row>
    <row r="1013" spans="1:19" x14ac:dyDescent="0.25">
      <c r="A1013" s="133"/>
      <c r="B1013" s="134"/>
      <c r="C1013" s="134"/>
      <c r="D1013" s="134"/>
      <c r="E1013" s="134"/>
      <c r="F1013" s="134"/>
      <c r="G1013" s="135"/>
      <c r="H1013" s="135"/>
      <c r="I1013" s="135"/>
      <c r="J1013" s="136"/>
      <c r="K1013" s="134"/>
      <c r="L1013" s="134"/>
      <c r="M1013" s="134"/>
      <c r="N1013" s="134"/>
      <c r="O1013" s="134"/>
      <c r="P1013" s="134"/>
      <c r="Q1013" s="134"/>
      <c r="R1013" s="134"/>
      <c r="S1013" s="134"/>
    </row>
    <row r="1014" spans="1:19" x14ac:dyDescent="0.25">
      <c r="A1014" s="133"/>
      <c r="B1014" s="134"/>
      <c r="C1014" s="134"/>
      <c r="D1014" s="134"/>
      <c r="E1014" s="134"/>
      <c r="F1014" s="134"/>
      <c r="G1014" s="135"/>
      <c r="H1014" s="135"/>
      <c r="I1014" s="135"/>
      <c r="J1014" s="136"/>
      <c r="K1014" s="134"/>
      <c r="L1014" s="134"/>
      <c r="M1014" s="134"/>
      <c r="N1014" s="134"/>
      <c r="O1014" s="134"/>
      <c r="P1014" s="134"/>
      <c r="Q1014" s="134"/>
      <c r="R1014" s="134"/>
      <c r="S1014" s="134"/>
    </row>
    <row r="1015" spans="1:19" x14ac:dyDescent="0.25">
      <c r="A1015" s="133"/>
      <c r="B1015" s="134"/>
      <c r="C1015" s="134"/>
      <c r="D1015" s="134"/>
      <c r="E1015" s="134"/>
      <c r="F1015" s="134"/>
      <c r="G1015" s="135"/>
      <c r="H1015" s="135"/>
      <c r="I1015" s="135"/>
      <c r="J1015" s="136"/>
      <c r="K1015" s="134"/>
      <c r="L1015" s="134"/>
      <c r="M1015" s="134"/>
      <c r="N1015" s="134"/>
      <c r="O1015" s="134"/>
      <c r="P1015" s="134"/>
      <c r="Q1015" s="134"/>
      <c r="R1015" s="134"/>
      <c r="S1015" s="134"/>
    </row>
    <row r="1016" spans="1:19" x14ac:dyDescent="0.25">
      <c r="A1016" s="133"/>
      <c r="B1016" s="134"/>
      <c r="C1016" s="134"/>
      <c r="D1016" s="134"/>
      <c r="E1016" s="134"/>
      <c r="F1016" s="134"/>
      <c r="G1016" s="135"/>
      <c r="H1016" s="135"/>
      <c r="I1016" s="135"/>
      <c r="J1016" s="136"/>
      <c r="K1016" s="134"/>
      <c r="L1016" s="134"/>
      <c r="M1016" s="134"/>
      <c r="N1016" s="134"/>
      <c r="O1016" s="134"/>
      <c r="P1016" s="134"/>
      <c r="Q1016" s="134"/>
      <c r="R1016" s="134"/>
      <c r="S1016" s="134"/>
    </row>
    <row r="1017" spans="1:19" x14ac:dyDescent="0.25">
      <c r="A1017" s="133"/>
      <c r="B1017" s="134"/>
      <c r="C1017" s="134"/>
      <c r="D1017" s="134"/>
      <c r="E1017" s="134"/>
      <c r="F1017" s="134"/>
      <c r="G1017" s="135"/>
      <c r="H1017" s="135"/>
      <c r="I1017" s="135"/>
      <c r="J1017" s="136"/>
      <c r="K1017" s="134"/>
      <c r="L1017" s="134"/>
      <c r="M1017" s="134"/>
      <c r="N1017" s="134"/>
      <c r="O1017" s="134"/>
      <c r="P1017" s="134"/>
      <c r="Q1017" s="134"/>
      <c r="R1017" s="134"/>
      <c r="S1017" s="134"/>
    </row>
    <row r="1018" spans="1:19" x14ac:dyDescent="0.25">
      <c r="A1018" s="133"/>
      <c r="B1018" s="134"/>
      <c r="C1018" s="134"/>
      <c r="D1018" s="134"/>
      <c r="E1018" s="134"/>
      <c r="F1018" s="134"/>
      <c r="G1018" s="135"/>
      <c r="H1018" s="135"/>
      <c r="I1018" s="135"/>
      <c r="J1018" s="136"/>
      <c r="K1018" s="134"/>
      <c r="L1018" s="134"/>
      <c r="M1018" s="134"/>
      <c r="N1018" s="134"/>
      <c r="O1018" s="134"/>
      <c r="P1018" s="134"/>
      <c r="Q1018" s="134"/>
      <c r="R1018" s="134"/>
      <c r="S1018" s="134"/>
    </row>
    <row r="1019" spans="1:19" x14ac:dyDescent="0.25">
      <c r="A1019" s="133"/>
      <c r="B1019" s="134"/>
      <c r="C1019" s="134"/>
      <c r="D1019" s="134"/>
      <c r="E1019" s="134"/>
      <c r="F1019" s="134"/>
      <c r="G1019" s="135"/>
      <c r="H1019" s="135"/>
      <c r="I1019" s="135"/>
      <c r="J1019" s="136"/>
      <c r="K1019" s="134"/>
      <c r="L1019" s="134"/>
      <c r="M1019" s="134"/>
      <c r="N1019" s="134"/>
      <c r="O1019" s="134"/>
      <c r="P1019" s="134"/>
      <c r="Q1019" s="134"/>
      <c r="R1019" s="134"/>
      <c r="S1019" s="134"/>
    </row>
    <row r="1020" spans="1:19" x14ac:dyDescent="0.25">
      <c r="A1020" s="133"/>
      <c r="B1020" s="134"/>
      <c r="C1020" s="134"/>
      <c r="D1020" s="134"/>
      <c r="E1020" s="134"/>
      <c r="F1020" s="134"/>
      <c r="G1020" s="135"/>
      <c r="H1020" s="135"/>
      <c r="I1020" s="135"/>
      <c r="J1020" s="136"/>
      <c r="K1020" s="134"/>
      <c r="L1020" s="134"/>
      <c r="M1020" s="134"/>
      <c r="N1020" s="134"/>
      <c r="O1020" s="134"/>
      <c r="P1020" s="134"/>
      <c r="Q1020" s="134"/>
      <c r="R1020" s="134"/>
      <c r="S1020" s="134"/>
    </row>
    <row r="1021" spans="1:19" x14ac:dyDescent="0.25">
      <c r="A1021" s="133"/>
      <c r="B1021" s="134"/>
      <c r="C1021" s="134"/>
      <c r="D1021" s="134"/>
      <c r="E1021" s="134"/>
      <c r="F1021" s="134"/>
      <c r="G1021" s="135"/>
      <c r="H1021" s="135"/>
      <c r="I1021" s="135"/>
      <c r="J1021" s="136"/>
      <c r="K1021" s="134"/>
      <c r="L1021" s="134"/>
      <c r="M1021" s="134"/>
      <c r="N1021" s="134"/>
      <c r="O1021" s="134"/>
      <c r="P1021" s="134"/>
      <c r="Q1021" s="134"/>
      <c r="R1021" s="134"/>
      <c r="S1021" s="134"/>
    </row>
    <row r="1022" spans="1:19" x14ac:dyDescent="0.25">
      <c r="A1022" s="133"/>
      <c r="B1022" s="134"/>
      <c r="C1022" s="134"/>
      <c r="D1022" s="134"/>
      <c r="E1022" s="134"/>
      <c r="F1022" s="134"/>
      <c r="G1022" s="135"/>
      <c r="H1022" s="135"/>
      <c r="I1022" s="135"/>
      <c r="J1022" s="136"/>
      <c r="K1022" s="134"/>
      <c r="L1022" s="134"/>
      <c r="M1022" s="134"/>
      <c r="N1022" s="134"/>
      <c r="O1022" s="134"/>
      <c r="P1022" s="134"/>
      <c r="Q1022" s="134"/>
      <c r="R1022" s="134"/>
      <c r="S1022" s="134"/>
    </row>
    <row r="1023" spans="1:19" x14ac:dyDescent="0.25">
      <c r="A1023" s="133"/>
      <c r="B1023" s="134"/>
      <c r="C1023" s="134"/>
      <c r="D1023" s="134"/>
      <c r="E1023" s="134"/>
      <c r="F1023" s="134"/>
      <c r="G1023" s="135"/>
      <c r="H1023" s="135"/>
      <c r="I1023" s="135"/>
      <c r="J1023" s="136"/>
      <c r="K1023" s="134"/>
      <c r="L1023" s="134"/>
      <c r="M1023" s="134"/>
      <c r="N1023" s="134"/>
      <c r="O1023" s="134"/>
      <c r="P1023" s="134"/>
      <c r="Q1023" s="134"/>
      <c r="R1023" s="134"/>
      <c r="S1023" s="134"/>
    </row>
    <row r="1024" spans="1:19" x14ac:dyDescent="0.25">
      <c r="A1024" s="133"/>
      <c r="B1024" s="134"/>
      <c r="C1024" s="134"/>
      <c r="D1024" s="134"/>
      <c r="E1024" s="134"/>
      <c r="F1024" s="134"/>
      <c r="G1024" s="135"/>
      <c r="H1024" s="135"/>
      <c r="I1024" s="135"/>
      <c r="J1024" s="136"/>
      <c r="K1024" s="134"/>
      <c r="L1024" s="134"/>
      <c r="M1024" s="134"/>
      <c r="N1024" s="134"/>
      <c r="O1024" s="134"/>
      <c r="P1024" s="134"/>
      <c r="Q1024" s="134"/>
      <c r="R1024" s="134"/>
      <c r="S1024" s="134"/>
    </row>
    <row r="1025" spans="1:19" x14ac:dyDescent="0.25">
      <c r="A1025" s="133"/>
      <c r="B1025" s="134"/>
      <c r="C1025" s="134"/>
      <c r="D1025" s="134"/>
      <c r="E1025" s="134"/>
      <c r="F1025" s="134"/>
      <c r="G1025" s="135"/>
      <c r="H1025" s="135"/>
      <c r="I1025" s="135"/>
      <c r="J1025" s="136"/>
      <c r="K1025" s="134"/>
      <c r="L1025" s="134"/>
      <c r="M1025" s="134"/>
      <c r="N1025" s="134"/>
      <c r="O1025" s="134"/>
      <c r="P1025" s="134"/>
      <c r="Q1025" s="134"/>
      <c r="R1025" s="134"/>
      <c r="S1025" s="134"/>
    </row>
    <row r="1026" spans="1:19" x14ac:dyDescent="0.25">
      <c r="A1026" s="133"/>
      <c r="B1026" s="134"/>
      <c r="C1026" s="134"/>
      <c r="D1026" s="134"/>
      <c r="E1026" s="134"/>
      <c r="F1026" s="134"/>
      <c r="G1026" s="135"/>
      <c r="H1026" s="135"/>
      <c r="I1026" s="135"/>
      <c r="J1026" s="136"/>
      <c r="K1026" s="134"/>
      <c r="L1026" s="134"/>
      <c r="M1026" s="134"/>
      <c r="N1026" s="134"/>
      <c r="O1026" s="134"/>
      <c r="P1026" s="134"/>
      <c r="Q1026" s="134"/>
      <c r="R1026" s="134"/>
      <c r="S1026" s="134"/>
    </row>
    <row r="1027" spans="1:19" x14ac:dyDescent="0.25">
      <c r="A1027" s="133"/>
      <c r="B1027" s="134"/>
      <c r="C1027" s="134"/>
      <c r="D1027" s="134"/>
      <c r="E1027" s="134"/>
      <c r="F1027" s="134"/>
      <c r="G1027" s="135"/>
      <c r="H1027" s="135"/>
      <c r="I1027" s="135"/>
      <c r="J1027" s="136"/>
      <c r="K1027" s="134"/>
      <c r="L1027" s="134"/>
      <c r="M1027" s="134"/>
      <c r="N1027" s="134"/>
      <c r="O1027" s="134"/>
      <c r="P1027" s="134"/>
      <c r="Q1027" s="134"/>
      <c r="R1027" s="134"/>
      <c r="S1027" s="134"/>
    </row>
    <row r="1028" spans="1:19" x14ac:dyDescent="0.25">
      <c r="A1028" s="133"/>
      <c r="B1028" s="134"/>
      <c r="C1028" s="134"/>
      <c r="D1028" s="134"/>
      <c r="E1028" s="134"/>
      <c r="F1028" s="134"/>
      <c r="G1028" s="135"/>
      <c r="H1028" s="135"/>
      <c r="I1028" s="135"/>
      <c r="J1028" s="136"/>
      <c r="K1028" s="134"/>
      <c r="L1028" s="134"/>
      <c r="M1028" s="134"/>
      <c r="N1028" s="134"/>
      <c r="O1028" s="134"/>
      <c r="P1028" s="134"/>
      <c r="Q1028" s="134"/>
      <c r="R1028" s="134"/>
      <c r="S1028" s="134"/>
    </row>
    <row r="1029" spans="1:19" x14ac:dyDescent="0.25">
      <c r="A1029" s="133"/>
      <c r="B1029" s="134"/>
      <c r="C1029" s="134"/>
      <c r="D1029" s="134"/>
      <c r="E1029" s="134"/>
      <c r="F1029" s="134"/>
      <c r="G1029" s="135"/>
      <c r="H1029" s="135"/>
      <c r="I1029" s="135"/>
      <c r="J1029" s="136"/>
      <c r="K1029" s="134"/>
      <c r="L1029" s="134"/>
      <c r="M1029" s="134"/>
      <c r="N1029" s="134"/>
      <c r="O1029" s="134"/>
      <c r="P1029" s="134"/>
      <c r="Q1029" s="134"/>
      <c r="R1029" s="134"/>
      <c r="S1029" s="134"/>
    </row>
    <row r="1030" spans="1:19" x14ac:dyDescent="0.25">
      <c r="A1030" s="133"/>
      <c r="B1030" s="134"/>
      <c r="C1030" s="134"/>
      <c r="D1030" s="134"/>
      <c r="E1030" s="134"/>
      <c r="F1030" s="134"/>
      <c r="G1030" s="135"/>
      <c r="H1030" s="135"/>
      <c r="I1030" s="135"/>
      <c r="J1030" s="136"/>
      <c r="K1030" s="134"/>
      <c r="L1030" s="134"/>
      <c r="M1030" s="134"/>
      <c r="N1030" s="134"/>
      <c r="O1030" s="134"/>
      <c r="P1030" s="134"/>
      <c r="Q1030" s="134"/>
      <c r="R1030" s="134"/>
      <c r="S1030" s="134"/>
    </row>
    <row r="1031" spans="1:19" x14ac:dyDescent="0.25">
      <c r="A1031" s="133"/>
      <c r="B1031" s="134"/>
      <c r="C1031" s="134"/>
      <c r="D1031" s="134"/>
      <c r="E1031" s="134"/>
      <c r="F1031" s="134"/>
      <c r="G1031" s="135"/>
      <c r="H1031" s="135"/>
      <c r="I1031" s="135"/>
      <c r="J1031" s="136"/>
      <c r="K1031" s="134"/>
      <c r="L1031" s="134"/>
      <c r="M1031" s="134"/>
      <c r="N1031" s="134"/>
      <c r="O1031" s="134"/>
      <c r="P1031" s="134"/>
      <c r="Q1031" s="134"/>
      <c r="R1031" s="134"/>
      <c r="S1031" s="134"/>
    </row>
    <row r="1032" spans="1:19" x14ac:dyDescent="0.25">
      <c r="A1032" s="133"/>
      <c r="B1032" s="134"/>
      <c r="C1032" s="134"/>
      <c r="D1032" s="134"/>
      <c r="E1032" s="134"/>
      <c r="F1032" s="134"/>
      <c r="G1032" s="135"/>
      <c r="H1032" s="135"/>
      <c r="I1032" s="135"/>
      <c r="J1032" s="136"/>
      <c r="K1032" s="134"/>
      <c r="L1032" s="134"/>
      <c r="M1032" s="134"/>
      <c r="N1032" s="134"/>
      <c r="O1032" s="134"/>
      <c r="P1032" s="134"/>
      <c r="Q1032" s="134"/>
      <c r="R1032" s="134"/>
      <c r="S1032" s="134"/>
    </row>
    <row r="1033" spans="1:19" x14ac:dyDescent="0.25">
      <c r="A1033" s="133"/>
      <c r="B1033" s="134"/>
      <c r="C1033" s="134"/>
      <c r="D1033" s="134"/>
      <c r="E1033" s="134"/>
      <c r="F1033" s="134"/>
      <c r="G1033" s="135"/>
      <c r="H1033" s="135"/>
      <c r="I1033" s="135"/>
      <c r="J1033" s="136"/>
      <c r="K1033" s="134"/>
      <c r="L1033" s="134"/>
      <c r="M1033" s="134"/>
      <c r="N1033" s="134"/>
      <c r="O1033" s="134"/>
      <c r="P1033" s="134"/>
      <c r="Q1033" s="134"/>
      <c r="R1033" s="134"/>
      <c r="S1033" s="134"/>
    </row>
    <row r="1034" spans="1:19" x14ac:dyDescent="0.25">
      <c r="A1034" s="133"/>
      <c r="B1034" s="134"/>
      <c r="C1034" s="134"/>
      <c r="D1034" s="134"/>
      <c r="E1034" s="134"/>
      <c r="F1034" s="134"/>
      <c r="G1034" s="135"/>
      <c r="H1034" s="135"/>
      <c r="I1034" s="135"/>
      <c r="J1034" s="136"/>
      <c r="K1034" s="134"/>
      <c r="L1034" s="134"/>
      <c r="M1034" s="134"/>
      <c r="N1034" s="134"/>
      <c r="O1034" s="134"/>
      <c r="P1034" s="134"/>
      <c r="Q1034" s="134"/>
      <c r="R1034" s="134"/>
      <c r="S1034" s="134"/>
    </row>
    <row r="1035" spans="1:19" x14ac:dyDescent="0.25">
      <c r="A1035" s="133"/>
      <c r="B1035" s="134"/>
      <c r="C1035" s="134"/>
      <c r="D1035" s="134"/>
      <c r="E1035" s="134"/>
      <c r="F1035" s="134"/>
      <c r="G1035" s="135"/>
      <c r="H1035" s="135"/>
      <c r="I1035" s="135"/>
      <c r="J1035" s="136"/>
      <c r="K1035" s="134"/>
      <c r="L1035" s="134"/>
      <c r="M1035" s="134"/>
      <c r="N1035" s="134"/>
      <c r="O1035" s="134"/>
      <c r="P1035" s="134"/>
      <c r="Q1035" s="134"/>
      <c r="R1035" s="134"/>
      <c r="S1035" s="134"/>
    </row>
    <row r="1036" spans="1:19" x14ac:dyDescent="0.25">
      <c r="A1036" s="133"/>
      <c r="B1036" s="134"/>
      <c r="C1036" s="134"/>
      <c r="D1036" s="134"/>
      <c r="E1036" s="134"/>
      <c r="F1036" s="134"/>
      <c r="G1036" s="135"/>
      <c r="H1036" s="135"/>
      <c r="I1036" s="135"/>
      <c r="J1036" s="136"/>
      <c r="K1036" s="134"/>
      <c r="L1036" s="134"/>
      <c r="M1036" s="134"/>
      <c r="N1036" s="134"/>
      <c r="O1036" s="134"/>
      <c r="P1036" s="134"/>
      <c r="Q1036" s="134"/>
      <c r="R1036" s="134"/>
      <c r="S1036" s="134"/>
    </row>
    <row r="1037" spans="1:19" x14ac:dyDescent="0.25">
      <c r="A1037" s="133"/>
      <c r="B1037" s="134"/>
      <c r="C1037" s="134"/>
      <c r="D1037" s="134"/>
      <c r="E1037" s="134"/>
      <c r="F1037" s="134"/>
      <c r="G1037" s="135"/>
      <c r="H1037" s="135"/>
      <c r="I1037" s="135"/>
      <c r="J1037" s="136"/>
      <c r="K1037" s="134"/>
      <c r="L1037" s="134"/>
      <c r="M1037" s="134"/>
      <c r="N1037" s="134"/>
      <c r="O1037" s="134"/>
      <c r="P1037" s="134"/>
      <c r="Q1037" s="134"/>
      <c r="R1037" s="134"/>
      <c r="S1037" s="134"/>
    </row>
    <row r="1038" spans="1:19" x14ac:dyDescent="0.25">
      <c r="A1038" s="133"/>
      <c r="B1038" s="134"/>
      <c r="C1038" s="134"/>
      <c r="D1038" s="134"/>
      <c r="E1038" s="134"/>
      <c r="F1038" s="134"/>
      <c r="G1038" s="135"/>
      <c r="H1038" s="135"/>
      <c r="I1038" s="135"/>
      <c r="J1038" s="136"/>
      <c r="K1038" s="134"/>
      <c r="L1038" s="134"/>
      <c r="M1038" s="134"/>
      <c r="N1038" s="134"/>
      <c r="O1038" s="134"/>
      <c r="P1038" s="134"/>
      <c r="Q1038" s="134"/>
      <c r="R1038" s="134"/>
      <c r="S1038" s="134"/>
    </row>
    <row r="1039" spans="1:19" x14ac:dyDescent="0.25">
      <c r="A1039" s="133"/>
      <c r="B1039" s="134"/>
      <c r="C1039" s="134"/>
      <c r="D1039" s="134"/>
      <c r="E1039" s="134"/>
      <c r="F1039" s="134"/>
      <c r="G1039" s="135"/>
      <c r="H1039" s="135"/>
      <c r="I1039" s="135"/>
      <c r="J1039" s="136"/>
      <c r="K1039" s="134"/>
      <c r="L1039" s="134"/>
      <c r="M1039" s="134"/>
      <c r="N1039" s="134"/>
      <c r="O1039" s="134"/>
      <c r="P1039" s="134"/>
      <c r="Q1039" s="134"/>
      <c r="R1039" s="134"/>
      <c r="S1039" s="134"/>
    </row>
    <row r="1040" spans="1:19" x14ac:dyDescent="0.25">
      <c r="A1040" s="133"/>
      <c r="B1040" s="134"/>
      <c r="C1040" s="134"/>
      <c r="D1040" s="134"/>
      <c r="E1040" s="134"/>
      <c r="F1040" s="134"/>
      <c r="G1040" s="135"/>
      <c r="H1040" s="135"/>
      <c r="I1040" s="135"/>
      <c r="J1040" s="136"/>
      <c r="K1040" s="134"/>
      <c r="L1040" s="134"/>
      <c r="M1040" s="134"/>
      <c r="N1040" s="134"/>
      <c r="O1040" s="134"/>
      <c r="P1040" s="134"/>
      <c r="Q1040" s="134"/>
      <c r="R1040" s="134"/>
      <c r="S1040" s="134"/>
    </row>
    <row r="1041" spans="1:19" x14ac:dyDescent="0.25">
      <c r="A1041" s="133"/>
      <c r="B1041" s="134"/>
      <c r="C1041" s="134"/>
      <c r="D1041" s="134"/>
      <c r="E1041" s="134"/>
      <c r="F1041" s="134"/>
      <c r="G1041" s="135"/>
      <c r="H1041" s="135"/>
      <c r="I1041" s="135"/>
      <c r="J1041" s="136"/>
      <c r="K1041" s="134"/>
      <c r="L1041" s="134"/>
      <c r="M1041" s="134"/>
      <c r="N1041" s="134"/>
      <c r="O1041" s="134"/>
      <c r="P1041" s="134"/>
      <c r="Q1041" s="134"/>
      <c r="R1041" s="134"/>
      <c r="S1041" s="134"/>
    </row>
    <row r="1042" spans="1:19" x14ac:dyDescent="0.25">
      <c r="A1042" s="133"/>
      <c r="B1042" s="134"/>
      <c r="C1042" s="134"/>
      <c r="D1042" s="134"/>
      <c r="E1042" s="134"/>
      <c r="F1042" s="134"/>
      <c r="G1042" s="135"/>
      <c r="H1042" s="135"/>
      <c r="I1042" s="135"/>
      <c r="J1042" s="136"/>
      <c r="K1042" s="134"/>
      <c r="L1042" s="134"/>
      <c r="M1042" s="134"/>
      <c r="N1042" s="134"/>
      <c r="O1042" s="134"/>
      <c r="P1042" s="134"/>
      <c r="Q1042" s="134"/>
      <c r="R1042" s="134"/>
      <c r="S1042" s="134"/>
    </row>
    <row r="1043" spans="1:19" x14ac:dyDescent="0.25">
      <c r="A1043" s="133"/>
      <c r="B1043" s="134"/>
      <c r="C1043" s="134"/>
      <c r="D1043" s="134"/>
      <c r="E1043" s="134"/>
      <c r="F1043" s="134"/>
      <c r="G1043" s="135"/>
      <c r="H1043" s="135"/>
      <c r="I1043" s="135"/>
      <c r="J1043" s="136"/>
      <c r="K1043" s="134"/>
      <c r="L1043" s="134"/>
      <c r="M1043" s="134"/>
      <c r="N1043" s="134"/>
      <c r="O1043" s="134"/>
      <c r="P1043" s="134"/>
      <c r="Q1043" s="134"/>
      <c r="R1043" s="134"/>
      <c r="S1043" s="134"/>
    </row>
    <row r="1044" spans="1:19" x14ac:dyDescent="0.25">
      <c r="A1044" s="133"/>
      <c r="B1044" s="134"/>
      <c r="C1044" s="134"/>
      <c r="D1044" s="134"/>
      <c r="E1044" s="134"/>
      <c r="F1044" s="134"/>
      <c r="G1044" s="135"/>
      <c r="H1044" s="135"/>
      <c r="I1044" s="135"/>
      <c r="J1044" s="136"/>
      <c r="K1044" s="134"/>
      <c r="L1044" s="134"/>
      <c r="M1044" s="134"/>
      <c r="N1044" s="134"/>
      <c r="O1044" s="134"/>
      <c r="P1044" s="134"/>
      <c r="Q1044" s="134"/>
      <c r="R1044" s="134"/>
      <c r="S1044" s="134"/>
    </row>
    <row r="1045" spans="1:19" x14ac:dyDescent="0.25">
      <c r="A1045" s="133"/>
      <c r="B1045" s="134"/>
      <c r="C1045" s="134"/>
      <c r="D1045" s="134"/>
      <c r="E1045" s="134"/>
      <c r="F1045" s="134"/>
      <c r="G1045" s="135"/>
      <c r="H1045" s="135"/>
      <c r="I1045" s="135"/>
      <c r="J1045" s="136"/>
      <c r="K1045" s="134"/>
      <c r="L1045" s="134"/>
      <c r="M1045" s="134"/>
      <c r="N1045" s="134"/>
      <c r="O1045" s="134"/>
      <c r="P1045" s="134"/>
      <c r="Q1045" s="134"/>
      <c r="R1045" s="134"/>
      <c r="S1045" s="134"/>
    </row>
    <row r="1046" spans="1:19" x14ac:dyDescent="0.25">
      <c r="A1046" s="133"/>
      <c r="B1046" s="134"/>
      <c r="C1046" s="134"/>
      <c r="D1046" s="134"/>
      <c r="E1046" s="134"/>
      <c r="F1046" s="134"/>
      <c r="G1046" s="135"/>
      <c r="H1046" s="135"/>
      <c r="I1046" s="135"/>
      <c r="J1046" s="136"/>
      <c r="K1046" s="134"/>
      <c r="L1046" s="134"/>
      <c r="M1046" s="134"/>
      <c r="N1046" s="134"/>
      <c r="O1046" s="134"/>
      <c r="P1046" s="134"/>
      <c r="Q1046" s="134"/>
      <c r="R1046" s="134"/>
      <c r="S1046" s="134"/>
    </row>
    <row r="1047" spans="1:19" x14ac:dyDescent="0.25">
      <c r="A1047" s="133"/>
      <c r="B1047" s="134"/>
      <c r="C1047" s="134"/>
      <c r="D1047" s="134"/>
      <c r="E1047" s="134"/>
      <c r="F1047" s="134"/>
      <c r="G1047" s="135"/>
      <c r="H1047" s="135"/>
      <c r="I1047" s="135"/>
      <c r="J1047" s="136"/>
      <c r="K1047" s="134"/>
      <c r="L1047" s="134"/>
      <c r="M1047" s="134"/>
      <c r="N1047" s="134"/>
      <c r="O1047" s="134"/>
      <c r="P1047" s="134"/>
      <c r="Q1047" s="134"/>
      <c r="R1047" s="134"/>
      <c r="S1047" s="134"/>
    </row>
    <row r="1048" spans="1:19" x14ac:dyDescent="0.25">
      <c r="A1048" s="133"/>
      <c r="B1048" s="134"/>
      <c r="C1048" s="134"/>
      <c r="D1048" s="134"/>
      <c r="E1048" s="134"/>
      <c r="F1048" s="134"/>
      <c r="G1048" s="135"/>
      <c r="H1048" s="135"/>
      <c r="I1048" s="135"/>
      <c r="J1048" s="136"/>
      <c r="K1048" s="134"/>
      <c r="L1048" s="134"/>
      <c r="M1048" s="134"/>
      <c r="N1048" s="134"/>
      <c r="O1048" s="134"/>
      <c r="P1048" s="134"/>
      <c r="Q1048" s="134"/>
      <c r="R1048" s="134"/>
      <c r="S1048" s="134"/>
    </row>
    <row r="1049" spans="1:19" x14ac:dyDescent="0.25">
      <c r="A1049" s="133"/>
      <c r="B1049" s="134"/>
      <c r="C1049" s="134"/>
      <c r="D1049" s="134"/>
      <c r="E1049" s="134"/>
      <c r="F1049" s="134"/>
      <c r="G1049" s="135"/>
      <c r="H1049" s="135"/>
      <c r="I1049" s="135"/>
      <c r="J1049" s="136"/>
      <c r="K1049" s="134"/>
      <c r="L1049" s="134"/>
      <c r="M1049" s="134"/>
      <c r="N1049" s="134"/>
      <c r="O1049" s="134"/>
      <c r="P1049" s="134"/>
      <c r="Q1049" s="134"/>
      <c r="R1049" s="134"/>
      <c r="S1049" s="134"/>
    </row>
    <row r="1050" spans="1:19" x14ac:dyDescent="0.25">
      <c r="A1050" s="133"/>
      <c r="B1050" s="134"/>
      <c r="C1050" s="134"/>
      <c r="D1050" s="134"/>
      <c r="E1050" s="134"/>
      <c r="F1050" s="134"/>
      <c r="G1050" s="135"/>
      <c r="H1050" s="135"/>
      <c r="I1050" s="135"/>
      <c r="J1050" s="136"/>
      <c r="K1050" s="134"/>
      <c r="L1050" s="134"/>
      <c r="M1050" s="134"/>
      <c r="N1050" s="134"/>
      <c r="O1050" s="134"/>
      <c r="P1050" s="134"/>
      <c r="Q1050" s="134"/>
      <c r="R1050" s="134"/>
      <c r="S1050" s="134"/>
    </row>
    <row r="1051" spans="1:19" x14ac:dyDescent="0.25">
      <c r="A1051" s="133"/>
      <c r="B1051" s="134"/>
      <c r="C1051" s="134"/>
      <c r="D1051" s="134"/>
      <c r="E1051" s="134"/>
      <c r="F1051" s="134"/>
      <c r="G1051" s="135"/>
      <c r="H1051" s="135"/>
      <c r="I1051" s="135"/>
      <c r="J1051" s="136"/>
      <c r="K1051" s="134"/>
      <c r="L1051" s="134"/>
      <c r="M1051" s="134"/>
      <c r="N1051" s="134"/>
      <c r="O1051" s="134"/>
      <c r="P1051" s="134"/>
      <c r="Q1051" s="134"/>
      <c r="R1051" s="134"/>
      <c r="S1051" s="134"/>
    </row>
    <row r="1052" spans="1:19" x14ac:dyDescent="0.25">
      <c r="A1052" s="133"/>
      <c r="B1052" s="134"/>
      <c r="C1052" s="134"/>
      <c r="D1052" s="134"/>
      <c r="E1052" s="134"/>
      <c r="F1052" s="134"/>
      <c r="G1052" s="135"/>
      <c r="H1052" s="135"/>
      <c r="I1052" s="135"/>
      <c r="J1052" s="136"/>
      <c r="K1052" s="134"/>
      <c r="L1052" s="134"/>
      <c r="M1052" s="134"/>
      <c r="N1052" s="134"/>
      <c r="O1052" s="134"/>
      <c r="P1052" s="134"/>
      <c r="Q1052" s="134"/>
      <c r="R1052" s="134"/>
      <c r="S1052" s="134"/>
    </row>
    <row r="1053" spans="1:19" x14ac:dyDescent="0.25">
      <c r="A1053" s="133"/>
      <c r="B1053" s="134"/>
      <c r="C1053" s="134"/>
      <c r="D1053" s="134"/>
      <c r="E1053" s="134"/>
      <c r="F1053" s="134"/>
      <c r="G1053" s="135"/>
      <c r="H1053" s="135"/>
      <c r="I1053" s="135"/>
      <c r="J1053" s="136"/>
      <c r="K1053" s="134"/>
      <c r="L1053" s="134"/>
      <c r="M1053" s="134"/>
      <c r="N1053" s="134"/>
      <c r="O1053" s="134"/>
      <c r="P1053" s="134"/>
      <c r="Q1053" s="134"/>
      <c r="R1053" s="134"/>
      <c r="S1053" s="134"/>
    </row>
    <row r="1054" spans="1:19" x14ac:dyDescent="0.25">
      <c r="A1054" s="133"/>
      <c r="B1054" s="134"/>
      <c r="C1054" s="134"/>
      <c r="D1054" s="134"/>
      <c r="E1054" s="134"/>
      <c r="F1054" s="134"/>
      <c r="G1054" s="135"/>
      <c r="H1054" s="135"/>
      <c r="I1054" s="135"/>
      <c r="J1054" s="136"/>
      <c r="K1054" s="134"/>
      <c r="L1054" s="134"/>
      <c r="M1054" s="134"/>
      <c r="N1054" s="134"/>
      <c r="O1054" s="134"/>
      <c r="P1054" s="134"/>
      <c r="Q1054" s="134"/>
      <c r="R1054" s="134"/>
      <c r="S1054" s="134"/>
    </row>
    <row r="1055" spans="1:19" x14ac:dyDescent="0.25">
      <c r="A1055" s="133"/>
      <c r="B1055" s="134"/>
      <c r="C1055" s="134"/>
      <c r="D1055" s="134"/>
      <c r="E1055" s="134"/>
      <c r="F1055" s="134"/>
      <c r="G1055" s="135"/>
      <c r="H1055" s="135"/>
      <c r="I1055" s="135"/>
      <c r="J1055" s="136"/>
      <c r="K1055" s="134"/>
      <c r="L1055" s="134"/>
      <c r="M1055" s="134"/>
      <c r="N1055" s="134"/>
      <c r="O1055" s="134"/>
      <c r="P1055" s="134"/>
      <c r="Q1055" s="134"/>
      <c r="R1055" s="134"/>
      <c r="S1055" s="134"/>
    </row>
    <row r="1056" spans="1:19" x14ac:dyDescent="0.25">
      <c r="A1056" s="133"/>
      <c r="B1056" s="134"/>
      <c r="C1056" s="134"/>
      <c r="D1056" s="134"/>
      <c r="E1056" s="134"/>
      <c r="F1056" s="134"/>
      <c r="G1056" s="135"/>
      <c r="H1056" s="135"/>
      <c r="I1056" s="135"/>
      <c r="J1056" s="136"/>
      <c r="K1056" s="134"/>
      <c r="L1056" s="134"/>
      <c r="M1056" s="134"/>
      <c r="N1056" s="134"/>
      <c r="O1056" s="134"/>
      <c r="P1056" s="134"/>
      <c r="Q1056" s="134"/>
      <c r="R1056" s="134"/>
      <c r="S1056" s="134"/>
    </row>
    <row r="1057" spans="1:19" x14ac:dyDescent="0.25">
      <c r="A1057" s="133"/>
      <c r="B1057" s="134"/>
      <c r="C1057" s="134"/>
      <c r="D1057" s="134"/>
      <c r="E1057" s="134"/>
      <c r="F1057" s="134"/>
      <c r="G1057" s="135"/>
      <c r="H1057" s="135"/>
      <c r="I1057" s="135"/>
      <c r="J1057" s="136"/>
      <c r="K1057" s="134"/>
      <c r="L1057" s="134"/>
      <c r="M1057" s="134"/>
      <c r="N1057" s="134"/>
      <c r="O1057" s="134"/>
      <c r="P1057" s="134"/>
      <c r="Q1057" s="134"/>
      <c r="R1057" s="134"/>
      <c r="S1057" s="134"/>
    </row>
    <row r="1058" spans="1:19" x14ac:dyDescent="0.25">
      <c r="A1058" s="133"/>
      <c r="B1058" s="134"/>
      <c r="C1058" s="134"/>
      <c r="D1058" s="134"/>
      <c r="E1058" s="134"/>
      <c r="F1058" s="134"/>
      <c r="G1058" s="135"/>
      <c r="H1058" s="135"/>
      <c r="I1058" s="135"/>
      <c r="J1058" s="136"/>
      <c r="K1058" s="134"/>
      <c r="L1058" s="134"/>
      <c r="M1058" s="134"/>
      <c r="N1058" s="134"/>
      <c r="O1058" s="134"/>
      <c r="P1058" s="134"/>
      <c r="Q1058" s="134"/>
      <c r="R1058" s="134"/>
      <c r="S1058" s="134"/>
    </row>
    <row r="1059" spans="1:19" x14ac:dyDescent="0.25">
      <c r="A1059" s="133"/>
      <c r="B1059" s="134"/>
      <c r="C1059" s="134"/>
      <c r="D1059" s="134"/>
      <c r="E1059" s="134"/>
      <c r="F1059" s="134"/>
      <c r="G1059" s="135"/>
      <c r="H1059" s="135"/>
      <c r="I1059" s="135"/>
      <c r="J1059" s="136"/>
      <c r="K1059" s="134"/>
      <c r="L1059" s="134"/>
      <c r="M1059" s="134"/>
      <c r="N1059" s="134"/>
      <c r="O1059" s="134"/>
      <c r="P1059" s="134"/>
      <c r="Q1059" s="134"/>
      <c r="R1059" s="134"/>
      <c r="S1059" s="134"/>
    </row>
    <row r="1060" spans="1:19" x14ac:dyDescent="0.25">
      <c r="A1060" s="133"/>
      <c r="B1060" s="134"/>
      <c r="C1060" s="134"/>
      <c r="D1060" s="134"/>
      <c r="E1060" s="134"/>
      <c r="F1060" s="134"/>
      <c r="G1060" s="135"/>
      <c r="H1060" s="135"/>
      <c r="I1060" s="135"/>
      <c r="J1060" s="136"/>
      <c r="K1060" s="134"/>
      <c r="L1060" s="134"/>
      <c r="M1060" s="134"/>
      <c r="N1060" s="134"/>
      <c r="O1060" s="134"/>
      <c r="P1060" s="134"/>
      <c r="Q1060" s="134"/>
      <c r="R1060" s="134"/>
      <c r="S1060" s="134"/>
    </row>
    <row r="1061" spans="1:19" x14ac:dyDescent="0.25">
      <c r="A1061" s="133"/>
      <c r="B1061" s="134"/>
      <c r="C1061" s="134"/>
      <c r="D1061" s="134"/>
      <c r="E1061" s="134"/>
      <c r="F1061" s="134"/>
      <c r="G1061" s="135"/>
      <c r="H1061" s="135"/>
      <c r="I1061" s="135"/>
      <c r="J1061" s="136"/>
      <c r="K1061" s="134"/>
      <c r="L1061" s="134"/>
      <c r="M1061" s="134"/>
      <c r="N1061" s="134"/>
      <c r="O1061" s="134"/>
      <c r="P1061" s="134"/>
      <c r="Q1061" s="134"/>
      <c r="R1061" s="134"/>
      <c r="S1061" s="134"/>
    </row>
    <row r="1062" spans="1:19" x14ac:dyDescent="0.25">
      <c r="A1062" s="133"/>
      <c r="B1062" s="134"/>
      <c r="C1062" s="134"/>
      <c r="D1062" s="134"/>
      <c r="E1062" s="134"/>
      <c r="F1062" s="134"/>
      <c r="G1062" s="135"/>
      <c r="H1062" s="135"/>
      <c r="I1062" s="135"/>
      <c r="J1062" s="136"/>
      <c r="K1062" s="134"/>
      <c r="L1062" s="134"/>
      <c r="M1062" s="134"/>
      <c r="N1062" s="134"/>
      <c r="O1062" s="134"/>
      <c r="P1062" s="134"/>
      <c r="Q1062" s="134"/>
      <c r="R1062" s="134"/>
      <c r="S1062" s="134"/>
    </row>
    <row r="1063" spans="1:19" x14ac:dyDescent="0.25">
      <c r="A1063" s="133"/>
      <c r="B1063" s="134"/>
      <c r="C1063" s="134"/>
      <c r="D1063" s="134"/>
      <c r="E1063" s="134"/>
      <c r="F1063" s="134"/>
      <c r="G1063" s="135"/>
      <c r="H1063" s="135"/>
      <c r="I1063" s="135"/>
      <c r="J1063" s="136"/>
      <c r="K1063" s="134"/>
      <c r="L1063" s="134"/>
      <c r="M1063" s="134"/>
      <c r="N1063" s="134"/>
      <c r="O1063" s="134"/>
      <c r="P1063" s="134"/>
      <c r="Q1063" s="134"/>
      <c r="R1063" s="134"/>
      <c r="S1063" s="134"/>
    </row>
  </sheetData>
  <autoFilter ref="A2:R140"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56"/>
  <sheetViews>
    <sheetView zoomScaleNormal="100" workbookViewId="0">
      <pane ySplit="2" topLeftCell="A320" activePane="bottomLeft" state="frozen"/>
      <selection activeCell="C1" sqref="C1"/>
      <selection pane="bottomLeft" activeCell="C343" sqref="C343"/>
    </sheetView>
  </sheetViews>
  <sheetFormatPr defaultColWidth="8.7109375" defaultRowHeight="15" x14ac:dyDescent="0.25"/>
  <cols>
    <col min="1" max="1" width="10" customWidth="1"/>
    <col min="2" max="2" width="8" customWidth="1"/>
    <col min="3" max="3" width="37.7109375" style="3" customWidth="1"/>
    <col min="4" max="4" width="39" style="3" customWidth="1"/>
    <col min="5" max="5" width="6" customWidth="1"/>
    <col min="6" max="6" width="16" customWidth="1"/>
    <col min="7" max="7" width="8" customWidth="1"/>
    <col min="8" max="8" width="30" style="3" customWidth="1"/>
    <col min="9" max="9" width="6" customWidth="1"/>
    <col min="10" max="10" width="14" style="34" customWidth="1"/>
    <col min="11" max="11" width="16" style="3" customWidth="1"/>
    <col min="12" max="12" width="8" style="35" customWidth="1"/>
    <col min="13" max="13" width="68.28515625" style="36" customWidth="1"/>
  </cols>
  <sheetData>
    <row r="1" spans="1:17" ht="20.25" customHeight="1" x14ac:dyDescent="0.35">
      <c r="A1" s="338" t="s">
        <v>323</v>
      </c>
      <c r="B1" s="339"/>
      <c r="C1" s="340"/>
      <c r="D1" s="340"/>
      <c r="E1" s="339"/>
      <c r="F1" s="339"/>
      <c r="G1" s="339"/>
      <c r="H1" s="340"/>
      <c r="I1" s="339"/>
      <c r="J1" s="341"/>
      <c r="K1" s="340"/>
      <c r="L1" s="342"/>
      <c r="M1" s="37"/>
      <c r="N1" s="2"/>
      <c r="O1" s="2"/>
    </row>
    <row r="2" spans="1:17" s="43" customFormat="1" ht="32.25" customHeight="1" x14ac:dyDescent="0.25">
      <c r="A2" s="38" t="s">
        <v>251</v>
      </c>
      <c r="B2" s="38" t="s">
        <v>324</v>
      </c>
      <c r="C2" s="39" t="s">
        <v>157</v>
      </c>
      <c r="D2" s="39" t="s">
        <v>158</v>
      </c>
      <c r="E2" s="38" t="s">
        <v>159</v>
      </c>
      <c r="F2" s="38" t="s">
        <v>325</v>
      </c>
      <c r="G2" s="38" t="s">
        <v>2</v>
      </c>
      <c r="H2" s="39" t="s">
        <v>259</v>
      </c>
      <c r="I2" s="38" t="s">
        <v>5</v>
      </c>
      <c r="J2" s="38" t="s">
        <v>326</v>
      </c>
      <c r="K2" s="39" t="s">
        <v>327</v>
      </c>
      <c r="L2" s="40" t="s">
        <v>328</v>
      </c>
      <c r="M2" s="41" t="s">
        <v>329</v>
      </c>
      <c r="N2" s="42"/>
      <c r="O2" s="42"/>
    </row>
    <row r="3" spans="1:17" ht="15" customHeight="1" x14ac:dyDescent="0.25">
      <c r="A3" s="213">
        <v>6561</v>
      </c>
      <c r="B3" s="213">
        <v>190</v>
      </c>
      <c r="C3" s="214" t="s">
        <v>197</v>
      </c>
      <c r="D3" s="214" t="s">
        <v>198</v>
      </c>
      <c r="E3" s="214">
        <v>16</v>
      </c>
      <c r="F3" s="214" t="s">
        <v>265</v>
      </c>
      <c r="G3" s="213">
        <v>2799</v>
      </c>
      <c r="H3" s="214" t="s">
        <v>16</v>
      </c>
      <c r="I3" s="215" t="s">
        <v>15</v>
      </c>
      <c r="J3" s="216">
        <v>2.5188899999999999</v>
      </c>
      <c r="K3" s="217" t="s">
        <v>330</v>
      </c>
      <c r="L3" s="218">
        <v>0.1</v>
      </c>
      <c r="M3" s="48"/>
      <c r="N3" s="48"/>
      <c r="O3" s="48"/>
      <c r="P3" s="48"/>
      <c r="Q3" s="49"/>
    </row>
    <row r="4" spans="1:17" ht="15" customHeight="1" x14ac:dyDescent="0.25">
      <c r="A4" s="213">
        <v>6561</v>
      </c>
      <c r="B4" s="213">
        <v>190</v>
      </c>
      <c r="C4" s="214" t="s">
        <v>197</v>
      </c>
      <c r="D4" s="214" t="s">
        <v>198</v>
      </c>
      <c r="E4" s="214">
        <v>16</v>
      </c>
      <c r="F4" s="214" t="s">
        <v>277</v>
      </c>
      <c r="G4" s="213">
        <v>3595</v>
      </c>
      <c r="H4" s="214" t="s">
        <v>331</v>
      </c>
      <c r="I4" s="215" t="s">
        <v>15</v>
      </c>
      <c r="J4" s="216">
        <v>0.28999999999999998</v>
      </c>
      <c r="K4" s="217" t="s">
        <v>33</v>
      </c>
      <c r="L4" s="218">
        <v>0.1</v>
      </c>
      <c r="M4" s="50"/>
      <c r="N4" s="48"/>
      <c r="O4" s="48"/>
      <c r="P4" s="48"/>
      <c r="Q4" s="49"/>
    </row>
    <row r="5" spans="1:17" ht="15" customHeight="1" x14ac:dyDescent="0.25">
      <c r="A5" s="213">
        <v>6561</v>
      </c>
      <c r="B5" s="213">
        <v>190</v>
      </c>
      <c r="C5" s="214" t="s">
        <v>197</v>
      </c>
      <c r="D5" s="214" t="s">
        <v>198</v>
      </c>
      <c r="E5" s="214">
        <v>16</v>
      </c>
      <c r="F5" s="214" t="s">
        <v>279</v>
      </c>
      <c r="G5" s="213">
        <v>69</v>
      </c>
      <c r="H5" s="214" t="s">
        <v>50</v>
      </c>
      <c r="I5" s="215" t="s">
        <v>51</v>
      </c>
      <c r="J5" s="216">
        <v>1000</v>
      </c>
      <c r="K5" s="217" t="s">
        <v>332</v>
      </c>
      <c r="L5" s="218">
        <v>0.02</v>
      </c>
      <c r="M5" s="50"/>
      <c r="N5" s="48"/>
      <c r="O5" s="48"/>
      <c r="P5" s="48"/>
      <c r="Q5" s="49"/>
    </row>
    <row r="6" spans="1:17" ht="15" customHeight="1" x14ac:dyDescent="0.25">
      <c r="A6" s="213">
        <v>6561</v>
      </c>
      <c r="B6" s="213">
        <v>190</v>
      </c>
      <c r="C6" s="214" t="s">
        <v>197</v>
      </c>
      <c r="D6" s="214" t="s">
        <v>198</v>
      </c>
      <c r="E6" s="214">
        <v>16</v>
      </c>
      <c r="F6" s="214" t="s">
        <v>281</v>
      </c>
      <c r="G6" s="213">
        <v>36</v>
      </c>
      <c r="H6" s="214" t="s">
        <v>74</v>
      </c>
      <c r="I6" s="215" t="s">
        <v>51</v>
      </c>
      <c r="J6" s="216">
        <v>5</v>
      </c>
      <c r="K6" s="217" t="s">
        <v>333</v>
      </c>
      <c r="L6" s="218">
        <v>0.1</v>
      </c>
      <c r="M6" s="50"/>
      <c r="N6" s="48"/>
      <c r="O6" s="48"/>
      <c r="P6" s="48"/>
      <c r="Q6" s="49"/>
    </row>
    <row r="7" spans="1:17" ht="15" customHeight="1" x14ac:dyDescent="0.25">
      <c r="A7" s="213">
        <v>6561</v>
      </c>
      <c r="B7" s="213">
        <v>190</v>
      </c>
      <c r="C7" s="214" t="s">
        <v>197</v>
      </c>
      <c r="D7" s="214" t="s">
        <v>198</v>
      </c>
      <c r="E7" s="214">
        <v>16</v>
      </c>
      <c r="F7" s="214" t="s">
        <v>283</v>
      </c>
      <c r="G7" s="213">
        <v>194</v>
      </c>
      <c r="H7" s="214" t="s">
        <v>48</v>
      </c>
      <c r="I7" s="215" t="s">
        <v>15</v>
      </c>
      <c r="J7" s="216">
        <v>2.6196399999999999E-3</v>
      </c>
      <c r="K7" s="217" t="s">
        <v>334</v>
      </c>
      <c r="L7" s="218">
        <v>0.1</v>
      </c>
      <c r="M7" s="48"/>
      <c r="N7" s="48"/>
      <c r="O7" s="48"/>
      <c r="P7" s="48"/>
      <c r="Q7" s="49"/>
    </row>
    <row r="8" spans="1:17" ht="15" customHeight="1" x14ac:dyDescent="0.25">
      <c r="A8" s="213">
        <v>6561</v>
      </c>
      <c r="B8" s="213">
        <v>190</v>
      </c>
      <c r="C8" s="214" t="s">
        <v>197</v>
      </c>
      <c r="D8" s="214" t="s">
        <v>198</v>
      </c>
      <c r="E8" s="214">
        <v>16</v>
      </c>
      <c r="F8" s="214" t="s">
        <v>272</v>
      </c>
      <c r="G8" s="213">
        <v>4155</v>
      </c>
      <c r="H8" s="214" t="s">
        <v>276</v>
      </c>
      <c r="I8" s="215" t="s">
        <v>29</v>
      </c>
      <c r="J8" s="216">
        <v>0.17</v>
      </c>
      <c r="K8" s="217" t="s">
        <v>25</v>
      </c>
      <c r="L8" s="218">
        <v>0.1</v>
      </c>
      <c r="M8" s="48"/>
      <c r="N8" s="48"/>
      <c r="O8" s="48"/>
      <c r="P8" s="48"/>
      <c r="Q8" s="49"/>
    </row>
    <row r="9" spans="1:17" ht="15" customHeight="1" x14ac:dyDescent="0.25">
      <c r="A9" s="213">
        <v>6561</v>
      </c>
      <c r="B9" s="213">
        <v>190</v>
      </c>
      <c r="C9" s="214" t="s">
        <v>197</v>
      </c>
      <c r="D9" s="214" t="s">
        <v>198</v>
      </c>
      <c r="E9" s="214">
        <v>16</v>
      </c>
      <c r="F9" s="214" t="s">
        <v>286</v>
      </c>
      <c r="G9" s="213">
        <v>190</v>
      </c>
      <c r="H9" s="214" t="s">
        <v>85</v>
      </c>
      <c r="I9" s="215" t="s">
        <v>29</v>
      </c>
      <c r="J9" s="216">
        <v>0.06</v>
      </c>
      <c r="K9" s="217" t="s">
        <v>84</v>
      </c>
      <c r="L9" s="218">
        <v>0.1</v>
      </c>
      <c r="M9" s="48"/>
      <c r="N9" s="48"/>
      <c r="O9" s="48"/>
      <c r="P9" s="48"/>
      <c r="Q9" s="49"/>
    </row>
    <row r="10" spans="1:17" ht="15" customHeight="1" x14ac:dyDescent="0.25">
      <c r="A10" s="213">
        <v>6561</v>
      </c>
      <c r="B10" s="213">
        <v>190</v>
      </c>
      <c r="C10" s="214" t="s">
        <v>197</v>
      </c>
      <c r="D10" s="214" t="s">
        <v>198</v>
      </c>
      <c r="E10" s="214">
        <v>16</v>
      </c>
      <c r="F10" s="214" t="s">
        <v>285</v>
      </c>
      <c r="G10" s="213">
        <v>3635</v>
      </c>
      <c r="H10" s="214" t="s">
        <v>83</v>
      </c>
      <c r="I10" s="215" t="s">
        <v>51</v>
      </c>
      <c r="J10" s="216">
        <v>0.11899999999999999</v>
      </c>
      <c r="K10" s="217" t="s">
        <v>335</v>
      </c>
      <c r="L10" s="218">
        <v>0.1</v>
      </c>
      <c r="M10" s="48"/>
      <c r="N10" s="48"/>
      <c r="O10" s="48"/>
      <c r="P10" s="48"/>
      <c r="Q10" s="49"/>
    </row>
    <row r="11" spans="1:17" ht="15" customHeight="1" x14ac:dyDescent="0.25">
      <c r="A11" s="213">
        <v>6561</v>
      </c>
      <c r="B11" s="213">
        <v>190</v>
      </c>
      <c r="C11" s="214" t="s">
        <v>197</v>
      </c>
      <c r="D11" s="214" t="s">
        <v>198</v>
      </c>
      <c r="E11" s="214">
        <v>16</v>
      </c>
      <c r="F11" s="214" t="s">
        <v>281</v>
      </c>
      <c r="G11" s="213">
        <v>200</v>
      </c>
      <c r="H11" s="214" t="s">
        <v>75</v>
      </c>
      <c r="I11" s="215" t="s">
        <v>51</v>
      </c>
      <c r="J11" s="216">
        <v>0.55000000000000004</v>
      </c>
      <c r="K11" s="217" t="s">
        <v>333</v>
      </c>
      <c r="L11" s="218">
        <v>0.1</v>
      </c>
      <c r="M11" s="48"/>
      <c r="N11" s="48"/>
      <c r="O11" s="48"/>
      <c r="P11" s="48"/>
      <c r="Q11" s="49"/>
    </row>
    <row r="12" spans="1:17" ht="15" customHeight="1" x14ac:dyDescent="0.25">
      <c r="A12" s="213">
        <v>1085</v>
      </c>
      <c r="B12" s="213">
        <v>187</v>
      </c>
      <c r="C12" s="214" t="s">
        <v>197</v>
      </c>
      <c r="D12" s="214" t="s">
        <v>201</v>
      </c>
      <c r="E12" s="214">
        <v>19</v>
      </c>
      <c r="F12" s="214" t="s">
        <v>13</v>
      </c>
      <c r="G12" s="213">
        <v>19</v>
      </c>
      <c r="H12" s="214" t="s">
        <v>17</v>
      </c>
      <c r="I12" s="215" t="s">
        <v>15</v>
      </c>
      <c r="J12" s="216">
        <v>3.367</v>
      </c>
      <c r="K12" s="217" t="s">
        <v>330</v>
      </c>
      <c r="L12" s="218">
        <v>0.1</v>
      </c>
      <c r="M12" s="50"/>
      <c r="N12" s="48"/>
      <c r="O12" s="48"/>
      <c r="P12" s="48"/>
      <c r="Q12" s="49"/>
    </row>
    <row r="13" spans="1:17" ht="15" customHeight="1" x14ac:dyDescent="0.25">
      <c r="A13" s="213">
        <v>1085</v>
      </c>
      <c r="B13" s="213">
        <v>187</v>
      </c>
      <c r="C13" s="214" t="s">
        <v>197</v>
      </c>
      <c r="D13" s="214" t="s">
        <v>201</v>
      </c>
      <c r="E13" s="214">
        <v>19</v>
      </c>
      <c r="F13" s="214" t="s">
        <v>277</v>
      </c>
      <c r="G13" s="213">
        <v>3595</v>
      </c>
      <c r="H13" s="214" t="s">
        <v>331</v>
      </c>
      <c r="I13" s="215" t="s">
        <v>15</v>
      </c>
      <c r="J13" s="216">
        <v>0.31</v>
      </c>
      <c r="K13" s="217" t="s">
        <v>33</v>
      </c>
      <c r="L13" s="218">
        <v>0.1</v>
      </c>
      <c r="M13" s="48"/>
      <c r="N13" s="48"/>
      <c r="O13" s="48"/>
      <c r="P13" s="48"/>
      <c r="Q13" s="49"/>
    </row>
    <row r="14" spans="1:17" ht="15" customHeight="1" x14ac:dyDescent="0.25">
      <c r="A14" s="213">
        <v>1085</v>
      </c>
      <c r="B14" s="213">
        <v>187</v>
      </c>
      <c r="C14" s="214" t="s">
        <v>197</v>
      </c>
      <c r="D14" s="214" t="s">
        <v>201</v>
      </c>
      <c r="E14" s="214">
        <v>19</v>
      </c>
      <c r="F14" s="214" t="s">
        <v>279</v>
      </c>
      <c r="G14" s="213">
        <v>81</v>
      </c>
      <c r="H14" s="214" t="s">
        <v>57</v>
      </c>
      <c r="I14" s="215" t="s">
        <v>51</v>
      </c>
      <c r="J14" s="216">
        <v>1000</v>
      </c>
      <c r="K14" s="217" t="s">
        <v>332</v>
      </c>
      <c r="L14" s="218">
        <v>0.02</v>
      </c>
      <c r="M14" s="50"/>
      <c r="N14" s="48"/>
      <c r="O14" s="48"/>
      <c r="P14" s="48"/>
      <c r="Q14" s="49"/>
    </row>
    <row r="15" spans="1:17" ht="15" customHeight="1" x14ac:dyDescent="0.25">
      <c r="A15" s="213">
        <v>1085</v>
      </c>
      <c r="B15" s="213">
        <v>187</v>
      </c>
      <c r="C15" s="214" t="s">
        <v>197</v>
      </c>
      <c r="D15" s="214" t="s">
        <v>201</v>
      </c>
      <c r="E15" s="214">
        <v>19</v>
      </c>
      <c r="F15" s="214" t="s">
        <v>281</v>
      </c>
      <c r="G15" s="213">
        <v>39</v>
      </c>
      <c r="H15" s="214" t="s">
        <v>76</v>
      </c>
      <c r="I15" s="215" t="s">
        <v>51</v>
      </c>
      <c r="J15" s="216">
        <v>5</v>
      </c>
      <c r="K15" s="217" t="s">
        <v>333</v>
      </c>
      <c r="L15" s="218">
        <v>0.1</v>
      </c>
      <c r="M15" s="50"/>
      <c r="N15" s="48"/>
      <c r="O15" s="48"/>
      <c r="P15" s="48"/>
      <c r="Q15" s="49"/>
    </row>
    <row r="16" spans="1:17" ht="15" customHeight="1" x14ac:dyDescent="0.25">
      <c r="A16" s="213">
        <v>1085</v>
      </c>
      <c r="B16" s="213">
        <v>187</v>
      </c>
      <c r="C16" s="214" t="s">
        <v>197</v>
      </c>
      <c r="D16" s="214" t="s">
        <v>201</v>
      </c>
      <c r="E16" s="214">
        <v>19</v>
      </c>
      <c r="F16" s="214" t="s">
        <v>283</v>
      </c>
      <c r="G16" s="213">
        <v>194</v>
      </c>
      <c r="H16" s="214" t="s">
        <v>48</v>
      </c>
      <c r="I16" s="215" t="s">
        <v>15</v>
      </c>
      <c r="J16" s="216">
        <v>3.3999999999999998E-3</v>
      </c>
      <c r="K16" s="217" t="s">
        <v>334</v>
      </c>
      <c r="L16" s="218">
        <v>0.1</v>
      </c>
      <c r="M16" s="50"/>
      <c r="N16" s="48"/>
      <c r="O16" s="48"/>
      <c r="P16" s="48"/>
      <c r="Q16" s="49"/>
    </row>
    <row r="17" spans="1:17" ht="15" customHeight="1" x14ac:dyDescent="0.25">
      <c r="A17" s="213">
        <v>1085</v>
      </c>
      <c r="B17" s="213">
        <v>187</v>
      </c>
      <c r="C17" s="214" t="s">
        <v>197</v>
      </c>
      <c r="D17" s="214" t="s">
        <v>201</v>
      </c>
      <c r="E17" s="214">
        <v>19</v>
      </c>
      <c r="F17" s="214" t="s">
        <v>285</v>
      </c>
      <c r="G17" s="213">
        <v>3635</v>
      </c>
      <c r="H17" s="214" t="s">
        <v>83</v>
      </c>
      <c r="I17" s="215" t="s">
        <v>51</v>
      </c>
      <c r="J17" s="216">
        <v>0.13800000000000001</v>
      </c>
      <c r="K17" s="217" t="s">
        <v>335</v>
      </c>
      <c r="L17" s="218">
        <v>0.1</v>
      </c>
      <c r="M17" s="48"/>
      <c r="N17" s="48"/>
      <c r="O17" s="48"/>
      <c r="P17" s="48"/>
      <c r="Q17" s="49"/>
    </row>
    <row r="18" spans="1:17" ht="15" customHeight="1" x14ac:dyDescent="0.25">
      <c r="A18" s="213">
        <v>1085</v>
      </c>
      <c r="B18" s="213">
        <v>187</v>
      </c>
      <c r="C18" s="214" t="s">
        <v>197</v>
      </c>
      <c r="D18" s="214" t="s">
        <v>201</v>
      </c>
      <c r="E18" s="214">
        <v>19</v>
      </c>
      <c r="F18" s="214" t="s">
        <v>272</v>
      </c>
      <c r="G18" s="213">
        <v>4155</v>
      </c>
      <c r="H18" s="214" t="s">
        <v>276</v>
      </c>
      <c r="I18" s="215" t="s">
        <v>29</v>
      </c>
      <c r="J18" s="216">
        <v>0.1449</v>
      </c>
      <c r="K18" s="217" t="s">
        <v>25</v>
      </c>
      <c r="L18" s="218">
        <v>0.1</v>
      </c>
      <c r="M18" s="48"/>
      <c r="N18" s="48"/>
      <c r="O18" s="48"/>
      <c r="P18" s="48"/>
      <c r="Q18" s="49"/>
    </row>
    <row r="19" spans="1:17" ht="15" customHeight="1" x14ac:dyDescent="0.25">
      <c r="A19" s="213">
        <v>6559</v>
      </c>
      <c r="B19" s="213">
        <v>188</v>
      </c>
      <c r="C19" s="214" t="s">
        <v>197</v>
      </c>
      <c r="D19" s="214" t="s">
        <v>336</v>
      </c>
      <c r="E19" s="214">
        <v>19</v>
      </c>
      <c r="F19" s="214" t="s">
        <v>13</v>
      </c>
      <c r="G19" s="213">
        <v>19</v>
      </c>
      <c r="H19" s="214" t="s">
        <v>17</v>
      </c>
      <c r="I19" s="215" t="s">
        <v>15</v>
      </c>
      <c r="J19" s="216">
        <v>3.367</v>
      </c>
      <c r="K19" s="217" t="s">
        <v>330</v>
      </c>
      <c r="L19" s="218">
        <v>0.1</v>
      </c>
      <c r="M19" s="48"/>
      <c r="N19" s="48"/>
      <c r="O19" s="48"/>
      <c r="P19" s="48"/>
      <c r="Q19" s="49"/>
    </row>
    <row r="20" spans="1:17" ht="15" customHeight="1" x14ac:dyDescent="0.25">
      <c r="A20" s="213">
        <v>6559</v>
      </c>
      <c r="B20" s="213">
        <v>188</v>
      </c>
      <c r="C20" s="214" t="s">
        <v>197</v>
      </c>
      <c r="D20" s="214" t="s">
        <v>336</v>
      </c>
      <c r="E20" s="214">
        <v>19</v>
      </c>
      <c r="F20" s="214" t="s">
        <v>277</v>
      </c>
      <c r="G20" s="213">
        <v>3595</v>
      </c>
      <c r="H20" s="214" t="s">
        <v>331</v>
      </c>
      <c r="I20" s="215" t="s">
        <v>15</v>
      </c>
      <c r="J20" s="216">
        <v>0.31</v>
      </c>
      <c r="K20" s="217" t="s">
        <v>33</v>
      </c>
      <c r="L20" s="218">
        <v>0.1</v>
      </c>
      <c r="M20" s="50"/>
      <c r="N20" s="48"/>
      <c r="O20" s="48"/>
      <c r="P20" s="48"/>
      <c r="Q20" s="49"/>
    </row>
    <row r="21" spans="1:17" ht="15" customHeight="1" x14ac:dyDescent="0.25">
      <c r="A21" s="213">
        <v>6559</v>
      </c>
      <c r="B21" s="213">
        <v>188</v>
      </c>
      <c r="C21" s="214" t="s">
        <v>197</v>
      </c>
      <c r="D21" s="214" t="s">
        <v>336</v>
      </c>
      <c r="E21" s="214">
        <v>19</v>
      </c>
      <c r="F21" s="214" t="s">
        <v>279</v>
      </c>
      <c r="G21" s="213">
        <v>81</v>
      </c>
      <c r="H21" s="214" t="s">
        <v>57</v>
      </c>
      <c r="I21" s="215" t="s">
        <v>51</v>
      </c>
      <c r="J21" s="216">
        <v>1000</v>
      </c>
      <c r="K21" s="217" t="s">
        <v>332</v>
      </c>
      <c r="L21" s="218">
        <v>0.02</v>
      </c>
      <c r="M21" s="50"/>
      <c r="N21" s="48"/>
      <c r="O21" s="48"/>
      <c r="P21" s="48"/>
      <c r="Q21" s="49"/>
    </row>
    <row r="22" spans="1:17" ht="15" customHeight="1" x14ac:dyDescent="0.25">
      <c r="A22" s="213">
        <v>6559</v>
      </c>
      <c r="B22" s="213">
        <v>188</v>
      </c>
      <c r="C22" s="214" t="s">
        <v>197</v>
      </c>
      <c r="D22" s="214" t="s">
        <v>336</v>
      </c>
      <c r="E22" s="214">
        <v>19</v>
      </c>
      <c r="F22" s="214" t="s">
        <v>281</v>
      </c>
      <c r="G22" s="213">
        <v>39</v>
      </c>
      <c r="H22" s="214" t="s">
        <v>76</v>
      </c>
      <c r="I22" s="215" t="s">
        <v>51</v>
      </c>
      <c r="J22" s="216">
        <v>5</v>
      </c>
      <c r="K22" s="217" t="s">
        <v>333</v>
      </c>
      <c r="L22" s="218">
        <v>0.1</v>
      </c>
      <c r="M22" s="48"/>
      <c r="N22" s="48"/>
      <c r="O22" s="48"/>
      <c r="P22" s="48"/>
      <c r="Q22" s="49"/>
    </row>
    <row r="23" spans="1:17" ht="15" customHeight="1" x14ac:dyDescent="0.25">
      <c r="A23" s="213">
        <v>6559</v>
      </c>
      <c r="B23" s="213">
        <v>188</v>
      </c>
      <c r="C23" s="214" t="s">
        <v>197</v>
      </c>
      <c r="D23" s="214" t="s">
        <v>336</v>
      </c>
      <c r="E23" s="214">
        <v>19</v>
      </c>
      <c r="F23" s="214" t="s">
        <v>283</v>
      </c>
      <c r="G23" s="213">
        <v>194</v>
      </c>
      <c r="H23" s="214" t="s">
        <v>48</v>
      </c>
      <c r="I23" s="215" t="s">
        <v>15</v>
      </c>
      <c r="J23" s="216">
        <v>3.3999999999999998E-3</v>
      </c>
      <c r="K23" s="217" t="s">
        <v>334</v>
      </c>
      <c r="L23" s="218">
        <v>0.1</v>
      </c>
      <c r="M23" s="50"/>
      <c r="N23" s="48"/>
      <c r="O23" s="48"/>
      <c r="P23" s="48"/>
      <c r="Q23" s="49"/>
    </row>
    <row r="24" spans="1:17" ht="15" customHeight="1" x14ac:dyDescent="0.25">
      <c r="A24" s="213">
        <v>6559</v>
      </c>
      <c r="B24" s="213">
        <v>188</v>
      </c>
      <c r="C24" s="214" t="s">
        <v>197</v>
      </c>
      <c r="D24" s="214" t="s">
        <v>336</v>
      </c>
      <c r="E24" s="214">
        <v>19</v>
      </c>
      <c r="F24" s="214" t="s">
        <v>285</v>
      </c>
      <c r="G24" s="213">
        <v>3635</v>
      </c>
      <c r="H24" s="214" t="s">
        <v>83</v>
      </c>
      <c r="I24" s="215" t="s">
        <v>51</v>
      </c>
      <c r="J24" s="216">
        <v>0.13800000000000001</v>
      </c>
      <c r="K24" s="217" t="s">
        <v>335</v>
      </c>
      <c r="L24" s="218">
        <v>0.1</v>
      </c>
      <c r="M24" s="50"/>
      <c r="N24" s="48"/>
      <c r="O24" s="48"/>
      <c r="P24" s="48"/>
      <c r="Q24" s="49"/>
    </row>
    <row r="25" spans="1:17" ht="15" customHeight="1" x14ac:dyDescent="0.25">
      <c r="A25" s="213">
        <v>6559</v>
      </c>
      <c r="B25" s="213">
        <v>188</v>
      </c>
      <c r="C25" s="214" t="s">
        <v>197</v>
      </c>
      <c r="D25" s="214" t="s">
        <v>336</v>
      </c>
      <c r="E25" s="214">
        <v>19</v>
      </c>
      <c r="F25" s="214" t="s">
        <v>272</v>
      </c>
      <c r="G25" s="213">
        <v>4155</v>
      </c>
      <c r="H25" s="214" t="s">
        <v>276</v>
      </c>
      <c r="I25" s="215" t="s">
        <v>29</v>
      </c>
      <c r="J25" s="216">
        <v>0.1449</v>
      </c>
      <c r="K25" s="217" t="s">
        <v>25</v>
      </c>
      <c r="L25" s="218">
        <v>0.1</v>
      </c>
      <c r="M25" s="50"/>
      <c r="N25" s="48"/>
      <c r="O25" s="48"/>
      <c r="P25" s="48"/>
      <c r="Q25" s="49"/>
    </row>
    <row r="26" spans="1:17" ht="15" customHeight="1" x14ac:dyDescent="0.25">
      <c r="A26" s="213">
        <v>6560</v>
      </c>
      <c r="B26" s="213">
        <v>189</v>
      </c>
      <c r="C26" s="214" t="s">
        <v>197</v>
      </c>
      <c r="D26" s="214" t="s">
        <v>202</v>
      </c>
      <c r="E26" s="214">
        <v>19</v>
      </c>
      <c r="F26" s="214" t="s">
        <v>13</v>
      </c>
      <c r="G26" s="213">
        <v>19</v>
      </c>
      <c r="H26" s="214" t="s">
        <v>17</v>
      </c>
      <c r="I26" s="215" t="s">
        <v>15</v>
      </c>
      <c r="J26" s="216">
        <v>3.367</v>
      </c>
      <c r="K26" s="217" t="s">
        <v>330</v>
      </c>
      <c r="L26" s="218">
        <v>0.1</v>
      </c>
      <c r="M26" s="48"/>
      <c r="N26" s="48"/>
      <c r="O26" s="48"/>
      <c r="P26" s="48"/>
      <c r="Q26" s="49"/>
    </row>
    <row r="27" spans="1:17" ht="15" customHeight="1" x14ac:dyDescent="0.25">
      <c r="A27" s="213">
        <v>6560</v>
      </c>
      <c r="B27" s="213">
        <v>189</v>
      </c>
      <c r="C27" s="214" t="s">
        <v>197</v>
      </c>
      <c r="D27" s="214" t="s">
        <v>202</v>
      </c>
      <c r="E27" s="214">
        <v>19</v>
      </c>
      <c r="F27" s="214" t="s">
        <v>277</v>
      </c>
      <c r="G27" s="213">
        <v>3595</v>
      </c>
      <c r="H27" s="214" t="s">
        <v>331</v>
      </c>
      <c r="I27" s="215" t="s">
        <v>15</v>
      </c>
      <c r="J27" s="216">
        <v>0.31</v>
      </c>
      <c r="K27" s="217" t="s">
        <v>33</v>
      </c>
      <c r="L27" s="218">
        <v>0.1</v>
      </c>
      <c r="M27" s="48"/>
      <c r="N27" s="48"/>
      <c r="O27" s="48"/>
      <c r="P27" s="48"/>
      <c r="Q27" s="49"/>
    </row>
    <row r="28" spans="1:17" ht="15" customHeight="1" x14ac:dyDescent="0.25">
      <c r="A28" s="213">
        <v>6560</v>
      </c>
      <c r="B28" s="213">
        <v>189</v>
      </c>
      <c r="C28" s="214" t="s">
        <v>197</v>
      </c>
      <c r="D28" s="214" t="s">
        <v>202</v>
      </c>
      <c r="E28" s="214">
        <v>19</v>
      </c>
      <c r="F28" s="214" t="s">
        <v>279</v>
      </c>
      <c r="G28" s="213">
        <v>81</v>
      </c>
      <c r="H28" s="214" t="s">
        <v>57</v>
      </c>
      <c r="I28" s="215" t="s">
        <v>51</v>
      </c>
      <c r="J28" s="216">
        <v>1000</v>
      </c>
      <c r="K28" s="217" t="s">
        <v>332</v>
      </c>
      <c r="L28" s="218">
        <v>0.02</v>
      </c>
      <c r="M28" s="48"/>
      <c r="N28" s="48"/>
      <c r="O28" s="48"/>
      <c r="P28" s="48"/>
      <c r="Q28" s="49"/>
    </row>
    <row r="29" spans="1:17" ht="15" customHeight="1" x14ac:dyDescent="0.25">
      <c r="A29" s="213">
        <v>6560</v>
      </c>
      <c r="B29" s="213">
        <v>189</v>
      </c>
      <c r="C29" s="214" t="s">
        <v>197</v>
      </c>
      <c r="D29" s="214" t="s">
        <v>202</v>
      </c>
      <c r="E29" s="214">
        <v>19</v>
      </c>
      <c r="F29" s="214" t="s">
        <v>281</v>
      </c>
      <c r="G29" s="213">
        <v>39</v>
      </c>
      <c r="H29" s="214" t="s">
        <v>76</v>
      </c>
      <c r="I29" s="215" t="s">
        <v>51</v>
      </c>
      <c r="J29" s="216">
        <v>5</v>
      </c>
      <c r="K29" s="217" t="s">
        <v>333</v>
      </c>
      <c r="L29" s="218">
        <v>0.1</v>
      </c>
      <c r="M29" s="50"/>
      <c r="N29" s="48"/>
      <c r="O29" s="48"/>
      <c r="P29" s="48"/>
      <c r="Q29" s="49"/>
    </row>
    <row r="30" spans="1:17" ht="15" customHeight="1" x14ac:dyDescent="0.25">
      <c r="A30" s="213">
        <v>6560</v>
      </c>
      <c r="B30" s="213">
        <v>189</v>
      </c>
      <c r="C30" s="214" t="s">
        <v>197</v>
      </c>
      <c r="D30" s="214" t="s">
        <v>202</v>
      </c>
      <c r="E30" s="214">
        <v>19</v>
      </c>
      <c r="F30" s="214" t="s">
        <v>283</v>
      </c>
      <c r="G30" s="213">
        <v>194</v>
      </c>
      <c r="H30" s="214" t="s">
        <v>48</v>
      </c>
      <c r="I30" s="215" t="s">
        <v>15</v>
      </c>
      <c r="J30" s="216">
        <v>3.3999999999999998E-3</v>
      </c>
      <c r="K30" s="217" t="s">
        <v>334</v>
      </c>
      <c r="L30" s="218">
        <v>0.1</v>
      </c>
      <c r="M30" s="50"/>
      <c r="N30" s="48"/>
      <c r="O30" s="48"/>
      <c r="P30" s="48"/>
      <c r="Q30" s="49"/>
    </row>
    <row r="31" spans="1:17" ht="15" customHeight="1" x14ac:dyDescent="0.25">
      <c r="A31" s="213">
        <v>6560</v>
      </c>
      <c r="B31" s="213">
        <v>189</v>
      </c>
      <c r="C31" s="214" t="s">
        <v>197</v>
      </c>
      <c r="D31" s="214" t="s">
        <v>202</v>
      </c>
      <c r="E31" s="214">
        <v>19</v>
      </c>
      <c r="F31" s="214" t="s">
        <v>285</v>
      </c>
      <c r="G31" s="213">
        <v>3635</v>
      </c>
      <c r="H31" s="214" t="s">
        <v>83</v>
      </c>
      <c r="I31" s="215" t="s">
        <v>51</v>
      </c>
      <c r="J31" s="216">
        <v>0.13800000000000001</v>
      </c>
      <c r="K31" s="217" t="s">
        <v>335</v>
      </c>
      <c r="L31" s="218">
        <v>0.1</v>
      </c>
      <c r="M31" s="48"/>
      <c r="N31" s="48"/>
      <c r="O31" s="48"/>
      <c r="P31" s="48"/>
      <c r="Q31" s="49"/>
    </row>
    <row r="32" spans="1:17" ht="15" customHeight="1" x14ac:dyDescent="0.25">
      <c r="A32" s="213">
        <v>6560</v>
      </c>
      <c r="B32" s="213">
        <v>189</v>
      </c>
      <c r="C32" s="214" t="s">
        <v>197</v>
      </c>
      <c r="D32" s="214" t="s">
        <v>202</v>
      </c>
      <c r="E32" s="214">
        <v>19</v>
      </c>
      <c r="F32" s="214" t="s">
        <v>272</v>
      </c>
      <c r="G32" s="213">
        <v>4155</v>
      </c>
      <c r="H32" s="214" t="s">
        <v>276</v>
      </c>
      <c r="I32" s="215" t="s">
        <v>29</v>
      </c>
      <c r="J32" s="216">
        <v>0.1449</v>
      </c>
      <c r="K32" s="217" t="s">
        <v>25</v>
      </c>
      <c r="L32" s="218">
        <v>0.1</v>
      </c>
      <c r="M32" s="50"/>
      <c r="N32" s="48"/>
      <c r="O32" s="48"/>
      <c r="P32" s="48"/>
      <c r="Q32" s="49"/>
    </row>
    <row r="33" spans="1:17" ht="15" customHeight="1" x14ac:dyDescent="0.25">
      <c r="A33" s="213">
        <v>6077</v>
      </c>
      <c r="B33" s="213">
        <v>138</v>
      </c>
      <c r="C33" s="214" t="s">
        <v>175</v>
      </c>
      <c r="D33" s="214" t="s">
        <v>204</v>
      </c>
      <c r="E33" s="214">
        <v>20.5</v>
      </c>
      <c r="F33" s="214" t="s">
        <v>265</v>
      </c>
      <c r="G33" s="213">
        <v>4179</v>
      </c>
      <c r="H33" s="214" t="s">
        <v>18</v>
      </c>
      <c r="I33" s="215" t="s">
        <v>15</v>
      </c>
      <c r="J33" s="216">
        <v>3.9369999999999998</v>
      </c>
      <c r="K33" s="217" t="s">
        <v>330</v>
      </c>
      <c r="L33" s="218">
        <v>0.1</v>
      </c>
      <c r="M33" s="50"/>
      <c r="N33" s="48"/>
      <c r="O33" s="48"/>
      <c r="P33" s="48"/>
      <c r="Q33" s="49"/>
    </row>
    <row r="34" spans="1:17" ht="15" customHeight="1" x14ac:dyDescent="0.25">
      <c r="A34" s="213">
        <v>6077</v>
      </c>
      <c r="B34" s="213">
        <v>138</v>
      </c>
      <c r="C34" s="214" t="s">
        <v>175</v>
      </c>
      <c r="D34" s="214" t="s">
        <v>204</v>
      </c>
      <c r="E34" s="214">
        <v>20.5</v>
      </c>
      <c r="F34" s="214" t="s">
        <v>277</v>
      </c>
      <c r="G34" s="213">
        <v>3595</v>
      </c>
      <c r="H34" s="214" t="s">
        <v>331</v>
      </c>
      <c r="I34" s="215" t="s">
        <v>15</v>
      </c>
      <c r="J34" s="216">
        <v>0.31</v>
      </c>
      <c r="K34" s="217" t="s">
        <v>33</v>
      </c>
      <c r="L34" s="218">
        <v>0.1</v>
      </c>
      <c r="M34" s="50"/>
      <c r="N34" s="48"/>
      <c r="O34" s="48"/>
      <c r="P34" s="48"/>
      <c r="Q34" s="49"/>
    </row>
    <row r="35" spans="1:17" ht="15" customHeight="1" x14ac:dyDescent="0.25">
      <c r="A35" s="213">
        <v>6077</v>
      </c>
      <c r="B35" s="213">
        <v>138</v>
      </c>
      <c r="C35" s="214" t="s">
        <v>175</v>
      </c>
      <c r="D35" s="214" t="s">
        <v>204</v>
      </c>
      <c r="E35" s="214">
        <v>20.5</v>
      </c>
      <c r="F35" s="214" t="s">
        <v>279</v>
      </c>
      <c r="G35" s="213">
        <v>7370</v>
      </c>
      <c r="H35" s="214" t="s">
        <v>65</v>
      </c>
      <c r="I35" s="215" t="s">
        <v>51</v>
      </c>
      <c r="J35" s="216">
        <v>1000</v>
      </c>
      <c r="K35" s="217" t="s">
        <v>332</v>
      </c>
      <c r="L35" s="218">
        <v>0.02</v>
      </c>
      <c r="M35" s="48"/>
      <c r="N35" s="48"/>
      <c r="O35" s="48"/>
      <c r="P35" s="48"/>
      <c r="Q35" s="49"/>
    </row>
    <row r="36" spans="1:17" ht="15" customHeight="1" x14ac:dyDescent="0.25">
      <c r="A36" s="213">
        <v>6077</v>
      </c>
      <c r="B36" s="213">
        <v>138</v>
      </c>
      <c r="C36" s="214" t="s">
        <v>175</v>
      </c>
      <c r="D36" s="214" t="s">
        <v>204</v>
      </c>
      <c r="E36" s="214">
        <v>20.5</v>
      </c>
      <c r="F36" s="214" t="s">
        <v>281</v>
      </c>
      <c r="G36" s="213">
        <v>3619</v>
      </c>
      <c r="H36" s="214" t="s">
        <v>77</v>
      </c>
      <c r="I36" s="215" t="s">
        <v>51</v>
      </c>
      <c r="J36" s="216">
        <v>1.7</v>
      </c>
      <c r="K36" s="217" t="s">
        <v>333</v>
      </c>
      <c r="L36" s="218">
        <v>0.1</v>
      </c>
      <c r="M36" s="48"/>
      <c r="N36" s="48"/>
      <c r="O36" s="48"/>
      <c r="P36" s="48"/>
      <c r="Q36" s="49"/>
    </row>
    <row r="37" spans="1:17" ht="15" customHeight="1" x14ac:dyDescent="0.25">
      <c r="A37" s="213">
        <v>6077</v>
      </c>
      <c r="B37" s="213">
        <v>138</v>
      </c>
      <c r="C37" s="214" t="s">
        <v>175</v>
      </c>
      <c r="D37" s="214" t="s">
        <v>204</v>
      </c>
      <c r="E37" s="214">
        <v>20.5</v>
      </c>
      <c r="F37" s="214" t="s">
        <v>283</v>
      </c>
      <c r="G37" s="213">
        <v>194</v>
      </c>
      <c r="H37" s="214" t="s">
        <v>48</v>
      </c>
      <c r="I37" s="215" t="s">
        <v>15</v>
      </c>
      <c r="J37" s="216">
        <v>3.3999999999999998E-3</v>
      </c>
      <c r="K37" s="217" t="s">
        <v>337</v>
      </c>
      <c r="L37" s="218">
        <v>0.1</v>
      </c>
      <c r="M37" s="48"/>
      <c r="N37" s="48"/>
      <c r="O37" s="48"/>
      <c r="P37" s="48"/>
      <c r="Q37" s="49"/>
    </row>
    <row r="38" spans="1:17" ht="15" customHeight="1" x14ac:dyDescent="0.25">
      <c r="A38" s="213">
        <v>6077</v>
      </c>
      <c r="B38" s="213">
        <v>138</v>
      </c>
      <c r="C38" s="214" t="s">
        <v>175</v>
      </c>
      <c r="D38" s="214" t="s">
        <v>204</v>
      </c>
      <c r="E38" s="214">
        <v>20.5</v>
      </c>
      <c r="F38" s="214" t="s">
        <v>272</v>
      </c>
      <c r="G38" s="213">
        <v>4155</v>
      </c>
      <c r="H38" s="214" t="s">
        <v>276</v>
      </c>
      <c r="I38" s="215" t="s">
        <v>15</v>
      </c>
      <c r="J38" s="216">
        <v>0.1449</v>
      </c>
      <c r="K38" s="217" t="s">
        <v>25</v>
      </c>
      <c r="L38" s="218">
        <v>0.1</v>
      </c>
      <c r="M38" s="50"/>
      <c r="N38" s="48"/>
      <c r="O38" s="48"/>
      <c r="P38" s="48"/>
      <c r="Q38" s="49"/>
    </row>
    <row r="39" spans="1:17" ht="15" customHeight="1" x14ac:dyDescent="0.25">
      <c r="A39" s="213">
        <v>6077</v>
      </c>
      <c r="B39" s="213">
        <v>138</v>
      </c>
      <c r="C39" s="214" t="s">
        <v>175</v>
      </c>
      <c r="D39" s="214" t="s">
        <v>204</v>
      </c>
      <c r="E39" s="214">
        <v>20.5</v>
      </c>
      <c r="F39" s="214" t="s">
        <v>285</v>
      </c>
      <c r="G39" s="213">
        <v>3635</v>
      </c>
      <c r="H39" s="214" t="s">
        <v>83</v>
      </c>
      <c r="I39" s="215" t="s">
        <v>51</v>
      </c>
      <c r="J39" s="216">
        <v>5.8999999999999997E-2</v>
      </c>
      <c r="K39" s="217" t="s">
        <v>82</v>
      </c>
      <c r="L39" s="218">
        <v>0.1</v>
      </c>
      <c r="M39" s="50"/>
      <c r="N39" s="48"/>
      <c r="O39" s="48"/>
      <c r="P39" s="48"/>
      <c r="Q39" s="49"/>
    </row>
    <row r="40" spans="1:17" ht="15" customHeight="1" x14ac:dyDescent="0.25">
      <c r="A40" s="213">
        <v>5698</v>
      </c>
      <c r="B40" s="213">
        <v>22</v>
      </c>
      <c r="C40" s="214" t="s">
        <v>168</v>
      </c>
      <c r="D40" s="214" t="s">
        <v>206</v>
      </c>
      <c r="E40" s="214">
        <v>20.5</v>
      </c>
      <c r="F40" s="214" t="s">
        <v>265</v>
      </c>
      <c r="G40" s="213">
        <v>4179</v>
      </c>
      <c r="H40" s="214" t="s">
        <v>18</v>
      </c>
      <c r="I40" s="215" t="s">
        <v>15</v>
      </c>
      <c r="J40" s="216">
        <v>3.9369999999999998</v>
      </c>
      <c r="K40" s="217" t="s">
        <v>330</v>
      </c>
      <c r="L40" s="218">
        <v>0.1</v>
      </c>
      <c r="M40" s="48"/>
      <c r="N40" s="48"/>
      <c r="O40" s="48"/>
      <c r="P40" s="48"/>
      <c r="Q40" s="49"/>
    </row>
    <row r="41" spans="1:17" ht="15" customHeight="1" x14ac:dyDescent="0.25">
      <c r="A41" s="213">
        <v>5698</v>
      </c>
      <c r="B41" s="213">
        <v>22</v>
      </c>
      <c r="C41" s="214" t="s">
        <v>168</v>
      </c>
      <c r="D41" s="214" t="s">
        <v>206</v>
      </c>
      <c r="E41" s="214">
        <v>20.5</v>
      </c>
      <c r="F41" s="214" t="s">
        <v>277</v>
      </c>
      <c r="G41" s="213">
        <v>3595</v>
      </c>
      <c r="H41" s="214" t="s">
        <v>331</v>
      </c>
      <c r="I41" s="215" t="s">
        <v>15</v>
      </c>
      <c r="J41" s="216">
        <v>0.38500000000000001</v>
      </c>
      <c r="K41" s="217" t="s">
        <v>33</v>
      </c>
      <c r="L41" s="218">
        <v>0.1</v>
      </c>
      <c r="M41" s="50"/>
      <c r="N41" s="48"/>
      <c r="O41" s="48"/>
      <c r="P41" s="48"/>
      <c r="Q41" s="49"/>
    </row>
    <row r="42" spans="1:17" ht="15" customHeight="1" x14ac:dyDescent="0.25">
      <c r="A42" s="213">
        <v>5698</v>
      </c>
      <c r="B42" s="213">
        <v>22</v>
      </c>
      <c r="C42" s="214" t="s">
        <v>168</v>
      </c>
      <c r="D42" s="214" t="s">
        <v>206</v>
      </c>
      <c r="E42" s="214">
        <v>20.5</v>
      </c>
      <c r="F42" s="214" t="s">
        <v>279</v>
      </c>
      <c r="G42" s="213">
        <v>6971</v>
      </c>
      <c r="H42" s="214" t="s">
        <v>64</v>
      </c>
      <c r="I42" s="215" t="s">
        <v>51</v>
      </c>
      <c r="J42" s="216">
        <v>1000</v>
      </c>
      <c r="K42" s="217" t="s">
        <v>332</v>
      </c>
      <c r="L42" s="218">
        <v>0.02</v>
      </c>
      <c r="M42" s="50"/>
      <c r="N42" s="48"/>
      <c r="O42" s="48"/>
      <c r="P42" s="48"/>
      <c r="Q42" s="49"/>
    </row>
    <row r="43" spans="1:17" ht="15" customHeight="1" x14ac:dyDescent="0.25">
      <c r="A43" s="213">
        <v>5698</v>
      </c>
      <c r="B43" s="213">
        <v>22</v>
      </c>
      <c r="C43" s="214" t="s">
        <v>168</v>
      </c>
      <c r="D43" s="214" t="s">
        <v>206</v>
      </c>
      <c r="E43" s="214">
        <v>20.5</v>
      </c>
      <c r="F43" s="214" t="s">
        <v>281</v>
      </c>
      <c r="G43" s="213">
        <v>3619</v>
      </c>
      <c r="H43" s="214" t="s">
        <v>77</v>
      </c>
      <c r="I43" s="215" t="s">
        <v>51</v>
      </c>
      <c r="J43" s="216">
        <v>2.976</v>
      </c>
      <c r="K43" s="217" t="s">
        <v>333</v>
      </c>
      <c r="L43" s="218">
        <v>0.1</v>
      </c>
      <c r="M43" s="48"/>
      <c r="N43" s="48"/>
      <c r="O43" s="48"/>
      <c r="P43" s="48"/>
      <c r="Q43" s="49"/>
    </row>
    <row r="44" spans="1:17" ht="15" customHeight="1" x14ac:dyDescent="0.25">
      <c r="A44" s="213">
        <v>5698</v>
      </c>
      <c r="B44" s="213">
        <v>22</v>
      </c>
      <c r="C44" s="214" t="s">
        <v>168</v>
      </c>
      <c r="D44" s="214" t="s">
        <v>206</v>
      </c>
      <c r="E44" s="214">
        <v>20.5</v>
      </c>
      <c r="F44" s="214" t="s">
        <v>283</v>
      </c>
      <c r="G44" s="213">
        <v>194</v>
      </c>
      <c r="H44" s="214" t="s">
        <v>48</v>
      </c>
      <c r="I44" s="215" t="s">
        <v>15</v>
      </c>
      <c r="J44" s="216">
        <v>4.0899999999999999E-3</v>
      </c>
      <c r="K44" s="217" t="s">
        <v>334</v>
      </c>
      <c r="L44" s="218">
        <v>0.1</v>
      </c>
      <c r="M44" s="48"/>
      <c r="N44" s="48"/>
      <c r="O44" s="48"/>
      <c r="P44" s="48"/>
      <c r="Q44" s="49"/>
    </row>
    <row r="45" spans="1:17" ht="15" customHeight="1" x14ac:dyDescent="0.25">
      <c r="A45" s="213">
        <v>5698</v>
      </c>
      <c r="B45" s="213">
        <v>22</v>
      </c>
      <c r="C45" s="214" t="s">
        <v>168</v>
      </c>
      <c r="D45" s="214" t="s">
        <v>206</v>
      </c>
      <c r="E45" s="214">
        <v>20.5</v>
      </c>
      <c r="F45" s="214" t="s">
        <v>272</v>
      </c>
      <c r="G45" s="213">
        <v>4155</v>
      </c>
      <c r="H45" s="214" t="s">
        <v>276</v>
      </c>
      <c r="I45" s="215" t="s">
        <v>29</v>
      </c>
      <c r="J45" s="216">
        <v>0.24</v>
      </c>
      <c r="K45" s="217" t="s">
        <v>25</v>
      </c>
      <c r="L45" s="218">
        <v>0.1</v>
      </c>
      <c r="M45" s="48"/>
      <c r="N45" s="48"/>
      <c r="O45" s="48"/>
      <c r="P45" s="48"/>
      <c r="Q45" s="49"/>
    </row>
    <row r="46" spans="1:17" ht="15" customHeight="1" x14ac:dyDescent="0.25">
      <c r="A46" s="213">
        <v>5698</v>
      </c>
      <c r="B46" s="213">
        <v>22</v>
      </c>
      <c r="C46" s="214" t="s">
        <v>168</v>
      </c>
      <c r="D46" s="214" t="s">
        <v>206</v>
      </c>
      <c r="E46" s="214">
        <v>20.5</v>
      </c>
      <c r="F46" s="214" t="s">
        <v>285</v>
      </c>
      <c r="G46" s="213">
        <v>3635</v>
      </c>
      <c r="H46" s="214" t="s">
        <v>83</v>
      </c>
      <c r="I46" s="215" t="s">
        <v>51</v>
      </c>
      <c r="J46" s="216">
        <v>5.8999999999999997E-2</v>
      </c>
      <c r="K46" s="217" t="s">
        <v>335</v>
      </c>
      <c r="L46" s="218">
        <v>0.1</v>
      </c>
      <c r="M46" s="50"/>
      <c r="N46" s="48"/>
      <c r="O46" s="48"/>
      <c r="P46" s="48"/>
      <c r="Q46" s="49"/>
    </row>
    <row r="47" spans="1:17" ht="15" customHeight="1" x14ac:dyDescent="0.25">
      <c r="A47" s="213">
        <v>5699</v>
      </c>
      <c r="B47" s="213">
        <v>21</v>
      </c>
      <c r="C47" s="214" t="s">
        <v>168</v>
      </c>
      <c r="D47" s="214" t="s">
        <v>203</v>
      </c>
      <c r="E47" s="214">
        <v>20.5</v>
      </c>
      <c r="F47" s="214" t="s">
        <v>265</v>
      </c>
      <c r="G47" s="213">
        <v>4179</v>
      </c>
      <c r="H47" s="214" t="s">
        <v>18</v>
      </c>
      <c r="I47" s="215" t="s">
        <v>15</v>
      </c>
      <c r="J47" s="216">
        <v>3.9369999999999998</v>
      </c>
      <c r="K47" s="217" t="s">
        <v>330</v>
      </c>
      <c r="L47" s="218">
        <v>0.1</v>
      </c>
      <c r="M47" s="48"/>
      <c r="N47" s="48"/>
      <c r="O47" s="48"/>
      <c r="P47" s="48"/>
      <c r="Q47" s="49"/>
    </row>
    <row r="48" spans="1:17" ht="15" customHeight="1" x14ac:dyDescent="0.25">
      <c r="A48" s="213">
        <v>5699</v>
      </c>
      <c r="B48" s="213">
        <v>21</v>
      </c>
      <c r="C48" s="214" t="s">
        <v>168</v>
      </c>
      <c r="D48" s="214" t="s">
        <v>203</v>
      </c>
      <c r="E48" s="214">
        <v>20.5</v>
      </c>
      <c r="F48" s="214" t="s">
        <v>277</v>
      </c>
      <c r="G48" s="213">
        <v>3595</v>
      </c>
      <c r="H48" s="214" t="s">
        <v>331</v>
      </c>
      <c r="I48" s="215" t="s">
        <v>15</v>
      </c>
      <c r="J48" s="216">
        <v>0.38500000000000001</v>
      </c>
      <c r="K48" s="217" t="s">
        <v>33</v>
      </c>
      <c r="L48" s="218">
        <v>0.1</v>
      </c>
      <c r="M48" s="50"/>
      <c r="N48" s="48"/>
      <c r="O48" s="48"/>
      <c r="P48" s="48"/>
      <c r="Q48" s="49"/>
    </row>
    <row r="49" spans="1:17" ht="15" customHeight="1" x14ac:dyDescent="0.25">
      <c r="A49" s="213">
        <v>5699</v>
      </c>
      <c r="B49" s="213">
        <v>21</v>
      </c>
      <c r="C49" s="214" t="s">
        <v>168</v>
      </c>
      <c r="D49" s="214" t="s">
        <v>203</v>
      </c>
      <c r="E49" s="214">
        <v>20.5</v>
      </c>
      <c r="F49" s="214" t="s">
        <v>279</v>
      </c>
      <c r="G49" s="213">
        <v>6971</v>
      </c>
      <c r="H49" s="214" t="s">
        <v>64</v>
      </c>
      <c r="I49" s="215" t="s">
        <v>51</v>
      </c>
      <c r="J49" s="216">
        <v>1000</v>
      </c>
      <c r="K49" s="217" t="s">
        <v>332</v>
      </c>
      <c r="L49" s="218">
        <v>0.02</v>
      </c>
      <c r="M49" s="50"/>
      <c r="N49" s="48"/>
      <c r="O49" s="48"/>
      <c r="P49" s="48"/>
      <c r="Q49" s="49"/>
    </row>
    <row r="50" spans="1:17" ht="15" customHeight="1" x14ac:dyDescent="0.25">
      <c r="A50" s="213">
        <v>5699</v>
      </c>
      <c r="B50" s="213">
        <v>21</v>
      </c>
      <c r="C50" s="214" t="s">
        <v>168</v>
      </c>
      <c r="D50" s="214" t="s">
        <v>203</v>
      </c>
      <c r="E50" s="214">
        <v>20.5</v>
      </c>
      <c r="F50" s="214" t="s">
        <v>281</v>
      </c>
      <c r="G50" s="213">
        <v>3619</v>
      </c>
      <c r="H50" s="214" t="s">
        <v>77</v>
      </c>
      <c r="I50" s="215" t="s">
        <v>51</v>
      </c>
      <c r="J50" s="216">
        <v>1.9607000000000001</v>
      </c>
      <c r="K50" s="217" t="s">
        <v>333</v>
      </c>
      <c r="L50" s="218">
        <v>0.1</v>
      </c>
      <c r="M50" s="48"/>
      <c r="N50" s="48"/>
      <c r="O50" s="48"/>
      <c r="P50" s="48"/>
      <c r="Q50" s="49"/>
    </row>
    <row r="51" spans="1:17" ht="15" customHeight="1" x14ac:dyDescent="0.25">
      <c r="A51" s="213">
        <v>5699</v>
      </c>
      <c r="B51" s="213">
        <v>21</v>
      </c>
      <c r="C51" s="214" t="s">
        <v>168</v>
      </c>
      <c r="D51" s="214" t="s">
        <v>203</v>
      </c>
      <c r="E51" s="214">
        <v>20.5</v>
      </c>
      <c r="F51" s="214" t="s">
        <v>283</v>
      </c>
      <c r="G51" s="213">
        <v>194</v>
      </c>
      <c r="H51" s="214" t="s">
        <v>48</v>
      </c>
      <c r="I51" s="215" t="s">
        <v>15</v>
      </c>
      <c r="J51" s="216">
        <v>4.0899999999999999E-3</v>
      </c>
      <c r="K51" s="217" t="s">
        <v>334</v>
      </c>
      <c r="L51" s="218">
        <v>0.1</v>
      </c>
      <c r="M51" s="48"/>
      <c r="N51" s="48"/>
      <c r="O51" s="48"/>
      <c r="P51" s="48"/>
      <c r="Q51" s="49"/>
    </row>
    <row r="52" spans="1:17" ht="15" customHeight="1" x14ac:dyDescent="0.25">
      <c r="A52" s="213">
        <v>5699</v>
      </c>
      <c r="B52" s="213">
        <v>21</v>
      </c>
      <c r="C52" s="214" t="s">
        <v>168</v>
      </c>
      <c r="D52" s="214" t="s">
        <v>203</v>
      </c>
      <c r="E52" s="214">
        <v>20.5</v>
      </c>
      <c r="F52" s="214" t="s">
        <v>272</v>
      </c>
      <c r="G52" s="213">
        <v>4155</v>
      </c>
      <c r="H52" s="214" t="s">
        <v>276</v>
      </c>
      <c r="I52" s="215" t="s">
        <v>29</v>
      </c>
      <c r="J52" s="216">
        <v>0.24</v>
      </c>
      <c r="K52" s="217" t="s">
        <v>25</v>
      </c>
      <c r="L52" s="218">
        <v>0.1</v>
      </c>
      <c r="M52" s="48"/>
      <c r="N52" s="48"/>
      <c r="O52" s="48"/>
      <c r="P52" s="48"/>
      <c r="Q52" s="49"/>
    </row>
    <row r="53" spans="1:17" ht="15" customHeight="1" x14ac:dyDescent="0.25">
      <c r="A53" s="213">
        <v>5699</v>
      </c>
      <c r="B53" s="213">
        <v>21</v>
      </c>
      <c r="C53" s="214" t="s">
        <v>168</v>
      </c>
      <c r="D53" s="214" t="s">
        <v>203</v>
      </c>
      <c r="E53" s="214">
        <v>20.5</v>
      </c>
      <c r="F53" s="214" t="s">
        <v>285</v>
      </c>
      <c r="G53" s="213">
        <v>3635</v>
      </c>
      <c r="H53" s="214" t="s">
        <v>83</v>
      </c>
      <c r="I53" s="215" t="s">
        <v>51</v>
      </c>
      <c r="J53" s="216">
        <v>5.8999999999999997E-2</v>
      </c>
      <c r="K53" s="217" t="s">
        <v>335</v>
      </c>
      <c r="L53" s="218">
        <v>0.1</v>
      </c>
      <c r="M53" s="50"/>
      <c r="N53" s="48"/>
      <c r="O53" s="48"/>
      <c r="P53" s="48"/>
      <c r="Q53" s="49"/>
    </row>
    <row r="54" spans="1:17" ht="15" customHeight="1" x14ac:dyDescent="0.25">
      <c r="A54" s="213">
        <v>5731</v>
      </c>
      <c r="B54" s="213">
        <v>32</v>
      </c>
      <c r="C54" s="214" t="s">
        <v>168</v>
      </c>
      <c r="D54" s="214" t="s">
        <v>205</v>
      </c>
      <c r="E54" s="214">
        <v>20.5</v>
      </c>
      <c r="F54" s="214" t="s">
        <v>265</v>
      </c>
      <c r="G54" s="213">
        <v>4179</v>
      </c>
      <c r="H54" s="214" t="s">
        <v>18</v>
      </c>
      <c r="I54" s="215" t="s">
        <v>15</v>
      </c>
      <c r="J54" s="216">
        <v>3.9369999999999998</v>
      </c>
      <c r="K54" s="217" t="s">
        <v>330</v>
      </c>
      <c r="L54" s="218">
        <v>0.1</v>
      </c>
      <c r="M54" s="48"/>
      <c r="N54" s="48"/>
      <c r="O54" s="48"/>
      <c r="P54" s="48"/>
      <c r="Q54" s="49"/>
    </row>
    <row r="55" spans="1:17" ht="15" customHeight="1" x14ac:dyDescent="0.25">
      <c r="A55" s="213">
        <v>5731</v>
      </c>
      <c r="B55" s="213">
        <v>32</v>
      </c>
      <c r="C55" s="214" t="s">
        <v>168</v>
      </c>
      <c r="D55" s="214" t="s">
        <v>205</v>
      </c>
      <c r="E55" s="214">
        <v>20.5</v>
      </c>
      <c r="F55" s="214" t="s">
        <v>277</v>
      </c>
      <c r="G55" s="213">
        <v>3595</v>
      </c>
      <c r="H55" s="214" t="s">
        <v>331</v>
      </c>
      <c r="I55" s="215" t="s">
        <v>15</v>
      </c>
      <c r="J55" s="216">
        <v>0.38500000000000001</v>
      </c>
      <c r="K55" s="217" t="s">
        <v>33</v>
      </c>
      <c r="L55" s="218">
        <v>0.1</v>
      </c>
      <c r="M55" s="50"/>
      <c r="N55" s="48"/>
      <c r="O55" s="48"/>
      <c r="P55" s="48"/>
      <c r="Q55" s="49"/>
    </row>
    <row r="56" spans="1:17" ht="15" customHeight="1" x14ac:dyDescent="0.25">
      <c r="A56" s="213">
        <v>5731</v>
      </c>
      <c r="B56" s="213">
        <v>32</v>
      </c>
      <c r="C56" s="214" t="s">
        <v>168</v>
      </c>
      <c r="D56" s="214" t="s">
        <v>205</v>
      </c>
      <c r="E56" s="214">
        <v>20.5</v>
      </c>
      <c r="F56" s="214" t="s">
        <v>279</v>
      </c>
      <c r="G56" s="213">
        <v>6971</v>
      </c>
      <c r="H56" s="214" t="s">
        <v>64</v>
      </c>
      <c r="I56" s="215" t="s">
        <v>51</v>
      </c>
      <c r="J56" s="216">
        <v>1000</v>
      </c>
      <c r="K56" s="217" t="s">
        <v>332</v>
      </c>
      <c r="L56" s="218">
        <v>0.02</v>
      </c>
      <c r="M56" s="50"/>
      <c r="N56" s="48"/>
      <c r="O56" s="48"/>
      <c r="P56" s="48"/>
      <c r="Q56" s="49"/>
    </row>
    <row r="57" spans="1:17" ht="15" customHeight="1" x14ac:dyDescent="0.25">
      <c r="A57" s="213">
        <v>5731</v>
      </c>
      <c r="B57" s="213">
        <v>32</v>
      </c>
      <c r="C57" s="214" t="s">
        <v>168</v>
      </c>
      <c r="D57" s="214" t="s">
        <v>205</v>
      </c>
      <c r="E57" s="214">
        <v>20.5</v>
      </c>
      <c r="F57" s="214" t="s">
        <v>281</v>
      </c>
      <c r="G57" s="213">
        <v>3619</v>
      </c>
      <c r="H57" s="214" t="s">
        <v>77</v>
      </c>
      <c r="I57" s="215" t="s">
        <v>51</v>
      </c>
      <c r="J57" s="216">
        <v>1.96</v>
      </c>
      <c r="K57" s="217" t="s">
        <v>333</v>
      </c>
      <c r="L57" s="218">
        <v>0.1</v>
      </c>
      <c r="M57" s="48"/>
      <c r="N57" s="48"/>
      <c r="O57" s="48"/>
      <c r="P57" s="48"/>
      <c r="Q57" s="49"/>
    </row>
    <row r="58" spans="1:17" ht="15" customHeight="1" x14ac:dyDescent="0.25">
      <c r="A58" s="213">
        <v>5731</v>
      </c>
      <c r="B58" s="213">
        <v>32</v>
      </c>
      <c r="C58" s="214" t="s">
        <v>168</v>
      </c>
      <c r="D58" s="214" t="s">
        <v>205</v>
      </c>
      <c r="E58" s="214">
        <v>20.5</v>
      </c>
      <c r="F58" s="214" t="s">
        <v>283</v>
      </c>
      <c r="G58" s="213">
        <v>194</v>
      </c>
      <c r="H58" s="214" t="s">
        <v>48</v>
      </c>
      <c r="I58" s="215" t="s">
        <v>15</v>
      </c>
      <c r="J58" s="216">
        <v>4.0940000000000004E-3</v>
      </c>
      <c r="K58" s="217" t="s">
        <v>334</v>
      </c>
      <c r="L58" s="218">
        <v>0.1</v>
      </c>
      <c r="M58" s="48"/>
      <c r="N58" s="48"/>
      <c r="O58" s="48"/>
      <c r="P58" s="48"/>
      <c r="Q58" s="49"/>
    </row>
    <row r="59" spans="1:17" ht="15" customHeight="1" x14ac:dyDescent="0.25">
      <c r="A59" s="213">
        <v>5731</v>
      </c>
      <c r="B59" s="213">
        <v>32</v>
      </c>
      <c r="C59" s="214" t="s">
        <v>168</v>
      </c>
      <c r="D59" s="214" t="s">
        <v>205</v>
      </c>
      <c r="E59" s="214">
        <v>20.5</v>
      </c>
      <c r="F59" s="214" t="s">
        <v>272</v>
      </c>
      <c r="G59" s="213">
        <v>4155</v>
      </c>
      <c r="H59" s="214" t="s">
        <v>276</v>
      </c>
      <c r="I59" s="215" t="s">
        <v>29</v>
      </c>
      <c r="J59" s="216">
        <v>0.24</v>
      </c>
      <c r="K59" s="217" t="s">
        <v>25</v>
      </c>
      <c r="L59" s="218">
        <v>0.1</v>
      </c>
      <c r="M59" s="48"/>
      <c r="N59" s="48"/>
      <c r="O59" s="48"/>
      <c r="P59" s="48"/>
      <c r="Q59" s="49"/>
    </row>
    <row r="60" spans="1:17" ht="15" customHeight="1" x14ac:dyDescent="0.25">
      <c r="A60" s="213">
        <v>5731</v>
      </c>
      <c r="B60" s="213">
        <v>32</v>
      </c>
      <c r="C60" s="214" t="s">
        <v>168</v>
      </c>
      <c r="D60" s="214" t="s">
        <v>205</v>
      </c>
      <c r="E60" s="214">
        <v>20.5</v>
      </c>
      <c r="F60" s="214" t="s">
        <v>285</v>
      </c>
      <c r="G60" s="213">
        <v>3635</v>
      </c>
      <c r="H60" s="214" t="s">
        <v>83</v>
      </c>
      <c r="I60" s="215" t="s">
        <v>51</v>
      </c>
      <c r="J60" s="216">
        <v>2.996</v>
      </c>
      <c r="K60" s="217" t="s">
        <v>335</v>
      </c>
      <c r="L60" s="218">
        <v>0.1</v>
      </c>
      <c r="M60" s="50"/>
      <c r="N60" s="48"/>
      <c r="O60" s="48"/>
      <c r="P60" s="48"/>
      <c r="Q60" s="49"/>
    </row>
    <row r="61" spans="1:17" ht="15" customHeight="1" x14ac:dyDescent="0.25">
      <c r="A61" s="213">
        <v>5732</v>
      </c>
      <c r="B61" s="213">
        <v>33</v>
      </c>
      <c r="C61" s="214" t="s">
        <v>168</v>
      </c>
      <c r="D61" s="214" t="s">
        <v>207</v>
      </c>
      <c r="E61" s="214">
        <v>20.5</v>
      </c>
      <c r="F61" s="214" t="s">
        <v>265</v>
      </c>
      <c r="G61" s="213">
        <v>4179</v>
      </c>
      <c r="H61" s="214" t="s">
        <v>18</v>
      </c>
      <c r="I61" s="215" t="s">
        <v>15</v>
      </c>
      <c r="J61" s="216">
        <v>3.9369999999999998</v>
      </c>
      <c r="K61" s="217" t="s">
        <v>330</v>
      </c>
      <c r="L61" s="218">
        <v>0.1</v>
      </c>
      <c r="M61" s="50"/>
      <c r="N61" s="48"/>
      <c r="O61" s="48"/>
      <c r="P61" s="48"/>
      <c r="Q61" s="49"/>
    </row>
    <row r="62" spans="1:17" ht="15" customHeight="1" x14ac:dyDescent="0.25">
      <c r="A62" s="213">
        <v>5732</v>
      </c>
      <c r="B62" s="213">
        <v>33</v>
      </c>
      <c r="C62" s="214" t="s">
        <v>168</v>
      </c>
      <c r="D62" s="214" t="s">
        <v>207</v>
      </c>
      <c r="E62" s="214">
        <v>20.5</v>
      </c>
      <c r="F62" s="214" t="s">
        <v>277</v>
      </c>
      <c r="G62" s="213">
        <v>3595</v>
      </c>
      <c r="H62" s="214" t="s">
        <v>331</v>
      </c>
      <c r="I62" s="215" t="s">
        <v>15</v>
      </c>
      <c r="J62" s="216">
        <v>0.38500000000000001</v>
      </c>
      <c r="K62" s="217" t="s">
        <v>33</v>
      </c>
      <c r="L62" s="218">
        <v>0.1</v>
      </c>
      <c r="M62" s="50"/>
      <c r="N62" s="48"/>
      <c r="O62" s="48"/>
      <c r="P62" s="48"/>
      <c r="Q62" s="49"/>
    </row>
    <row r="63" spans="1:17" ht="15" customHeight="1" x14ac:dyDescent="0.25">
      <c r="A63" s="213">
        <v>5732</v>
      </c>
      <c r="B63" s="213">
        <v>33</v>
      </c>
      <c r="C63" s="214" t="s">
        <v>168</v>
      </c>
      <c r="D63" s="214" t="s">
        <v>207</v>
      </c>
      <c r="E63" s="214">
        <v>20.5</v>
      </c>
      <c r="F63" s="214" t="s">
        <v>279</v>
      </c>
      <c r="G63" s="213">
        <v>6971</v>
      </c>
      <c r="H63" s="214" t="s">
        <v>64</v>
      </c>
      <c r="I63" s="215" t="s">
        <v>51</v>
      </c>
      <c r="J63" s="216">
        <v>1000</v>
      </c>
      <c r="K63" s="217" t="s">
        <v>332</v>
      </c>
      <c r="L63" s="218">
        <v>0.02</v>
      </c>
      <c r="M63" s="50"/>
      <c r="N63" s="48"/>
      <c r="O63" s="48"/>
      <c r="P63" s="48"/>
      <c r="Q63" s="49"/>
    </row>
    <row r="64" spans="1:17" ht="15" customHeight="1" x14ac:dyDescent="0.25">
      <c r="A64" s="213">
        <v>5732</v>
      </c>
      <c r="B64" s="213">
        <v>33</v>
      </c>
      <c r="C64" s="214" t="s">
        <v>168</v>
      </c>
      <c r="D64" s="214" t="s">
        <v>207</v>
      </c>
      <c r="E64" s="214">
        <v>20.5</v>
      </c>
      <c r="F64" s="214" t="s">
        <v>281</v>
      </c>
      <c r="G64" s="213">
        <v>3619</v>
      </c>
      <c r="H64" s="214" t="s">
        <v>77</v>
      </c>
      <c r="I64" s="215" t="s">
        <v>51</v>
      </c>
      <c r="J64" s="216">
        <v>1.96</v>
      </c>
      <c r="K64" s="217" t="s">
        <v>333</v>
      </c>
      <c r="L64" s="218">
        <v>0.1</v>
      </c>
      <c r="M64" s="50"/>
      <c r="N64" s="48"/>
      <c r="O64" s="48"/>
      <c r="P64" s="48"/>
      <c r="Q64" s="49"/>
    </row>
    <row r="65" spans="1:17" ht="15" customHeight="1" x14ac:dyDescent="0.25">
      <c r="A65" s="213">
        <v>5732</v>
      </c>
      <c r="B65" s="213">
        <v>33</v>
      </c>
      <c r="C65" s="214" t="s">
        <v>168</v>
      </c>
      <c r="D65" s="214" t="s">
        <v>207</v>
      </c>
      <c r="E65" s="214">
        <v>20.5</v>
      </c>
      <c r="F65" s="214" t="s">
        <v>283</v>
      </c>
      <c r="G65" s="213">
        <v>194</v>
      </c>
      <c r="H65" s="214" t="s">
        <v>48</v>
      </c>
      <c r="I65" s="215" t="s">
        <v>15</v>
      </c>
      <c r="J65" s="216">
        <v>4.0899999999999999E-3</v>
      </c>
      <c r="K65" s="217" t="s">
        <v>337</v>
      </c>
      <c r="L65" s="218">
        <v>0.1</v>
      </c>
      <c r="M65" s="48"/>
      <c r="N65" s="48"/>
      <c r="O65" s="48"/>
      <c r="P65" s="48"/>
      <c r="Q65" s="49"/>
    </row>
    <row r="66" spans="1:17" ht="15" customHeight="1" x14ac:dyDescent="0.25">
      <c r="A66" s="213">
        <v>5732</v>
      </c>
      <c r="B66" s="213">
        <v>33</v>
      </c>
      <c r="C66" s="214" t="s">
        <v>168</v>
      </c>
      <c r="D66" s="214" t="s">
        <v>207</v>
      </c>
      <c r="E66" s="214">
        <v>20.5</v>
      </c>
      <c r="F66" s="214" t="s">
        <v>272</v>
      </c>
      <c r="G66" s="213">
        <v>4155</v>
      </c>
      <c r="H66" s="214" t="s">
        <v>276</v>
      </c>
      <c r="I66" s="215" t="s">
        <v>29</v>
      </c>
      <c r="J66" s="216">
        <v>0.24</v>
      </c>
      <c r="K66" s="217" t="s">
        <v>25</v>
      </c>
      <c r="L66" s="218">
        <v>0.1</v>
      </c>
      <c r="M66" s="50"/>
      <c r="N66" s="48"/>
      <c r="O66" s="48"/>
      <c r="P66" s="48"/>
      <c r="Q66" s="49"/>
    </row>
    <row r="67" spans="1:17" ht="15" customHeight="1" x14ac:dyDescent="0.25">
      <c r="A67" s="213">
        <v>5732</v>
      </c>
      <c r="B67" s="213">
        <v>33</v>
      </c>
      <c r="C67" s="214" t="s">
        <v>168</v>
      </c>
      <c r="D67" s="214" t="s">
        <v>207</v>
      </c>
      <c r="E67" s="214">
        <v>20.5</v>
      </c>
      <c r="F67" s="214" t="s">
        <v>285</v>
      </c>
      <c r="G67" s="213">
        <v>3635</v>
      </c>
      <c r="H67" s="214" t="s">
        <v>83</v>
      </c>
      <c r="I67" s="215" t="s">
        <v>51</v>
      </c>
      <c r="J67" s="216">
        <v>2.996</v>
      </c>
      <c r="K67" s="217" t="s">
        <v>82</v>
      </c>
      <c r="L67" s="218">
        <v>0.1</v>
      </c>
      <c r="M67" s="50"/>
      <c r="N67" s="48"/>
      <c r="O67" s="48"/>
      <c r="P67" s="48"/>
      <c r="Q67" s="49"/>
    </row>
    <row r="68" spans="1:17" ht="15" customHeight="1" x14ac:dyDescent="0.25">
      <c r="A68" s="213">
        <v>6556</v>
      </c>
      <c r="B68" s="213">
        <v>186</v>
      </c>
      <c r="C68" s="214" t="s">
        <v>168</v>
      </c>
      <c r="D68" s="214" t="s">
        <v>208</v>
      </c>
      <c r="E68" s="214">
        <v>20.5</v>
      </c>
      <c r="F68" s="214" t="s">
        <v>265</v>
      </c>
      <c r="G68" s="213">
        <v>4179</v>
      </c>
      <c r="H68" s="214" t="s">
        <v>18</v>
      </c>
      <c r="I68" s="215" t="s">
        <v>15</v>
      </c>
      <c r="J68" s="216">
        <v>3.9369999999999998</v>
      </c>
      <c r="K68" s="217" t="s">
        <v>330</v>
      </c>
      <c r="L68" s="218">
        <v>0.1</v>
      </c>
      <c r="M68" s="50"/>
      <c r="N68" s="48"/>
      <c r="O68" s="48"/>
      <c r="P68" s="48"/>
      <c r="Q68" s="49"/>
    </row>
    <row r="69" spans="1:17" ht="15" customHeight="1" x14ac:dyDescent="0.25">
      <c r="A69" s="213">
        <v>6556</v>
      </c>
      <c r="B69" s="213">
        <v>186</v>
      </c>
      <c r="C69" s="214" t="s">
        <v>168</v>
      </c>
      <c r="D69" s="214" t="s">
        <v>208</v>
      </c>
      <c r="E69" s="214">
        <v>20.5</v>
      </c>
      <c r="F69" s="214" t="s">
        <v>277</v>
      </c>
      <c r="G69" s="213">
        <v>3595</v>
      </c>
      <c r="H69" s="214" t="s">
        <v>331</v>
      </c>
      <c r="I69" s="215" t="s">
        <v>15</v>
      </c>
      <c r="J69" s="216">
        <v>0.38500000000000001</v>
      </c>
      <c r="K69" s="217" t="s">
        <v>33</v>
      </c>
      <c r="L69" s="218">
        <v>0.1</v>
      </c>
      <c r="M69" s="50"/>
      <c r="N69" s="48"/>
      <c r="O69" s="48"/>
      <c r="P69" s="48"/>
      <c r="Q69" s="49"/>
    </row>
    <row r="70" spans="1:17" ht="15" customHeight="1" x14ac:dyDescent="0.25">
      <c r="A70" s="213">
        <v>6556</v>
      </c>
      <c r="B70" s="213">
        <v>186</v>
      </c>
      <c r="C70" s="214" t="s">
        <v>168</v>
      </c>
      <c r="D70" s="214" t="s">
        <v>208</v>
      </c>
      <c r="E70" s="214">
        <v>20.5</v>
      </c>
      <c r="F70" s="214" t="s">
        <v>279</v>
      </c>
      <c r="G70" s="213">
        <v>6971</v>
      </c>
      <c r="H70" s="214" t="s">
        <v>64</v>
      </c>
      <c r="I70" s="215" t="s">
        <v>51</v>
      </c>
      <c r="J70" s="216">
        <v>1000</v>
      </c>
      <c r="K70" s="217" t="s">
        <v>332</v>
      </c>
      <c r="L70" s="218">
        <v>0.02</v>
      </c>
      <c r="M70" s="50"/>
      <c r="N70" s="48"/>
      <c r="O70" s="48"/>
      <c r="P70" s="48"/>
      <c r="Q70" s="49"/>
    </row>
    <row r="71" spans="1:17" ht="15" customHeight="1" x14ac:dyDescent="0.25">
      <c r="A71" s="213">
        <v>6556</v>
      </c>
      <c r="B71" s="213">
        <v>186</v>
      </c>
      <c r="C71" s="214" t="s">
        <v>168</v>
      </c>
      <c r="D71" s="214" t="s">
        <v>208</v>
      </c>
      <c r="E71" s="214">
        <v>20.5</v>
      </c>
      <c r="F71" s="214" t="s">
        <v>281</v>
      </c>
      <c r="G71" s="213">
        <v>3619</v>
      </c>
      <c r="H71" s="214" t="s">
        <v>77</v>
      </c>
      <c r="I71" s="215" t="s">
        <v>51</v>
      </c>
      <c r="J71" s="216">
        <v>1.9607000000000001</v>
      </c>
      <c r="K71" s="217" t="s">
        <v>333</v>
      </c>
      <c r="L71" s="218">
        <v>0.1</v>
      </c>
      <c r="M71" s="50"/>
      <c r="N71" s="48"/>
      <c r="O71" s="48"/>
      <c r="P71" s="48"/>
      <c r="Q71" s="49"/>
    </row>
    <row r="72" spans="1:17" ht="15" customHeight="1" x14ac:dyDescent="0.25">
      <c r="A72" s="213">
        <v>6556</v>
      </c>
      <c r="B72" s="213">
        <v>186</v>
      </c>
      <c r="C72" s="214" t="s">
        <v>168</v>
      </c>
      <c r="D72" s="214" t="s">
        <v>208</v>
      </c>
      <c r="E72" s="214">
        <v>20.5</v>
      </c>
      <c r="F72" s="214" t="s">
        <v>283</v>
      </c>
      <c r="G72" s="213">
        <v>194</v>
      </c>
      <c r="H72" s="214" t="s">
        <v>48</v>
      </c>
      <c r="I72" s="215" t="s">
        <v>15</v>
      </c>
      <c r="J72" s="216">
        <v>4.0899999999999999E-3</v>
      </c>
      <c r="K72" s="217" t="s">
        <v>334</v>
      </c>
      <c r="L72" s="218">
        <v>0.1</v>
      </c>
      <c r="M72" s="48"/>
      <c r="N72" s="48"/>
      <c r="O72" s="48"/>
      <c r="P72" s="48"/>
      <c r="Q72" s="49"/>
    </row>
    <row r="73" spans="1:17" ht="15" customHeight="1" x14ac:dyDescent="0.25">
      <c r="A73" s="213">
        <v>6556</v>
      </c>
      <c r="B73" s="213">
        <v>186</v>
      </c>
      <c r="C73" s="214" t="s">
        <v>168</v>
      </c>
      <c r="D73" s="214" t="s">
        <v>208</v>
      </c>
      <c r="E73" s="214">
        <v>20.5</v>
      </c>
      <c r="F73" s="214" t="s">
        <v>272</v>
      </c>
      <c r="G73" s="213">
        <v>4155</v>
      </c>
      <c r="H73" s="214" t="s">
        <v>276</v>
      </c>
      <c r="I73" s="215" t="s">
        <v>29</v>
      </c>
      <c r="J73" s="216">
        <v>0.24</v>
      </c>
      <c r="K73" s="217" t="s">
        <v>25</v>
      </c>
      <c r="L73" s="218">
        <v>0.1</v>
      </c>
      <c r="M73" s="50"/>
      <c r="N73" s="48"/>
      <c r="O73" s="48"/>
      <c r="P73" s="48"/>
      <c r="Q73" s="49"/>
    </row>
    <row r="74" spans="1:17" ht="15" customHeight="1" x14ac:dyDescent="0.25">
      <c r="A74" s="213">
        <v>6556</v>
      </c>
      <c r="B74" s="213">
        <v>186</v>
      </c>
      <c r="C74" s="214" t="s">
        <v>168</v>
      </c>
      <c r="D74" s="214" t="s">
        <v>208</v>
      </c>
      <c r="E74" s="214">
        <v>20.5</v>
      </c>
      <c r="F74" s="214" t="s">
        <v>285</v>
      </c>
      <c r="G74" s="213">
        <v>3635</v>
      </c>
      <c r="H74" s="214" t="s">
        <v>83</v>
      </c>
      <c r="I74" s="215" t="s">
        <v>51</v>
      </c>
      <c r="J74" s="216">
        <v>5.8999999999999997E-2</v>
      </c>
      <c r="K74" s="217" t="s">
        <v>335</v>
      </c>
      <c r="L74" s="218">
        <v>0.1</v>
      </c>
      <c r="M74" s="50"/>
      <c r="N74" s="48"/>
      <c r="O74" s="48"/>
      <c r="P74" s="48"/>
      <c r="Q74" s="49"/>
    </row>
    <row r="75" spans="1:17" ht="15" customHeight="1" x14ac:dyDescent="0.25">
      <c r="A75" s="213">
        <v>6557</v>
      </c>
      <c r="B75" s="213">
        <v>185</v>
      </c>
      <c r="C75" s="214" t="s">
        <v>168</v>
      </c>
      <c r="D75" s="214" t="s">
        <v>209</v>
      </c>
      <c r="E75" s="214">
        <v>20.5</v>
      </c>
      <c r="F75" s="214" t="s">
        <v>265</v>
      </c>
      <c r="G75" s="213">
        <v>4179</v>
      </c>
      <c r="H75" s="214" t="s">
        <v>18</v>
      </c>
      <c r="I75" s="215" t="s">
        <v>15</v>
      </c>
      <c r="J75" s="216">
        <v>3.9369999999999998</v>
      </c>
      <c r="K75" s="217" t="s">
        <v>330</v>
      </c>
      <c r="L75" s="218">
        <v>0.1</v>
      </c>
      <c r="M75" s="48"/>
      <c r="N75" s="48"/>
      <c r="O75" s="48"/>
      <c r="P75" s="48"/>
      <c r="Q75" s="49"/>
    </row>
    <row r="76" spans="1:17" ht="15" customHeight="1" x14ac:dyDescent="0.25">
      <c r="A76" s="213">
        <v>6557</v>
      </c>
      <c r="B76" s="213">
        <v>185</v>
      </c>
      <c r="C76" s="214" t="s">
        <v>168</v>
      </c>
      <c r="D76" s="214" t="s">
        <v>209</v>
      </c>
      <c r="E76" s="214">
        <v>20.5</v>
      </c>
      <c r="F76" s="214" t="s">
        <v>277</v>
      </c>
      <c r="G76" s="213">
        <v>3595</v>
      </c>
      <c r="H76" s="214" t="s">
        <v>331</v>
      </c>
      <c r="I76" s="215" t="s">
        <v>15</v>
      </c>
      <c r="J76" s="216">
        <v>0.38500000000000001</v>
      </c>
      <c r="K76" s="217" t="s">
        <v>33</v>
      </c>
      <c r="L76" s="218">
        <v>0.1</v>
      </c>
      <c r="M76" s="50"/>
      <c r="N76" s="48"/>
      <c r="O76" s="48"/>
      <c r="P76" s="48"/>
      <c r="Q76" s="49"/>
    </row>
    <row r="77" spans="1:17" ht="15" customHeight="1" x14ac:dyDescent="0.25">
      <c r="A77" s="213">
        <v>6557</v>
      </c>
      <c r="B77" s="213">
        <v>185</v>
      </c>
      <c r="C77" s="214" t="s">
        <v>168</v>
      </c>
      <c r="D77" s="214" t="s">
        <v>209</v>
      </c>
      <c r="E77" s="214">
        <v>20.5</v>
      </c>
      <c r="F77" s="214" t="s">
        <v>279</v>
      </c>
      <c r="G77" s="213">
        <v>6971</v>
      </c>
      <c r="H77" s="214" t="s">
        <v>64</v>
      </c>
      <c r="I77" s="215" t="s">
        <v>51</v>
      </c>
      <c r="J77" s="216">
        <v>1000</v>
      </c>
      <c r="K77" s="217" t="s">
        <v>332</v>
      </c>
      <c r="L77" s="218">
        <v>0.02</v>
      </c>
      <c r="M77" s="50"/>
      <c r="N77" s="48"/>
      <c r="O77" s="48"/>
      <c r="P77" s="48"/>
      <c r="Q77" s="49"/>
    </row>
    <row r="78" spans="1:17" ht="15" customHeight="1" x14ac:dyDescent="0.25">
      <c r="A78" s="213">
        <v>6557</v>
      </c>
      <c r="B78" s="213">
        <v>185</v>
      </c>
      <c r="C78" s="214" t="s">
        <v>168</v>
      </c>
      <c r="D78" s="214" t="s">
        <v>209</v>
      </c>
      <c r="E78" s="214">
        <v>20.5</v>
      </c>
      <c r="F78" s="214" t="s">
        <v>281</v>
      </c>
      <c r="G78" s="213">
        <v>3619</v>
      </c>
      <c r="H78" s="214" t="s">
        <v>77</v>
      </c>
      <c r="I78" s="215" t="s">
        <v>51</v>
      </c>
      <c r="J78" s="216">
        <v>1.9607000000000001</v>
      </c>
      <c r="K78" s="217" t="s">
        <v>333</v>
      </c>
      <c r="L78" s="218">
        <v>0.1</v>
      </c>
      <c r="M78" s="48"/>
      <c r="N78" s="48"/>
      <c r="O78" s="48"/>
      <c r="P78" s="48"/>
      <c r="Q78" s="49"/>
    </row>
    <row r="79" spans="1:17" ht="15" customHeight="1" x14ac:dyDescent="0.25">
      <c r="A79" s="213">
        <v>6557</v>
      </c>
      <c r="B79" s="213">
        <v>185</v>
      </c>
      <c r="C79" s="214" t="s">
        <v>168</v>
      </c>
      <c r="D79" s="214" t="s">
        <v>209</v>
      </c>
      <c r="E79" s="214">
        <v>20.5</v>
      </c>
      <c r="F79" s="214" t="s">
        <v>283</v>
      </c>
      <c r="G79" s="213">
        <v>194</v>
      </c>
      <c r="H79" s="214" t="s">
        <v>48</v>
      </c>
      <c r="I79" s="215" t="s">
        <v>15</v>
      </c>
      <c r="J79" s="216">
        <v>4.0899999999999999E-3</v>
      </c>
      <c r="K79" s="217" t="s">
        <v>334</v>
      </c>
      <c r="L79" s="218">
        <v>0.1</v>
      </c>
      <c r="M79" s="48"/>
      <c r="N79" s="48"/>
      <c r="O79" s="48"/>
      <c r="P79" s="48"/>
      <c r="Q79" s="49"/>
    </row>
    <row r="80" spans="1:17" ht="15" customHeight="1" x14ac:dyDescent="0.25">
      <c r="A80" s="213">
        <v>6557</v>
      </c>
      <c r="B80" s="213">
        <v>185</v>
      </c>
      <c r="C80" s="214" t="s">
        <v>168</v>
      </c>
      <c r="D80" s="214" t="s">
        <v>209</v>
      </c>
      <c r="E80" s="214">
        <v>20.5</v>
      </c>
      <c r="F80" s="214" t="s">
        <v>272</v>
      </c>
      <c r="G80" s="213">
        <v>4155</v>
      </c>
      <c r="H80" s="214" t="s">
        <v>276</v>
      </c>
      <c r="I80" s="215" t="s">
        <v>29</v>
      </c>
      <c r="J80" s="216">
        <v>0.24</v>
      </c>
      <c r="K80" s="217" t="s">
        <v>25</v>
      </c>
      <c r="L80" s="218">
        <v>0.1</v>
      </c>
      <c r="M80" s="48"/>
      <c r="N80" s="48"/>
      <c r="O80" s="48"/>
      <c r="P80" s="48"/>
      <c r="Q80" s="49"/>
    </row>
    <row r="81" spans="1:17" ht="15" customHeight="1" x14ac:dyDescent="0.25">
      <c r="A81" s="213">
        <v>6557</v>
      </c>
      <c r="B81" s="213">
        <v>185</v>
      </c>
      <c r="C81" s="214" t="s">
        <v>168</v>
      </c>
      <c r="D81" s="214" t="s">
        <v>209</v>
      </c>
      <c r="E81" s="214">
        <v>20.5</v>
      </c>
      <c r="F81" s="214" t="s">
        <v>285</v>
      </c>
      <c r="G81" s="213">
        <v>3635</v>
      </c>
      <c r="H81" s="214" t="s">
        <v>83</v>
      </c>
      <c r="I81" s="215" t="s">
        <v>51</v>
      </c>
      <c r="J81" s="216">
        <v>5.8999999999999997E-2</v>
      </c>
      <c r="K81" s="217" t="s">
        <v>335</v>
      </c>
      <c r="L81" s="218">
        <v>0.1</v>
      </c>
      <c r="M81" s="50"/>
      <c r="N81" s="48"/>
      <c r="O81" s="48"/>
      <c r="P81" s="48"/>
      <c r="Q81" s="49"/>
    </row>
    <row r="82" spans="1:17" ht="15" customHeight="1" x14ac:dyDescent="0.25">
      <c r="A82" s="213">
        <v>6228</v>
      </c>
      <c r="B82" s="213">
        <v>150</v>
      </c>
      <c r="C82" s="214" t="s">
        <v>175</v>
      </c>
      <c r="D82" s="214" t="s">
        <v>214</v>
      </c>
      <c r="E82" s="214">
        <v>25</v>
      </c>
      <c r="F82" s="214" t="s">
        <v>265</v>
      </c>
      <c r="G82" s="213">
        <v>6</v>
      </c>
      <c r="H82" s="214" t="s">
        <v>19</v>
      </c>
      <c r="I82" s="215" t="s">
        <v>15</v>
      </c>
      <c r="J82" s="216">
        <v>5.97</v>
      </c>
      <c r="K82" s="217" t="s">
        <v>330</v>
      </c>
      <c r="L82" s="218">
        <v>0.1</v>
      </c>
      <c r="M82" s="48"/>
      <c r="N82" s="48"/>
      <c r="O82" s="48"/>
      <c r="P82" s="48"/>
      <c r="Q82" s="49"/>
    </row>
    <row r="83" spans="1:17" ht="15" customHeight="1" x14ac:dyDescent="0.25">
      <c r="A83" s="213">
        <v>6228</v>
      </c>
      <c r="B83" s="213">
        <v>150</v>
      </c>
      <c r="C83" s="214" t="s">
        <v>175</v>
      </c>
      <c r="D83" s="214" t="s">
        <v>214</v>
      </c>
      <c r="E83" s="214">
        <v>25</v>
      </c>
      <c r="F83" s="214" t="s">
        <v>277</v>
      </c>
      <c r="G83" s="213">
        <v>3595</v>
      </c>
      <c r="H83" s="214" t="s">
        <v>331</v>
      </c>
      <c r="I83" s="215" t="s">
        <v>15</v>
      </c>
      <c r="J83" s="216">
        <v>0.61199999999999999</v>
      </c>
      <c r="K83" s="217" t="s">
        <v>33</v>
      </c>
      <c r="L83" s="218">
        <v>0.1</v>
      </c>
      <c r="M83" s="50"/>
      <c r="N83" s="48"/>
      <c r="O83" s="48"/>
      <c r="P83" s="48"/>
      <c r="Q83" s="49"/>
    </row>
    <row r="84" spans="1:17" ht="15" customHeight="1" x14ac:dyDescent="0.25">
      <c r="A84" s="213">
        <v>6228</v>
      </c>
      <c r="B84" s="213">
        <v>150</v>
      </c>
      <c r="C84" s="214" t="s">
        <v>175</v>
      </c>
      <c r="D84" s="214" t="s">
        <v>214</v>
      </c>
      <c r="E84" s="214">
        <v>25</v>
      </c>
      <c r="F84" s="214" t="s">
        <v>278</v>
      </c>
      <c r="G84" s="213">
        <v>186</v>
      </c>
      <c r="H84" s="214" t="s">
        <v>46</v>
      </c>
      <c r="I84" s="215" t="s">
        <v>15</v>
      </c>
      <c r="J84" s="216">
        <v>0.25</v>
      </c>
      <c r="K84" s="217" t="s">
        <v>45</v>
      </c>
      <c r="L84" s="218">
        <v>0.1</v>
      </c>
      <c r="M84" s="50"/>
      <c r="N84" s="48"/>
      <c r="O84" s="48"/>
      <c r="P84" s="48"/>
      <c r="Q84" s="49"/>
    </row>
    <row r="85" spans="1:17" ht="15" customHeight="1" x14ac:dyDescent="0.25">
      <c r="A85" s="213">
        <v>6228</v>
      </c>
      <c r="B85" s="213">
        <v>150</v>
      </c>
      <c r="C85" s="214" t="s">
        <v>175</v>
      </c>
      <c r="D85" s="214" t="s">
        <v>214</v>
      </c>
      <c r="E85" s="214">
        <v>25</v>
      </c>
      <c r="F85" s="214" t="s">
        <v>279</v>
      </c>
      <c r="G85" s="213">
        <v>68</v>
      </c>
      <c r="H85" s="214" t="s">
        <v>66</v>
      </c>
      <c r="I85" s="215" t="s">
        <v>51</v>
      </c>
      <c r="J85" s="216">
        <v>1000</v>
      </c>
      <c r="K85" s="217" t="s">
        <v>332</v>
      </c>
      <c r="L85" s="218">
        <v>0.02</v>
      </c>
      <c r="M85" s="48"/>
      <c r="N85" s="48"/>
      <c r="O85" s="48"/>
      <c r="P85" s="48"/>
      <c r="Q85" s="49"/>
    </row>
    <row r="86" spans="1:17" ht="15" customHeight="1" x14ac:dyDescent="0.25">
      <c r="A86" s="213">
        <v>6228</v>
      </c>
      <c r="B86" s="213">
        <v>150</v>
      </c>
      <c r="C86" s="214" t="s">
        <v>175</v>
      </c>
      <c r="D86" s="214" t="s">
        <v>214</v>
      </c>
      <c r="E86" s="214">
        <v>25</v>
      </c>
      <c r="F86" s="214" t="s">
        <v>281</v>
      </c>
      <c r="G86" s="213">
        <v>3598</v>
      </c>
      <c r="H86" s="214" t="s">
        <v>78</v>
      </c>
      <c r="I86" s="215" t="s">
        <v>51</v>
      </c>
      <c r="J86" s="216">
        <v>2.976</v>
      </c>
      <c r="K86" s="217" t="s">
        <v>333</v>
      </c>
      <c r="L86" s="218">
        <v>0.1</v>
      </c>
      <c r="M86" s="48"/>
      <c r="N86" s="48"/>
      <c r="O86" s="48"/>
      <c r="P86" s="48"/>
      <c r="Q86" s="49"/>
    </row>
    <row r="87" spans="1:17" ht="15" customHeight="1" x14ac:dyDescent="0.25">
      <c r="A87" s="213">
        <v>6228</v>
      </c>
      <c r="B87" s="213">
        <v>150</v>
      </c>
      <c r="C87" s="214" t="s">
        <v>175</v>
      </c>
      <c r="D87" s="214" t="s">
        <v>214</v>
      </c>
      <c r="E87" s="214">
        <v>25</v>
      </c>
      <c r="F87" s="214" t="s">
        <v>283</v>
      </c>
      <c r="G87" s="213">
        <v>194</v>
      </c>
      <c r="H87" s="214" t="s">
        <v>48</v>
      </c>
      <c r="I87" s="215" t="s">
        <v>15</v>
      </c>
      <c r="J87" s="216">
        <v>6.1538499999999998E-3</v>
      </c>
      <c r="K87" s="217" t="s">
        <v>334</v>
      </c>
      <c r="L87" s="218">
        <v>0.1</v>
      </c>
      <c r="M87" s="48"/>
      <c r="N87" s="48"/>
      <c r="O87" s="48"/>
      <c r="P87" s="48"/>
      <c r="Q87" s="49"/>
    </row>
    <row r="88" spans="1:17" ht="15" customHeight="1" x14ac:dyDescent="0.25">
      <c r="A88" s="213">
        <v>6228</v>
      </c>
      <c r="B88" s="213">
        <v>150</v>
      </c>
      <c r="C88" s="214" t="s">
        <v>175</v>
      </c>
      <c r="D88" s="214" t="s">
        <v>214</v>
      </c>
      <c r="E88" s="214">
        <v>25</v>
      </c>
      <c r="F88" s="214" t="s">
        <v>272</v>
      </c>
      <c r="G88" s="213">
        <v>4155</v>
      </c>
      <c r="H88" s="214" t="s">
        <v>276</v>
      </c>
      <c r="I88" s="215" t="s">
        <v>15</v>
      </c>
      <c r="J88" s="216">
        <v>0.29199999999999998</v>
      </c>
      <c r="K88" s="217" t="s">
        <v>25</v>
      </c>
      <c r="L88" s="218">
        <v>0.1</v>
      </c>
      <c r="M88" s="50"/>
      <c r="N88" s="48"/>
      <c r="O88" s="48"/>
      <c r="P88" s="48"/>
      <c r="Q88" s="49"/>
    </row>
    <row r="89" spans="1:17" ht="15" customHeight="1" x14ac:dyDescent="0.25">
      <c r="A89" s="213">
        <v>6228</v>
      </c>
      <c r="B89" s="213">
        <v>150</v>
      </c>
      <c r="C89" s="214" t="s">
        <v>175</v>
      </c>
      <c r="D89" s="214" t="s">
        <v>214</v>
      </c>
      <c r="E89" s="214">
        <v>25</v>
      </c>
      <c r="F89" s="214" t="s">
        <v>285</v>
      </c>
      <c r="G89" s="213">
        <v>3635</v>
      </c>
      <c r="H89" s="214" t="s">
        <v>83</v>
      </c>
      <c r="I89" s="215" t="s">
        <v>51</v>
      </c>
      <c r="J89" s="216">
        <v>7.9000000000000001E-2</v>
      </c>
      <c r="K89" s="217" t="s">
        <v>335</v>
      </c>
      <c r="L89" s="218">
        <v>0.1</v>
      </c>
      <c r="M89" s="48"/>
      <c r="N89" s="48"/>
      <c r="O89" s="48"/>
      <c r="P89" s="48"/>
      <c r="Q89" s="49"/>
    </row>
    <row r="90" spans="1:17" ht="15" customHeight="1" x14ac:dyDescent="0.25">
      <c r="A90" s="213">
        <v>3447</v>
      </c>
      <c r="B90" s="213">
        <v>34</v>
      </c>
      <c r="C90" s="214" t="s">
        <v>168</v>
      </c>
      <c r="D90" s="214" t="s">
        <v>210</v>
      </c>
      <c r="E90" s="214">
        <v>25</v>
      </c>
      <c r="F90" s="214" t="s">
        <v>265</v>
      </c>
      <c r="G90" s="213">
        <v>6</v>
      </c>
      <c r="H90" s="214" t="s">
        <v>19</v>
      </c>
      <c r="I90" s="215" t="s">
        <v>15</v>
      </c>
      <c r="J90" s="216">
        <v>5.9169999999999998</v>
      </c>
      <c r="K90" s="217" t="s">
        <v>330</v>
      </c>
      <c r="L90" s="218">
        <v>0.1</v>
      </c>
      <c r="M90" s="50"/>
      <c r="N90" s="48"/>
      <c r="O90" s="48"/>
      <c r="P90" s="48"/>
      <c r="Q90" s="49"/>
    </row>
    <row r="91" spans="1:17" ht="15" customHeight="1" x14ac:dyDescent="0.25">
      <c r="A91" s="213">
        <v>3447</v>
      </c>
      <c r="B91" s="213">
        <v>34</v>
      </c>
      <c r="C91" s="214" t="s">
        <v>168</v>
      </c>
      <c r="D91" s="214" t="s">
        <v>210</v>
      </c>
      <c r="E91" s="214">
        <v>25</v>
      </c>
      <c r="F91" s="214" t="s">
        <v>277</v>
      </c>
      <c r="G91" s="213">
        <v>3595</v>
      </c>
      <c r="H91" s="214" t="s">
        <v>331</v>
      </c>
      <c r="I91" s="215" t="s">
        <v>15</v>
      </c>
      <c r="J91" s="216">
        <v>0.61</v>
      </c>
      <c r="K91" s="217" t="s">
        <v>33</v>
      </c>
      <c r="L91" s="218">
        <v>0.1</v>
      </c>
      <c r="M91" s="48"/>
      <c r="N91" s="48"/>
      <c r="O91" s="48"/>
      <c r="P91" s="48"/>
      <c r="Q91" s="49"/>
    </row>
    <row r="92" spans="1:17" ht="15" customHeight="1" x14ac:dyDescent="0.25">
      <c r="A92" s="213">
        <v>3447</v>
      </c>
      <c r="B92" s="213">
        <v>34</v>
      </c>
      <c r="C92" s="214" t="s">
        <v>168</v>
      </c>
      <c r="D92" s="214" t="s">
        <v>210</v>
      </c>
      <c r="E92" s="214">
        <v>25</v>
      </c>
      <c r="F92" s="214" t="s">
        <v>279</v>
      </c>
      <c r="G92" s="213">
        <v>68</v>
      </c>
      <c r="H92" s="214" t="s">
        <v>66</v>
      </c>
      <c r="I92" s="215" t="s">
        <v>51</v>
      </c>
      <c r="J92" s="216">
        <v>1000</v>
      </c>
      <c r="K92" s="217" t="s">
        <v>332</v>
      </c>
      <c r="L92" s="218">
        <v>0.02</v>
      </c>
      <c r="M92" s="50"/>
      <c r="N92" s="48"/>
      <c r="O92" s="48"/>
      <c r="P92" s="48"/>
      <c r="Q92" s="49"/>
    </row>
    <row r="93" spans="1:17" ht="15" customHeight="1" x14ac:dyDescent="0.25">
      <c r="A93" s="213">
        <v>3447</v>
      </c>
      <c r="B93" s="213">
        <v>34</v>
      </c>
      <c r="C93" s="214" t="s">
        <v>168</v>
      </c>
      <c r="D93" s="214" t="s">
        <v>210</v>
      </c>
      <c r="E93" s="214">
        <v>25</v>
      </c>
      <c r="F93" s="214" t="s">
        <v>281</v>
      </c>
      <c r="G93" s="213">
        <v>3598</v>
      </c>
      <c r="H93" s="214" t="s">
        <v>78</v>
      </c>
      <c r="I93" s="215" t="s">
        <v>51</v>
      </c>
      <c r="J93" s="216">
        <v>2.976</v>
      </c>
      <c r="K93" s="217" t="s">
        <v>333</v>
      </c>
      <c r="L93" s="218">
        <v>0.1</v>
      </c>
      <c r="M93" s="48"/>
      <c r="N93" s="48"/>
      <c r="O93" s="48"/>
      <c r="P93" s="48"/>
      <c r="Q93" s="49"/>
    </row>
    <row r="94" spans="1:17" ht="15" customHeight="1" x14ac:dyDescent="0.25">
      <c r="A94" s="213">
        <v>3447</v>
      </c>
      <c r="B94" s="213">
        <v>34</v>
      </c>
      <c r="C94" s="214" t="s">
        <v>168</v>
      </c>
      <c r="D94" s="214" t="s">
        <v>210</v>
      </c>
      <c r="E94" s="214">
        <v>25</v>
      </c>
      <c r="F94" s="214" t="s">
        <v>283</v>
      </c>
      <c r="G94" s="213">
        <v>194</v>
      </c>
      <c r="H94" s="214" t="s">
        <v>48</v>
      </c>
      <c r="I94" s="215" t="s">
        <v>15</v>
      </c>
      <c r="J94" s="216">
        <v>6.1500000000000001E-3</v>
      </c>
      <c r="K94" s="217" t="s">
        <v>334</v>
      </c>
      <c r="L94" s="218">
        <v>0.1</v>
      </c>
      <c r="M94" s="48"/>
      <c r="N94" s="48"/>
      <c r="O94" s="48"/>
      <c r="P94" s="48"/>
      <c r="Q94" s="49"/>
    </row>
    <row r="95" spans="1:17" ht="15" customHeight="1" x14ac:dyDescent="0.25">
      <c r="A95" s="213">
        <v>3447</v>
      </c>
      <c r="B95" s="213">
        <v>34</v>
      </c>
      <c r="C95" s="214" t="s">
        <v>168</v>
      </c>
      <c r="D95" s="214" t="s">
        <v>210</v>
      </c>
      <c r="E95" s="214">
        <v>25</v>
      </c>
      <c r="F95" s="214" t="s">
        <v>272</v>
      </c>
      <c r="G95" s="213">
        <v>4155</v>
      </c>
      <c r="H95" s="214" t="s">
        <v>276</v>
      </c>
      <c r="I95" s="215" t="s">
        <v>29</v>
      </c>
      <c r="J95" s="216">
        <v>0.37369999999999998</v>
      </c>
      <c r="K95" s="217" t="s">
        <v>25</v>
      </c>
      <c r="L95" s="218">
        <v>0.1</v>
      </c>
      <c r="M95" s="48"/>
      <c r="N95" s="48"/>
      <c r="O95" s="48"/>
      <c r="P95" s="48"/>
      <c r="Q95" s="49"/>
    </row>
    <row r="96" spans="1:17" ht="15" customHeight="1" x14ac:dyDescent="0.25">
      <c r="A96" s="213">
        <v>3447</v>
      </c>
      <c r="B96" s="213">
        <v>34</v>
      </c>
      <c r="C96" s="214" t="s">
        <v>168</v>
      </c>
      <c r="D96" s="214" t="s">
        <v>210</v>
      </c>
      <c r="E96" s="214">
        <v>25</v>
      </c>
      <c r="F96" s="214" t="s">
        <v>285</v>
      </c>
      <c r="G96" s="213">
        <v>3635</v>
      </c>
      <c r="H96" s="214" t="s">
        <v>83</v>
      </c>
      <c r="I96" s="215" t="s">
        <v>51</v>
      </c>
      <c r="J96" s="216">
        <v>4.7119999999999997</v>
      </c>
      <c r="K96" s="217" t="s">
        <v>335</v>
      </c>
      <c r="L96" s="218">
        <v>0.1</v>
      </c>
      <c r="M96" s="48"/>
      <c r="N96" s="48"/>
      <c r="O96" s="48"/>
      <c r="P96" s="48"/>
      <c r="Q96" s="49"/>
    </row>
    <row r="97" spans="1:17" ht="15" customHeight="1" x14ac:dyDescent="0.25">
      <c r="A97" s="213">
        <v>3726</v>
      </c>
      <c r="B97" s="213">
        <v>9</v>
      </c>
      <c r="C97" s="214" t="s">
        <v>168</v>
      </c>
      <c r="D97" s="214" t="s">
        <v>211</v>
      </c>
      <c r="E97" s="214">
        <v>25</v>
      </c>
      <c r="F97" s="214" t="s">
        <v>265</v>
      </c>
      <c r="G97" s="213">
        <v>6</v>
      </c>
      <c r="H97" s="214" t="s">
        <v>19</v>
      </c>
      <c r="I97" s="215" t="s">
        <v>15</v>
      </c>
      <c r="J97" s="216">
        <v>5.9169999999999998</v>
      </c>
      <c r="K97" s="217" t="s">
        <v>330</v>
      </c>
      <c r="L97" s="218">
        <v>0.1</v>
      </c>
      <c r="M97" s="50"/>
      <c r="N97" s="48"/>
      <c r="O97" s="48"/>
      <c r="P97" s="48"/>
      <c r="Q97" s="49"/>
    </row>
    <row r="98" spans="1:17" ht="15" customHeight="1" x14ac:dyDescent="0.25">
      <c r="A98" s="213">
        <v>3726</v>
      </c>
      <c r="B98" s="213">
        <v>9</v>
      </c>
      <c r="C98" s="214" t="s">
        <v>168</v>
      </c>
      <c r="D98" s="214" t="s">
        <v>211</v>
      </c>
      <c r="E98" s="214">
        <v>25</v>
      </c>
      <c r="F98" s="214" t="s">
        <v>277</v>
      </c>
      <c r="G98" s="213">
        <v>3595</v>
      </c>
      <c r="H98" s="214" t="s">
        <v>331</v>
      </c>
      <c r="I98" s="215" t="s">
        <v>15</v>
      </c>
      <c r="J98" s="216">
        <v>0.61199999999999999</v>
      </c>
      <c r="K98" s="217" t="s">
        <v>33</v>
      </c>
      <c r="L98" s="218">
        <v>0.1</v>
      </c>
      <c r="M98" s="50"/>
      <c r="N98" s="48"/>
      <c r="O98" s="48"/>
      <c r="P98" s="48"/>
      <c r="Q98" s="49"/>
    </row>
    <row r="99" spans="1:17" ht="15" customHeight="1" x14ac:dyDescent="0.25">
      <c r="A99" s="213">
        <v>3726</v>
      </c>
      <c r="B99" s="213">
        <v>9</v>
      </c>
      <c r="C99" s="214" t="s">
        <v>168</v>
      </c>
      <c r="D99" s="214" t="s">
        <v>211</v>
      </c>
      <c r="E99" s="214">
        <v>25</v>
      </c>
      <c r="F99" s="214" t="s">
        <v>279</v>
      </c>
      <c r="G99" s="213">
        <v>68</v>
      </c>
      <c r="H99" s="214" t="s">
        <v>66</v>
      </c>
      <c r="I99" s="215" t="s">
        <v>51</v>
      </c>
      <c r="J99" s="216">
        <v>1000</v>
      </c>
      <c r="K99" s="217" t="s">
        <v>332</v>
      </c>
      <c r="L99" s="218">
        <v>0.02</v>
      </c>
      <c r="M99" s="50"/>
      <c r="N99" s="48"/>
      <c r="O99" s="48"/>
      <c r="P99" s="48"/>
      <c r="Q99" s="49"/>
    </row>
    <row r="100" spans="1:17" ht="15" customHeight="1" x14ac:dyDescent="0.25">
      <c r="A100" s="213">
        <v>3726</v>
      </c>
      <c r="B100" s="213">
        <v>9</v>
      </c>
      <c r="C100" s="214" t="s">
        <v>168</v>
      </c>
      <c r="D100" s="214" t="s">
        <v>211</v>
      </c>
      <c r="E100" s="214">
        <v>25</v>
      </c>
      <c r="F100" s="214" t="s">
        <v>281</v>
      </c>
      <c r="G100" s="213">
        <v>3598</v>
      </c>
      <c r="H100" s="214" t="s">
        <v>78</v>
      </c>
      <c r="I100" s="215" t="s">
        <v>51</v>
      </c>
      <c r="J100" s="216">
        <v>2.976</v>
      </c>
      <c r="K100" s="217" t="s">
        <v>333</v>
      </c>
      <c r="L100" s="218">
        <v>0.1</v>
      </c>
      <c r="M100" s="50"/>
      <c r="N100" s="48"/>
      <c r="O100" s="48"/>
      <c r="P100" s="48"/>
      <c r="Q100" s="49"/>
    </row>
    <row r="101" spans="1:17" ht="15" customHeight="1" x14ac:dyDescent="0.25">
      <c r="A101" s="213">
        <v>3726</v>
      </c>
      <c r="B101" s="213">
        <v>9</v>
      </c>
      <c r="C101" s="214" t="s">
        <v>168</v>
      </c>
      <c r="D101" s="214" t="s">
        <v>211</v>
      </c>
      <c r="E101" s="214">
        <v>25</v>
      </c>
      <c r="F101" s="214" t="s">
        <v>283</v>
      </c>
      <c r="G101" s="213">
        <v>194</v>
      </c>
      <c r="H101" s="214" t="s">
        <v>48</v>
      </c>
      <c r="I101" s="215" t="s">
        <v>15</v>
      </c>
      <c r="J101" s="216">
        <v>6.1500000000000001E-3</v>
      </c>
      <c r="K101" s="217" t="s">
        <v>334</v>
      </c>
      <c r="L101" s="218">
        <v>0.1</v>
      </c>
      <c r="M101" s="50"/>
      <c r="N101" s="48"/>
      <c r="O101" s="48"/>
      <c r="P101" s="48"/>
      <c r="Q101" s="49"/>
    </row>
    <row r="102" spans="1:17" ht="15" customHeight="1" x14ac:dyDescent="0.25">
      <c r="A102" s="213">
        <v>3726</v>
      </c>
      <c r="B102" s="213">
        <v>9</v>
      </c>
      <c r="C102" s="214" t="s">
        <v>168</v>
      </c>
      <c r="D102" s="214" t="s">
        <v>211</v>
      </c>
      <c r="E102" s="214">
        <v>25</v>
      </c>
      <c r="F102" s="214" t="s">
        <v>272</v>
      </c>
      <c r="G102" s="213">
        <v>4155</v>
      </c>
      <c r="H102" s="214" t="s">
        <v>276</v>
      </c>
      <c r="I102" s="215" t="s">
        <v>29</v>
      </c>
      <c r="J102" s="216">
        <v>0.29199999999999998</v>
      </c>
      <c r="K102" s="217" t="s">
        <v>25</v>
      </c>
      <c r="L102" s="218">
        <v>0.1</v>
      </c>
      <c r="M102" s="48"/>
      <c r="N102" s="48"/>
      <c r="O102" s="48"/>
      <c r="P102" s="48"/>
      <c r="Q102" s="49"/>
    </row>
    <row r="103" spans="1:17" ht="15" customHeight="1" x14ac:dyDescent="0.25">
      <c r="A103" s="213">
        <v>3726</v>
      </c>
      <c r="B103" s="213">
        <v>9</v>
      </c>
      <c r="C103" s="214" t="s">
        <v>168</v>
      </c>
      <c r="D103" s="214" t="s">
        <v>211</v>
      </c>
      <c r="E103" s="214">
        <v>25</v>
      </c>
      <c r="F103" s="214" t="s">
        <v>285</v>
      </c>
      <c r="G103" s="213">
        <v>3635</v>
      </c>
      <c r="H103" s="214" t="s">
        <v>83</v>
      </c>
      <c r="I103" s="215" t="s">
        <v>51</v>
      </c>
      <c r="J103" s="216">
        <v>7.9000000000000001E-2</v>
      </c>
      <c r="K103" s="217" t="s">
        <v>335</v>
      </c>
      <c r="L103" s="218">
        <v>0.1</v>
      </c>
      <c r="M103" s="50"/>
      <c r="N103" s="48"/>
      <c r="O103" s="48"/>
      <c r="P103" s="48"/>
      <c r="Q103" s="49"/>
    </row>
    <row r="104" spans="1:17" ht="15" customHeight="1" x14ac:dyDescent="0.25">
      <c r="A104" s="213">
        <v>6470</v>
      </c>
      <c r="B104" s="213">
        <v>177</v>
      </c>
      <c r="C104" s="214" t="s">
        <v>338</v>
      </c>
      <c r="D104" s="214" t="s">
        <v>212</v>
      </c>
      <c r="E104" s="214">
        <v>25</v>
      </c>
      <c r="F104" s="214" t="s">
        <v>265</v>
      </c>
      <c r="G104" s="213">
        <v>6</v>
      </c>
      <c r="H104" s="214" t="s">
        <v>19</v>
      </c>
      <c r="I104" s="215" t="s">
        <v>15</v>
      </c>
      <c r="J104" s="216">
        <v>5.9169999999999998</v>
      </c>
      <c r="K104" s="217" t="s">
        <v>330</v>
      </c>
      <c r="L104" s="218">
        <v>0.1</v>
      </c>
      <c r="M104" s="50"/>
      <c r="N104" s="48"/>
      <c r="O104" s="48"/>
      <c r="P104" s="48"/>
      <c r="Q104" s="49"/>
    </row>
    <row r="105" spans="1:17" ht="15" customHeight="1" x14ac:dyDescent="0.25">
      <c r="A105" s="213">
        <v>6470</v>
      </c>
      <c r="B105" s="213">
        <v>177</v>
      </c>
      <c r="C105" s="214" t="s">
        <v>338</v>
      </c>
      <c r="D105" s="214" t="s">
        <v>212</v>
      </c>
      <c r="E105" s="214">
        <v>25</v>
      </c>
      <c r="F105" s="214" t="s">
        <v>277</v>
      </c>
      <c r="G105" s="213">
        <v>3595</v>
      </c>
      <c r="H105" s="214" t="s">
        <v>331</v>
      </c>
      <c r="I105" s="215" t="s">
        <v>15</v>
      </c>
      <c r="J105" s="216">
        <v>0.61199999999999999</v>
      </c>
      <c r="K105" s="217" t="s">
        <v>33</v>
      </c>
      <c r="L105" s="218">
        <v>0.1</v>
      </c>
      <c r="M105" s="48"/>
      <c r="N105" s="48"/>
      <c r="O105" s="48"/>
      <c r="P105" s="48"/>
      <c r="Q105" s="49"/>
    </row>
    <row r="106" spans="1:17" ht="15" customHeight="1" x14ac:dyDescent="0.25">
      <c r="A106" s="213">
        <v>6470</v>
      </c>
      <c r="B106" s="213">
        <v>177</v>
      </c>
      <c r="C106" s="214" t="s">
        <v>338</v>
      </c>
      <c r="D106" s="214" t="s">
        <v>212</v>
      </c>
      <c r="E106" s="214">
        <v>25</v>
      </c>
      <c r="F106" s="214" t="s">
        <v>279</v>
      </c>
      <c r="G106" s="213">
        <v>68</v>
      </c>
      <c r="H106" s="214" t="s">
        <v>66</v>
      </c>
      <c r="I106" s="215" t="s">
        <v>51</v>
      </c>
      <c r="J106" s="216">
        <v>1000</v>
      </c>
      <c r="K106" s="217" t="s">
        <v>332</v>
      </c>
      <c r="L106" s="218">
        <v>0.02</v>
      </c>
      <c r="M106" s="50"/>
      <c r="N106" s="48"/>
      <c r="O106" s="48"/>
      <c r="P106" s="48"/>
      <c r="Q106" s="49"/>
    </row>
    <row r="107" spans="1:17" ht="15" customHeight="1" x14ac:dyDescent="0.25">
      <c r="A107" s="213">
        <v>6470</v>
      </c>
      <c r="B107" s="213">
        <v>177</v>
      </c>
      <c r="C107" s="214" t="s">
        <v>338</v>
      </c>
      <c r="D107" s="214" t="s">
        <v>212</v>
      </c>
      <c r="E107" s="214">
        <v>25</v>
      </c>
      <c r="F107" s="214" t="s">
        <v>281</v>
      </c>
      <c r="G107" s="213">
        <v>3598</v>
      </c>
      <c r="H107" s="214" t="s">
        <v>78</v>
      </c>
      <c r="I107" s="215" t="s">
        <v>51</v>
      </c>
      <c r="J107" s="216">
        <v>2.976</v>
      </c>
      <c r="K107" s="217" t="s">
        <v>333</v>
      </c>
      <c r="L107" s="218">
        <v>0.1</v>
      </c>
      <c r="M107" s="50"/>
      <c r="N107" s="48"/>
      <c r="O107" s="48"/>
      <c r="P107" s="48"/>
      <c r="Q107" s="49"/>
    </row>
    <row r="108" spans="1:17" ht="15" customHeight="1" x14ac:dyDescent="0.25">
      <c r="A108" s="213">
        <v>6470</v>
      </c>
      <c r="B108" s="213">
        <v>177</v>
      </c>
      <c r="C108" s="214" t="s">
        <v>338</v>
      </c>
      <c r="D108" s="214" t="s">
        <v>212</v>
      </c>
      <c r="E108" s="214">
        <v>25</v>
      </c>
      <c r="F108" s="214" t="s">
        <v>283</v>
      </c>
      <c r="G108" s="213">
        <v>194</v>
      </c>
      <c r="H108" s="214" t="s">
        <v>48</v>
      </c>
      <c r="I108" s="215" t="s">
        <v>15</v>
      </c>
      <c r="J108" s="216">
        <v>6.1539999999999997E-3</v>
      </c>
      <c r="K108" s="217" t="s">
        <v>334</v>
      </c>
      <c r="L108" s="218">
        <v>0.1</v>
      </c>
      <c r="M108" s="50"/>
      <c r="N108" s="48"/>
      <c r="O108" s="48"/>
      <c r="P108" s="48"/>
      <c r="Q108" s="49"/>
    </row>
    <row r="109" spans="1:17" ht="15" customHeight="1" x14ac:dyDescent="0.25">
      <c r="A109" s="213">
        <v>6470</v>
      </c>
      <c r="B109" s="213">
        <v>177</v>
      </c>
      <c r="C109" s="214" t="s">
        <v>338</v>
      </c>
      <c r="D109" s="214" t="s">
        <v>212</v>
      </c>
      <c r="E109" s="214">
        <v>25</v>
      </c>
      <c r="F109" s="214" t="s">
        <v>272</v>
      </c>
      <c r="G109" s="213">
        <v>4155</v>
      </c>
      <c r="H109" s="214" t="s">
        <v>276</v>
      </c>
      <c r="I109" s="215" t="s">
        <v>29</v>
      </c>
      <c r="J109" s="216">
        <v>0.29199999999999998</v>
      </c>
      <c r="K109" s="217" t="s">
        <v>25</v>
      </c>
      <c r="L109" s="218">
        <v>0.1</v>
      </c>
      <c r="M109" s="48"/>
      <c r="N109" s="48"/>
      <c r="O109" s="48"/>
      <c r="P109" s="48"/>
      <c r="Q109" s="49"/>
    </row>
    <row r="110" spans="1:17" ht="15" customHeight="1" x14ac:dyDescent="0.25">
      <c r="A110" s="213">
        <v>6470</v>
      </c>
      <c r="B110" s="213">
        <v>177</v>
      </c>
      <c r="C110" s="214" t="s">
        <v>338</v>
      </c>
      <c r="D110" s="214" t="s">
        <v>212</v>
      </c>
      <c r="E110" s="214">
        <v>25</v>
      </c>
      <c r="F110" s="214" t="s">
        <v>285</v>
      </c>
      <c r="G110" s="213">
        <v>3635</v>
      </c>
      <c r="H110" s="214" t="s">
        <v>83</v>
      </c>
      <c r="I110" s="215" t="s">
        <v>51</v>
      </c>
      <c r="J110" s="216">
        <v>7.9000000000000001E-2</v>
      </c>
      <c r="K110" s="217" t="s">
        <v>335</v>
      </c>
      <c r="L110" s="218">
        <v>0.1</v>
      </c>
      <c r="M110" s="50"/>
      <c r="N110" s="48"/>
      <c r="O110" s="48"/>
      <c r="P110" s="48"/>
      <c r="Q110" s="49"/>
    </row>
    <row r="111" spans="1:17" ht="15" customHeight="1" x14ac:dyDescent="0.25">
      <c r="A111" s="213">
        <v>6470</v>
      </c>
      <c r="B111" s="213">
        <v>177</v>
      </c>
      <c r="C111" s="214" t="s">
        <v>338</v>
      </c>
      <c r="D111" s="214" t="s">
        <v>212</v>
      </c>
      <c r="E111" s="214">
        <v>25</v>
      </c>
      <c r="F111" s="214" t="s">
        <v>339</v>
      </c>
      <c r="G111" s="213">
        <v>3754</v>
      </c>
      <c r="H111" s="214" t="s">
        <v>100</v>
      </c>
      <c r="I111" s="215" t="s">
        <v>15</v>
      </c>
      <c r="J111" s="216">
        <v>2.5000000000000001E-2</v>
      </c>
      <c r="K111" s="217" t="s">
        <v>87</v>
      </c>
      <c r="L111" s="218">
        <v>0.1</v>
      </c>
      <c r="M111" s="50"/>
      <c r="N111" s="48"/>
      <c r="O111" s="48"/>
      <c r="P111" s="48"/>
      <c r="Q111" s="49"/>
    </row>
    <row r="112" spans="1:17" ht="15" customHeight="1" x14ac:dyDescent="0.25">
      <c r="A112" s="213">
        <v>6470</v>
      </c>
      <c r="B112" s="213">
        <v>177</v>
      </c>
      <c r="C112" s="214" t="s">
        <v>338</v>
      </c>
      <c r="D112" s="214" t="s">
        <v>212</v>
      </c>
      <c r="E112" s="214">
        <v>25</v>
      </c>
      <c r="F112" s="214" t="s">
        <v>339</v>
      </c>
      <c r="G112" s="213">
        <v>3955</v>
      </c>
      <c r="H112" s="214" t="s">
        <v>105</v>
      </c>
      <c r="I112" s="215" t="s">
        <v>15</v>
      </c>
      <c r="J112" s="216">
        <v>2.5000000000000001E-2</v>
      </c>
      <c r="K112" s="217" t="s">
        <v>87</v>
      </c>
      <c r="L112" s="218">
        <v>0.1</v>
      </c>
      <c r="M112" s="48"/>
      <c r="N112" s="48"/>
      <c r="O112" s="48"/>
      <c r="P112" s="48"/>
      <c r="Q112" s="49"/>
    </row>
    <row r="113" spans="1:17" ht="15" customHeight="1" x14ac:dyDescent="0.25">
      <c r="A113" s="213">
        <v>6506</v>
      </c>
      <c r="B113" s="213">
        <v>179</v>
      </c>
      <c r="C113" s="214" t="s">
        <v>168</v>
      </c>
      <c r="D113" s="214" t="s">
        <v>215</v>
      </c>
      <c r="E113" s="214">
        <v>25</v>
      </c>
      <c r="F113" s="214" t="s">
        <v>265</v>
      </c>
      <c r="G113" s="213">
        <v>6</v>
      </c>
      <c r="H113" s="214" t="s">
        <v>19</v>
      </c>
      <c r="I113" s="215" t="s">
        <v>15</v>
      </c>
      <c r="J113" s="216">
        <v>5.9169999999999998</v>
      </c>
      <c r="K113" s="217" t="s">
        <v>330</v>
      </c>
      <c r="L113" s="218">
        <v>0.1</v>
      </c>
      <c r="M113" s="50"/>
      <c r="N113" s="48"/>
      <c r="O113" s="48"/>
      <c r="P113" s="48"/>
      <c r="Q113" s="49"/>
    </row>
    <row r="114" spans="1:17" ht="15" customHeight="1" x14ac:dyDescent="0.25">
      <c r="A114" s="213">
        <v>6506</v>
      </c>
      <c r="B114" s="213">
        <v>179</v>
      </c>
      <c r="C114" s="214" t="s">
        <v>168</v>
      </c>
      <c r="D114" s="214" t="s">
        <v>215</v>
      </c>
      <c r="E114" s="214">
        <v>25</v>
      </c>
      <c r="F114" s="214" t="s">
        <v>277</v>
      </c>
      <c r="G114" s="213">
        <v>3595</v>
      </c>
      <c r="H114" s="214" t="s">
        <v>331</v>
      </c>
      <c r="I114" s="215" t="s">
        <v>15</v>
      </c>
      <c r="J114" s="216">
        <v>0.61199999999999999</v>
      </c>
      <c r="K114" s="217" t="s">
        <v>33</v>
      </c>
      <c r="L114" s="218">
        <v>0.1</v>
      </c>
      <c r="M114" s="50"/>
      <c r="N114" s="48"/>
      <c r="O114" s="48"/>
      <c r="P114" s="48"/>
      <c r="Q114" s="49"/>
    </row>
    <row r="115" spans="1:17" ht="15" customHeight="1" x14ac:dyDescent="0.25">
      <c r="A115" s="213">
        <v>6506</v>
      </c>
      <c r="B115" s="213">
        <v>179</v>
      </c>
      <c r="C115" s="214" t="s">
        <v>168</v>
      </c>
      <c r="D115" s="214" t="s">
        <v>215</v>
      </c>
      <c r="E115" s="214">
        <v>25</v>
      </c>
      <c r="F115" s="214" t="s">
        <v>279</v>
      </c>
      <c r="G115" s="213">
        <v>68</v>
      </c>
      <c r="H115" s="214" t="s">
        <v>66</v>
      </c>
      <c r="I115" s="215" t="s">
        <v>51</v>
      </c>
      <c r="J115" s="216">
        <v>1000</v>
      </c>
      <c r="K115" s="217" t="s">
        <v>332</v>
      </c>
      <c r="L115" s="218">
        <v>0.02</v>
      </c>
      <c r="M115" s="48"/>
      <c r="N115" s="48"/>
      <c r="O115" s="48"/>
      <c r="P115" s="48"/>
      <c r="Q115" s="49"/>
    </row>
    <row r="116" spans="1:17" ht="15" customHeight="1" x14ac:dyDescent="0.25">
      <c r="A116" s="213">
        <v>6506</v>
      </c>
      <c r="B116" s="213">
        <v>179</v>
      </c>
      <c r="C116" s="214" t="s">
        <v>168</v>
      </c>
      <c r="D116" s="214" t="s">
        <v>215</v>
      </c>
      <c r="E116" s="214">
        <v>25</v>
      </c>
      <c r="F116" s="214" t="s">
        <v>281</v>
      </c>
      <c r="G116" s="213">
        <v>3598</v>
      </c>
      <c r="H116" s="214" t="s">
        <v>78</v>
      </c>
      <c r="I116" s="215" t="s">
        <v>51</v>
      </c>
      <c r="J116" s="216">
        <v>2.976</v>
      </c>
      <c r="K116" s="217" t="s">
        <v>333</v>
      </c>
      <c r="L116" s="218">
        <v>0.1</v>
      </c>
      <c r="M116" s="48"/>
      <c r="N116" s="48"/>
      <c r="O116" s="48"/>
      <c r="P116" s="48"/>
      <c r="Q116" s="49"/>
    </row>
    <row r="117" spans="1:17" ht="15" customHeight="1" x14ac:dyDescent="0.25">
      <c r="A117" s="213">
        <v>6506</v>
      </c>
      <c r="B117" s="213">
        <v>179</v>
      </c>
      <c r="C117" s="214" t="s">
        <v>168</v>
      </c>
      <c r="D117" s="214" t="s">
        <v>215</v>
      </c>
      <c r="E117" s="214">
        <v>25</v>
      </c>
      <c r="F117" s="214" t="s">
        <v>283</v>
      </c>
      <c r="G117" s="213">
        <v>194</v>
      </c>
      <c r="H117" s="214" t="s">
        <v>48</v>
      </c>
      <c r="I117" s="215" t="s">
        <v>15</v>
      </c>
      <c r="J117" s="216">
        <v>6.1539999999999997E-3</v>
      </c>
      <c r="K117" s="217" t="s">
        <v>334</v>
      </c>
      <c r="L117" s="218">
        <v>0.1</v>
      </c>
      <c r="M117" s="48"/>
      <c r="N117" s="48"/>
      <c r="O117" s="48"/>
      <c r="P117" s="48"/>
      <c r="Q117" s="49"/>
    </row>
    <row r="118" spans="1:17" ht="15" customHeight="1" x14ac:dyDescent="0.25">
      <c r="A118" s="213">
        <v>6506</v>
      </c>
      <c r="B118" s="213">
        <v>179</v>
      </c>
      <c r="C118" s="214" t="s">
        <v>168</v>
      </c>
      <c r="D118" s="214" t="s">
        <v>215</v>
      </c>
      <c r="E118" s="214">
        <v>25</v>
      </c>
      <c r="F118" s="214" t="s">
        <v>272</v>
      </c>
      <c r="G118" s="213">
        <v>4155</v>
      </c>
      <c r="H118" s="214" t="s">
        <v>276</v>
      </c>
      <c r="I118" s="215" t="s">
        <v>29</v>
      </c>
      <c r="J118" s="216">
        <v>0.29199999999999998</v>
      </c>
      <c r="K118" s="217" t="s">
        <v>25</v>
      </c>
      <c r="L118" s="218">
        <v>0.1</v>
      </c>
      <c r="M118" s="48"/>
      <c r="N118" s="48"/>
      <c r="O118" s="48"/>
      <c r="P118" s="48"/>
      <c r="Q118" s="49"/>
    </row>
    <row r="119" spans="1:17" ht="15" customHeight="1" x14ac:dyDescent="0.25">
      <c r="A119" s="213">
        <v>6506</v>
      </c>
      <c r="B119" s="213">
        <v>179</v>
      </c>
      <c r="C119" s="214" t="s">
        <v>168</v>
      </c>
      <c r="D119" s="214" t="s">
        <v>215</v>
      </c>
      <c r="E119" s="214">
        <v>25</v>
      </c>
      <c r="F119" s="214" t="s">
        <v>285</v>
      </c>
      <c r="G119" s="213">
        <v>3635</v>
      </c>
      <c r="H119" s="214" t="s">
        <v>83</v>
      </c>
      <c r="I119" s="215" t="s">
        <v>51</v>
      </c>
      <c r="J119" s="216">
        <v>7.9000000000000001E-2</v>
      </c>
      <c r="K119" s="217" t="s">
        <v>335</v>
      </c>
      <c r="L119" s="218">
        <v>0.1</v>
      </c>
      <c r="M119" s="48"/>
      <c r="N119" s="48"/>
      <c r="O119" s="48"/>
      <c r="P119" s="48"/>
      <c r="Q119" s="49"/>
    </row>
    <row r="120" spans="1:17" ht="15" customHeight="1" x14ac:dyDescent="0.25">
      <c r="A120" s="213">
        <v>6532</v>
      </c>
      <c r="B120" s="213">
        <v>181</v>
      </c>
      <c r="C120" s="214" t="s">
        <v>168</v>
      </c>
      <c r="D120" s="214" t="s">
        <v>213</v>
      </c>
      <c r="E120" s="214">
        <v>25</v>
      </c>
      <c r="F120" s="214" t="s">
        <v>265</v>
      </c>
      <c r="G120" s="213">
        <v>6</v>
      </c>
      <c r="H120" s="214" t="s">
        <v>19</v>
      </c>
      <c r="I120" s="215" t="s">
        <v>15</v>
      </c>
      <c r="J120" s="216">
        <v>5.9169999999999998</v>
      </c>
      <c r="K120" s="217" t="s">
        <v>330</v>
      </c>
      <c r="L120" s="218">
        <v>0.1</v>
      </c>
      <c r="M120" s="50"/>
      <c r="N120" s="48"/>
      <c r="O120" s="48"/>
      <c r="P120" s="48"/>
      <c r="Q120" s="49"/>
    </row>
    <row r="121" spans="1:17" ht="15" customHeight="1" x14ac:dyDescent="0.25">
      <c r="A121" s="213">
        <v>6532</v>
      </c>
      <c r="B121" s="213">
        <v>181</v>
      </c>
      <c r="C121" s="214" t="s">
        <v>168</v>
      </c>
      <c r="D121" s="214" t="s">
        <v>213</v>
      </c>
      <c r="E121" s="214">
        <v>25</v>
      </c>
      <c r="F121" s="214" t="s">
        <v>277</v>
      </c>
      <c r="G121" s="213">
        <v>3595</v>
      </c>
      <c r="H121" s="214" t="s">
        <v>331</v>
      </c>
      <c r="I121" s="215" t="s">
        <v>15</v>
      </c>
      <c r="J121" s="216">
        <v>0.61199999999999999</v>
      </c>
      <c r="K121" s="217" t="s">
        <v>33</v>
      </c>
      <c r="L121" s="218">
        <v>0.1</v>
      </c>
      <c r="M121" s="48"/>
      <c r="N121" s="48"/>
      <c r="O121" s="48"/>
      <c r="P121" s="48"/>
      <c r="Q121" s="49"/>
    </row>
    <row r="122" spans="1:17" ht="15" customHeight="1" x14ac:dyDescent="0.25">
      <c r="A122" s="213">
        <v>6532</v>
      </c>
      <c r="B122" s="213">
        <v>181</v>
      </c>
      <c r="C122" s="214" t="s">
        <v>168</v>
      </c>
      <c r="D122" s="214" t="s">
        <v>213</v>
      </c>
      <c r="E122" s="214">
        <v>25</v>
      </c>
      <c r="F122" s="214" t="s">
        <v>279</v>
      </c>
      <c r="G122" s="213">
        <v>68</v>
      </c>
      <c r="H122" s="214" t="s">
        <v>66</v>
      </c>
      <c r="I122" s="215" t="s">
        <v>51</v>
      </c>
      <c r="J122" s="216">
        <v>1000</v>
      </c>
      <c r="K122" s="217" t="s">
        <v>332</v>
      </c>
      <c r="L122" s="218">
        <v>0.02</v>
      </c>
      <c r="M122" s="50"/>
      <c r="N122" s="48"/>
      <c r="O122" s="48"/>
      <c r="P122" s="48"/>
      <c r="Q122" s="49"/>
    </row>
    <row r="123" spans="1:17" ht="15" customHeight="1" x14ac:dyDescent="0.25">
      <c r="A123" s="213">
        <v>6532</v>
      </c>
      <c r="B123" s="213">
        <v>181</v>
      </c>
      <c r="C123" s="214" t="s">
        <v>168</v>
      </c>
      <c r="D123" s="214" t="s">
        <v>213</v>
      </c>
      <c r="E123" s="214">
        <v>25</v>
      </c>
      <c r="F123" s="214" t="s">
        <v>281</v>
      </c>
      <c r="G123" s="213">
        <v>3598</v>
      </c>
      <c r="H123" s="214" t="s">
        <v>78</v>
      </c>
      <c r="I123" s="215" t="s">
        <v>51</v>
      </c>
      <c r="J123" s="216">
        <v>2.976</v>
      </c>
      <c r="K123" s="217" t="s">
        <v>333</v>
      </c>
      <c r="L123" s="218">
        <v>0.1</v>
      </c>
      <c r="M123" s="50"/>
      <c r="N123" s="48"/>
      <c r="O123" s="48"/>
      <c r="P123" s="48"/>
      <c r="Q123" s="49"/>
    </row>
    <row r="124" spans="1:17" ht="15" customHeight="1" x14ac:dyDescent="0.25">
      <c r="A124" s="213">
        <v>6532</v>
      </c>
      <c r="B124" s="213">
        <v>181</v>
      </c>
      <c r="C124" s="214" t="s">
        <v>168</v>
      </c>
      <c r="D124" s="214" t="s">
        <v>213</v>
      </c>
      <c r="E124" s="214">
        <v>25</v>
      </c>
      <c r="F124" s="214" t="s">
        <v>283</v>
      </c>
      <c r="G124" s="213">
        <v>194</v>
      </c>
      <c r="H124" s="214" t="s">
        <v>48</v>
      </c>
      <c r="I124" s="215" t="s">
        <v>15</v>
      </c>
      <c r="J124" s="216">
        <v>6.1538499999999998E-3</v>
      </c>
      <c r="K124" s="217" t="s">
        <v>334</v>
      </c>
      <c r="L124" s="218">
        <v>0.1</v>
      </c>
      <c r="M124" s="48"/>
      <c r="N124" s="48"/>
      <c r="O124" s="48"/>
      <c r="P124" s="48"/>
      <c r="Q124" s="49"/>
    </row>
    <row r="125" spans="1:17" ht="15" customHeight="1" x14ac:dyDescent="0.25">
      <c r="A125" s="213">
        <v>6532</v>
      </c>
      <c r="B125" s="213">
        <v>181</v>
      </c>
      <c r="C125" s="214" t="s">
        <v>168</v>
      </c>
      <c r="D125" s="214" t="s">
        <v>213</v>
      </c>
      <c r="E125" s="214">
        <v>25</v>
      </c>
      <c r="F125" s="214" t="s">
        <v>272</v>
      </c>
      <c r="G125" s="213">
        <v>4155</v>
      </c>
      <c r="H125" s="214" t="s">
        <v>276</v>
      </c>
      <c r="I125" s="215" t="s">
        <v>29</v>
      </c>
      <c r="J125" s="216">
        <v>0.29199999999999998</v>
      </c>
      <c r="K125" s="217" t="s">
        <v>25</v>
      </c>
      <c r="L125" s="218">
        <v>0.1</v>
      </c>
      <c r="M125" s="48"/>
      <c r="N125" s="48"/>
      <c r="O125" s="48"/>
      <c r="P125" s="48"/>
      <c r="Q125" s="49"/>
    </row>
    <row r="126" spans="1:17" ht="15" customHeight="1" x14ac:dyDescent="0.25">
      <c r="A126" s="213">
        <v>6532</v>
      </c>
      <c r="B126" s="213">
        <v>181</v>
      </c>
      <c r="C126" s="214" t="s">
        <v>168</v>
      </c>
      <c r="D126" s="214" t="s">
        <v>213</v>
      </c>
      <c r="E126" s="214">
        <v>25</v>
      </c>
      <c r="F126" s="214" t="s">
        <v>285</v>
      </c>
      <c r="G126" s="213">
        <v>3635</v>
      </c>
      <c r="H126" s="214" t="s">
        <v>83</v>
      </c>
      <c r="I126" s="215" t="s">
        <v>51</v>
      </c>
      <c r="J126" s="216">
        <v>7.9000000000000001E-2</v>
      </c>
      <c r="K126" s="217" t="s">
        <v>335</v>
      </c>
      <c r="L126" s="218">
        <v>0.1</v>
      </c>
      <c r="M126" s="48"/>
      <c r="N126" s="48"/>
      <c r="O126" s="48"/>
      <c r="P126" s="48"/>
      <c r="Q126" s="49"/>
    </row>
    <row r="127" spans="1:17" ht="15" customHeight="1" x14ac:dyDescent="0.25">
      <c r="A127" s="213">
        <v>6338</v>
      </c>
      <c r="B127" s="213">
        <v>167</v>
      </c>
      <c r="C127" s="214" t="s">
        <v>217</v>
      </c>
      <c r="D127" s="214" t="s">
        <v>218</v>
      </c>
      <c r="E127" s="214">
        <v>25</v>
      </c>
      <c r="F127" s="214" t="s">
        <v>13</v>
      </c>
      <c r="G127" s="213">
        <v>6</v>
      </c>
      <c r="H127" s="214" t="s">
        <v>19</v>
      </c>
      <c r="I127" s="215" t="s">
        <v>15</v>
      </c>
      <c r="J127" s="216">
        <v>5.9169999999999998</v>
      </c>
      <c r="K127" s="217" t="s">
        <v>330</v>
      </c>
      <c r="L127" s="218">
        <v>0.1</v>
      </c>
      <c r="M127" s="50"/>
      <c r="N127" s="48"/>
      <c r="O127" s="48"/>
      <c r="P127" s="48"/>
      <c r="Q127" s="49"/>
    </row>
    <row r="128" spans="1:17" ht="15" customHeight="1" x14ac:dyDescent="0.25">
      <c r="A128" s="213">
        <v>6338</v>
      </c>
      <c r="B128" s="213">
        <v>167</v>
      </c>
      <c r="C128" s="214" t="s">
        <v>217</v>
      </c>
      <c r="D128" s="214" t="s">
        <v>218</v>
      </c>
      <c r="E128" s="214">
        <v>25</v>
      </c>
      <c r="F128" s="214" t="s">
        <v>277</v>
      </c>
      <c r="G128" s="213">
        <v>3595</v>
      </c>
      <c r="H128" s="214" t="s">
        <v>331</v>
      </c>
      <c r="I128" s="215" t="s">
        <v>15</v>
      </c>
      <c r="J128" s="216">
        <v>0.56000000000000005</v>
      </c>
      <c r="K128" s="217" t="s">
        <v>33</v>
      </c>
      <c r="L128" s="218">
        <v>0.1</v>
      </c>
      <c r="M128" s="48"/>
      <c r="N128" s="48"/>
      <c r="O128" s="48"/>
      <c r="P128" s="48"/>
      <c r="Q128" s="49"/>
    </row>
    <row r="129" spans="1:17" ht="15" customHeight="1" x14ac:dyDescent="0.25">
      <c r="A129" s="213">
        <v>6338</v>
      </c>
      <c r="B129" s="213">
        <v>167</v>
      </c>
      <c r="C129" s="214" t="s">
        <v>217</v>
      </c>
      <c r="D129" s="214" t="s">
        <v>218</v>
      </c>
      <c r="E129" s="214">
        <v>25</v>
      </c>
      <c r="F129" s="214" t="s">
        <v>281</v>
      </c>
      <c r="G129" s="213">
        <v>3598</v>
      </c>
      <c r="H129" s="214" t="s">
        <v>78</v>
      </c>
      <c r="I129" s="215" t="s">
        <v>51</v>
      </c>
      <c r="J129" s="216">
        <v>2.976</v>
      </c>
      <c r="K129" s="217" t="s">
        <v>333</v>
      </c>
      <c r="L129" s="218">
        <v>0.1</v>
      </c>
      <c r="M129" s="50"/>
      <c r="N129" s="48"/>
      <c r="O129" s="48"/>
      <c r="P129" s="48"/>
      <c r="Q129" s="49"/>
    </row>
    <row r="130" spans="1:17" ht="15" customHeight="1" x14ac:dyDescent="0.25">
      <c r="A130" s="213">
        <v>6338</v>
      </c>
      <c r="B130" s="213">
        <v>167</v>
      </c>
      <c r="C130" s="214" t="s">
        <v>217</v>
      </c>
      <c r="D130" s="214" t="s">
        <v>218</v>
      </c>
      <c r="E130" s="214">
        <v>25</v>
      </c>
      <c r="F130" s="214" t="s">
        <v>283</v>
      </c>
      <c r="G130" s="213">
        <v>194</v>
      </c>
      <c r="H130" s="214" t="s">
        <v>48</v>
      </c>
      <c r="I130" s="215" t="s">
        <v>15</v>
      </c>
      <c r="J130" s="216">
        <v>5.8700000000000002E-3</v>
      </c>
      <c r="K130" s="217" t="s">
        <v>334</v>
      </c>
      <c r="L130" s="218">
        <v>0.1</v>
      </c>
      <c r="M130" s="50"/>
      <c r="N130" s="48"/>
      <c r="O130" s="48"/>
      <c r="P130" s="48"/>
      <c r="Q130" s="49"/>
    </row>
    <row r="131" spans="1:17" ht="15" customHeight="1" x14ac:dyDescent="0.25">
      <c r="A131" s="213">
        <v>6338</v>
      </c>
      <c r="B131" s="213">
        <v>167</v>
      </c>
      <c r="C131" s="214" t="s">
        <v>217</v>
      </c>
      <c r="D131" s="214" t="s">
        <v>218</v>
      </c>
      <c r="E131" s="214">
        <v>25</v>
      </c>
      <c r="F131" s="214" t="s">
        <v>272</v>
      </c>
      <c r="G131" s="213">
        <v>4155</v>
      </c>
      <c r="H131" s="214" t="s">
        <v>276</v>
      </c>
      <c r="I131" s="215" t="s">
        <v>29</v>
      </c>
      <c r="J131" s="216">
        <v>0.37369999999999998</v>
      </c>
      <c r="K131" s="217" t="s">
        <v>25</v>
      </c>
      <c r="L131" s="218">
        <v>0.1</v>
      </c>
      <c r="M131" s="50"/>
      <c r="N131" s="48"/>
      <c r="O131" s="48"/>
      <c r="P131" s="48"/>
      <c r="Q131" s="49"/>
    </row>
    <row r="132" spans="1:17" ht="15" customHeight="1" x14ac:dyDescent="0.25">
      <c r="A132" s="213">
        <v>6338</v>
      </c>
      <c r="B132" s="213">
        <v>167</v>
      </c>
      <c r="C132" s="214" t="s">
        <v>217</v>
      </c>
      <c r="D132" s="214" t="s">
        <v>218</v>
      </c>
      <c r="E132" s="214">
        <v>25</v>
      </c>
      <c r="F132" s="214" t="s">
        <v>285</v>
      </c>
      <c r="G132" s="213">
        <v>3635</v>
      </c>
      <c r="H132" s="214" t="s">
        <v>83</v>
      </c>
      <c r="I132" s="215" t="s">
        <v>51</v>
      </c>
      <c r="J132" s="216">
        <v>7.9000000000000008E-3</v>
      </c>
      <c r="K132" s="217" t="s">
        <v>335</v>
      </c>
      <c r="L132" s="218">
        <v>0.1</v>
      </c>
      <c r="M132" s="48"/>
      <c r="N132" s="48"/>
      <c r="O132" s="48"/>
      <c r="P132" s="48"/>
      <c r="Q132" s="49"/>
    </row>
    <row r="133" spans="1:17" ht="15" customHeight="1" x14ac:dyDescent="0.25">
      <c r="A133" s="213">
        <v>6338</v>
      </c>
      <c r="B133" s="213">
        <v>167</v>
      </c>
      <c r="C133" s="214" t="s">
        <v>217</v>
      </c>
      <c r="D133" s="214" t="s">
        <v>218</v>
      </c>
      <c r="E133" s="214">
        <v>25</v>
      </c>
      <c r="F133" s="214" t="s">
        <v>339</v>
      </c>
      <c r="G133" s="213">
        <v>3857</v>
      </c>
      <c r="H133" s="214" t="s">
        <v>103</v>
      </c>
      <c r="I133" s="215" t="s">
        <v>15</v>
      </c>
      <c r="J133" s="216">
        <v>0.33</v>
      </c>
      <c r="K133" s="217" t="s">
        <v>87</v>
      </c>
      <c r="L133" s="218">
        <v>0.1</v>
      </c>
      <c r="M133" s="50"/>
      <c r="N133" s="48"/>
      <c r="O133" s="48"/>
      <c r="P133" s="48"/>
      <c r="Q133" s="49"/>
    </row>
    <row r="134" spans="1:17" ht="15" customHeight="1" x14ac:dyDescent="0.25">
      <c r="A134" s="213">
        <v>6337</v>
      </c>
      <c r="B134" s="213">
        <v>166</v>
      </c>
      <c r="C134" s="214" t="s">
        <v>226</v>
      </c>
      <c r="D134" s="214" t="s">
        <v>228</v>
      </c>
      <c r="E134" s="214">
        <v>30</v>
      </c>
      <c r="F134" s="214" t="s">
        <v>265</v>
      </c>
      <c r="G134" s="213">
        <v>406</v>
      </c>
      <c r="H134" s="214" t="s">
        <v>20</v>
      </c>
      <c r="I134" s="215" t="s">
        <v>15</v>
      </c>
      <c r="J134" s="216">
        <v>8</v>
      </c>
      <c r="K134" s="217" t="s">
        <v>330</v>
      </c>
      <c r="L134" s="218">
        <v>0.1</v>
      </c>
      <c r="M134" s="50"/>
      <c r="N134" s="48"/>
      <c r="O134" s="48"/>
      <c r="P134" s="48"/>
      <c r="Q134" s="49"/>
    </row>
    <row r="135" spans="1:17" ht="15" customHeight="1" x14ac:dyDescent="0.25">
      <c r="A135" s="213">
        <v>6337</v>
      </c>
      <c r="B135" s="213">
        <v>166</v>
      </c>
      <c r="C135" s="214" t="s">
        <v>226</v>
      </c>
      <c r="D135" s="214" t="s">
        <v>228</v>
      </c>
      <c r="E135" s="214">
        <v>30</v>
      </c>
      <c r="F135" s="214" t="s">
        <v>277</v>
      </c>
      <c r="G135" s="213">
        <v>3595</v>
      </c>
      <c r="H135" s="214" t="s">
        <v>331</v>
      </c>
      <c r="I135" s="215" t="s">
        <v>15</v>
      </c>
      <c r="J135" s="216">
        <v>0.67</v>
      </c>
      <c r="K135" s="217" t="s">
        <v>33</v>
      </c>
      <c r="L135" s="218">
        <v>0.1</v>
      </c>
      <c r="M135" s="48"/>
      <c r="N135" s="48"/>
      <c r="O135" s="48"/>
      <c r="P135" s="48"/>
      <c r="Q135" s="49"/>
    </row>
    <row r="136" spans="1:17" ht="15" customHeight="1" x14ac:dyDescent="0.25">
      <c r="A136" s="213">
        <v>6337</v>
      </c>
      <c r="B136" s="213">
        <v>166</v>
      </c>
      <c r="C136" s="214" t="s">
        <v>226</v>
      </c>
      <c r="D136" s="214" t="s">
        <v>228</v>
      </c>
      <c r="E136" s="214">
        <v>30</v>
      </c>
      <c r="F136" s="214" t="s">
        <v>278</v>
      </c>
      <c r="G136" s="213">
        <v>186</v>
      </c>
      <c r="H136" s="214" t="s">
        <v>46</v>
      </c>
      <c r="I136" s="215" t="s">
        <v>15</v>
      </c>
      <c r="J136" s="216">
        <v>0.28000000000000003</v>
      </c>
      <c r="K136" s="217" t="s">
        <v>45</v>
      </c>
      <c r="L136" s="218">
        <v>0.1</v>
      </c>
      <c r="M136" s="50"/>
      <c r="N136" s="48"/>
      <c r="O136" s="48"/>
      <c r="P136" s="48"/>
      <c r="Q136" s="49"/>
    </row>
    <row r="137" spans="1:17" ht="15" customHeight="1" x14ac:dyDescent="0.25">
      <c r="A137" s="213">
        <v>6337</v>
      </c>
      <c r="B137" s="213">
        <v>166</v>
      </c>
      <c r="C137" s="214" t="s">
        <v>226</v>
      </c>
      <c r="D137" s="214" t="s">
        <v>228</v>
      </c>
      <c r="E137" s="214">
        <v>30</v>
      </c>
      <c r="F137" s="214" t="s">
        <v>279</v>
      </c>
      <c r="G137" s="213">
        <v>578</v>
      </c>
      <c r="H137" s="214" t="s">
        <v>72</v>
      </c>
      <c r="I137" s="215" t="s">
        <v>51</v>
      </c>
      <c r="J137" s="216">
        <v>1000</v>
      </c>
      <c r="K137" s="217" t="s">
        <v>332</v>
      </c>
      <c r="L137" s="218">
        <v>0.02</v>
      </c>
      <c r="M137" s="50"/>
      <c r="N137" s="48"/>
      <c r="O137" s="48"/>
      <c r="P137" s="48"/>
      <c r="Q137" s="49"/>
    </row>
    <row r="138" spans="1:17" ht="15" customHeight="1" x14ac:dyDescent="0.25">
      <c r="A138" s="213">
        <v>6337</v>
      </c>
      <c r="B138" s="213">
        <v>166</v>
      </c>
      <c r="C138" s="214" t="s">
        <v>226</v>
      </c>
      <c r="D138" s="214" t="s">
        <v>228</v>
      </c>
      <c r="E138" s="214">
        <v>30</v>
      </c>
      <c r="F138" s="214" t="s">
        <v>281</v>
      </c>
      <c r="G138" s="213">
        <v>45</v>
      </c>
      <c r="H138" s="214" t="s">
        <v>79</v>
      </c>
      <c r="I138" s="215" t="s">
        <v>51</v>
      </c>
      <c r="J138" s="216">
        <v>6.6665999999999999</v>
      </c>
      <c r="K138" s="217" t="s">
        <v>333</v>
      </c>
      <c r="L138" s="218">
        <v>0.1</v>
      </c>
      <c r="M138" s="48"/>
      <c r="N138" s="48"/>
      <c r="O138" s="48"/>
      <c r="P138" s="48"/>
      <c r="Q138" s="49"/>
    </row>
    <row r="139" spans="1:17" ht="15" customHeight="1" x14ac:dyDescent="0.25">
      <c r="A139" s="213">
        <v>6337</v>
      </c>
      <c r="B139" s="213">
        <v>166</v>
      </c>
      <c r="C139" s="214" t="s">
        <v>226</v>
      </c>
      <c r="D139" s="214" t="s">
        <v>228</v>
      </c>
      <c r="E139" s="214">
        <v>30</v>
      </c>
      <c r="F139" s="214" t="s">
        <v>272</v>
      </c>
      <c r="G139" s="213">
        <v>4155</v>
      </c>
      <c r="H139" s="214" t="s">
        <v>276</v>
      </c>
      <c r="I139" s="215" t="s">
        <v>15</v>
      </c>
      <c r="J139" s="216">
        <v>0.28000000000000003</v>
      </c>
      <c r="K139" s="217" t="s">
        <v>25</v>
      </c>
      <c r="L139" s="218">
        <v>0.1</v>
      </c>
      <c r="M139" s="50"/>
      <c r="N139" s="48"/>
      <c r="O139" s="48"/>
      <c r="P139" s="48"/>
      <c r="Q139" s="49"/>
    </row>
    <row r="140" spans="1:17" ht="15" customHeight="1" x14ac:dyDescent="0.25">
      <c r="A140" s="213">
        <v>6337</v>
      </c>
      <c r="B140" s="213">
        <v>166</v>
      </c>
      <c r="C140" s="214" t="s">
        <v>226</v>
      </c>
      <c r="D140" s="214" t="s">
        <v>228</v>
      </c>
      <c r="E140" s="214">
        <v>30</v>
      </c>
      <c r="F140" s="214" t="s">
        <v>285</v>
      </c>
      <c r="G140" s="213">
        <v>3635</v>
      </c>
      <c r="H140" s="214" t="s">
        <v>83</v>
      </c>
      <c r="I140" s="215" t="s">
        <v>51</v>
      </c>
      <c r="J140" s="216">
        <v>0.156</v>
      </c>
      <c r="K140" s="217" t="s">
        <v>82</v>
      </c>
      <c r="L140" s="218">
        <v>0.1</v>
      </c>
      <c r="M140" s="48"/>
      <c r="N140" s="48"/>
      <c r="O140" s="48"/>
      <c r="P140" s="48"/>
      <c r="Q140" s="49"/>
    </row>
    <row r="141" spans="1:17" ht="15" customHeight="1" x14ac:dyDescent="0.25">
      <c r="A141" s="213">
        <v>6337</v>
      </c>
      <c r="B141" s="213">
        <v>166</v>
      </c>
      <c r="C141" s="214" t="s">
        <v>226</v>
      </c>
      <c r="D141" s="214" t="s">
        <v>228</v>
      </c>
      <c r="E141" s="214">
        <v>30</v>
      </c>
      <c r="F141" s="214" t="s">
        <v>283</v>
      </c>
      <c r="G141" s="213">
        <v>194</v>
      </c>
      <c r="H141" s="214" t="s">
        <v>48</v>
      </c>
      <c r="I141" s="215" t="s">
        <v>15</v>
      </c>
      <c r="J141" s="216">
        <v>8.3199999999999993E-3</v>
      </c>
      <c r="K141" s="217" t="s">
        <v>283</v>
      </c>
      <c r="L141" s="218">
        <v>0.1</v>
      </c>
      <c r="M141" s="50"/>
      <c r="N141" s="48"/>
      <c r="O141" s="48"/>
      <c r="P141" s="48"/>
      <c r="Q141" s="49"/>
    </row>
    <row r="142" spans="1:17" ht="15" customHeight="1" x14ac:dyDescent="0.25">
      <c r="A142" s="213">
        <v>6416</v>
      </c>
      <c r="B142" s="213">
        <v>171</v>
      </c>
      <c r="C142" s="214" t="s">
        <v>226</v>
      </c>
      <c r="D142" s="214" t="s">
        <v>227</v>
      </c>
      <c r="E142" s="214">
        <v>30</v>
      </c>
      <c r="F142" s="214" t="s">
        <v>265</v>
      </c>
      <c r="G142" s="213">
        <v>406</v>
      </c>
      <c r="H142" s="214" t="s">
        <v>20</v>
      </c>
      <c r="I142" s="215" t="s">
        <v>15</v>
      </c>
      <c r="J142" s="216">
        <v>8</v>
      </c>
      <c r="K142" s="217" t="s">
        <v>330</v>
      </c>
      <c r="L142" s="218">
        <v>0.1</v>
      </c>
      <c r="M142" s="50"/>
      <c r="N142" s="48"/>
      <c r="O142" s="48"/>
      <c r="P142" s="48"/>
      <c r="Q142" s="49"/>
    </row>
    <row r="143" spans="1:17" ht="15" customHeight="1" x14ac:dyDescent="0.25">
      <c r="A143" s="213">
        <v>6416</v>
      </c>
      <c r="B143" s="213">
        <v>171</v>
      </c>
      <c r="C143" s="214" t="s">
        <v>226</v>
      </c>
      <c r="D143" s="214" t="s">
        <v>227</v>
      </c>
      <c r="E143" s="214">
        <v>30</v>
      </c>
      <c r="F143" s="214" t="s">
        <v>277</v>
      </c>
      <c r="G143" s="213">
        <v>3595</v>
      </c>
      <c r="H143" s="214" t="s">
        <v>331</v>
      </c>
      <c r="I143" s="215" t="s">
        <v>15</v>
      </c>
      <c r="J143" s="216">
        <v>0.67</v>
      </c>
      <c r="K143" s="217" t="s">
        <v>33</v>
      </c>
      <c r="L143" s="218">
        <v>0.1</v>
      </c>
      <c r="M143" s="50"/>
      <c r="N143" s="48"/>
      <c r="O143" s="48"/>
      <c r="P143" s="48"/>
      <c r="Q143" s="49"/>
    </row>
    <row r="144" spans="1:17" ht="15" customHeight="1" x14ac:dyDescent="0.25">
      <c r="A144" s="213">
        <v>6416</v>
      </c>
      <c r="B144" s="213">
        <v>171</v>
      </c>
      <c r="C144" s="214" t="s">
        <v>226</v>
      </c>
      <c r="D144" s="214" t="s">
        <v>227</v>
      </c>
      <c r="E144" s="214">
        <v>30</v>
      </c>
      <c r="F144" s="214" t="s">
        <v>278</v>
      </c>
      <c r="G144" s="213">
        <v>186</v>
      </c>
      <c r="H144" s="214" t="s">
        <v>46</v>
      </c>
      <c r="I144" s="215" t="s">
        <v>15</v>
      </c>
      <c r="J144" s="216">
        <v>0.28000000000000003</v>
      </c>
      <c r="K144" s="217" t="s">
        <v>45</v>
      </c>
      <c r="L144" s="218">
        <v>0.1</v>
      </c>
      <c r="M144" s="50"/>
      <c r="N144" s="48"/>
      <c r="O144" s="48"/>
      <c r="P144" s="48"/>
      <c r="Q144" s="49"/>
    </row>
    <row r="145" spans="1:17" ht="15" customHeight="1" x14ac:dyDescent="0.25">
      <c r="A145" s="213">
        <v>6416</v>
      </c>
      <c r="B145" s="213">
        <v>171</v>
      </c>
      <c r="C145" s="214" t="s">
        <v>226</v>
      </c>
      <c r="D145" s="214" t="s">
        <v>227</v>
      </c>
      <c r="E145" s="214">
        <v>30</v>
      </c>
      <c r="F145" s="214" t="s">
        <v>279</v>
      </c>
      <c r="G145" s="213">
        <v>578</v>
      </c>
      <c r="H145" s="214" t="s">
        <v>72</v>
      </c>
      <c r="I145" s="215" t="s">
        <v>51</v>
      </c>
      <c r="J145" s="216">
        <v>1000</v>
      </c>
      <c r="K145" s="217" t="s">
        <v>332</v>
      </c>
      <c r="L145" s="218">
        <v>0.02</v>
      </c>
      <c r="M145" s="50"/>
      <c r="N145" s="48"/>
      <c r="O145" s="48"/>
      <c r="P145" s="48"/>
      <c r="Q145" s="49"/>
    </row>
    <row r="146" spans="1:17" ht="15" customHeight="1" x14ac:dyDescent="0.25">
      <c r="A146" s="213">
        <v>6416</v>
      </c>
      <c r="B146" s="213">
        <v>171</v>
      </c>
      <c r="C146" s="214" t="s">
        <v>226</v>
      </c>
      <c r="D146" s="214" t="s">
        <v>227</v>
      </c>
      <c r="E146" s="214">
        <v>30</v>
      </c>
      <c r="F146" s="214" t="s">
        <v>281</v>
      </c>
      <c r="G146" s="213">
        <v>3598</v>
      </c>
      <c r="H146" s="214" t="s">
        <v>78</v>
      </c>
      <c r="I146" s="215" t="s">
        <v>51</v>
      </c>
      <c r="J146" s="216">
        <v>4.2016</v>
      </c>
      <c r="K146" s="217" t="s">
        <v>333</v>
      </c>
      <c r="L146" s="218">
        <v>0.1</v>
      </c>
      <c r="M146" s="50"/>
      <c r="N146" s="48"/>
      <c r="O146" s="48"/>
      <c r="P146" s="48"/>
      <c r="Q146" s="49"/>
    </row>
    <row r="147" spans="1:17" ht="15" customHeight="1" x14ac:dyDescent="0.25">
      <c r="A147" s="213">
        <v>6416</v>
      </c>
      <c r="B147" s="213">
        <v>171</v>
      </c>
      <c r="C147" s="214" t="s">
        <v>226</v>
      </c>
      <c r="D147" s="214" t="s">
        <v>227</v>
      </c>
      <c r="E147" s="214">
        <v>30</v>
      </c>
      <c r="F147" s="214" t="s">
        <v>272</v>
      </c>
      <c r="G147" s="213">
        <v>4155</v>
      </c>
      <c r="H147" s="214" t="s">
        <v>276</v>
      </c>
      <c r="I147" s="215" t="s">
        <v>15</v>
      </c>
      <c r="J147" s="216">
        <v>0.28000000000000003</v>
      </c>
      <c r="K147" s="217" t="s">
        <v>25</v>
      </c>
      <c r="L147" s="218">
        <v>0.1</v>
      </c>
      <c r="M147" s="50"/>
      <c r="N147" s="48"/>
      <c r="O147" s="48"/>
      <c r="P147" s="48"/>
      <c r="Q147" s="49"/>
    </row>
    <row r="148" spans="1:17" ht="15" customHeight="1" x14ac:dyDescent="0.25">
      <c r="A148" s="213">
        <v>6416</v>
      </c>
      <c r="B148" s="213">
        <v>171</v>
      </c>
      <c r="C148" s="214" t="s">
        <v>226</v>
      </c>
      <c r="D148" s="214" t="s">
        <v>227</v>
      </c>
      <c r="E148" s="214">
        <v>30</v>
      </c>
      <c r="F148" s="214" t="s">
        <v>285</v>
      </c>
      <c r="G148" s="213">
        <v>3635</v>
      </c>
      <c r="H148" s="214" t="s">
        <v>83</v>
      </c>
      <c r="I148" s="215" t="s">
        <v>51</v>
      </c>
      <c r="J148" s="216">
        <v>0.156</v>
      </c>
      <c r="K148" s="217" t="s">
        <v>82</v>
      </c>
      <c r="L148" s="218">
        <v>0.1</v>
      </c>
      <c r="M148" s="50"/>
      <c r="N148" s="48"/>
      <c r="O148" s="48"/>
      <c r="P148" s="48"/>
      <c r="Q148" s="49"/>
    </row>
    <row r="149" spans="1:17" ht="15" customHeight="1" x14ac:dyDescent="0.25">
      <c r="A149" s="213">
        <v>6416</v>
      </c>
      <c r="B149" s="213">
        <v>171</v>
      </c>
      <c r="C149" s="214" t="s">
        <v>226</v>
      </c>
      <c r="D149" s="214" t="s">
        <v>227</v>
      </c>
      <c r="E149" s="214">
        <v>30</v>
      </c>
      <c r="F149" s="214" t="s">
        <v>283</v>
      </c>
      <c r="G149" s="213">
        <v>194</v>
      </c>
      <c r="H149" s="214" t="s">
        <v>48</v>
      </c>
      <c r="I149" s="215" t="s">
        <v>15</v>
      </c>
      <c r="J149" s="216">
        <v>8.3199999999999993E-3</v>
      </c>
      <c r="K149" s="217" t="s">
        <v>283</v>
      </c>
      <c r="L149" s="218">
        <v>0.1</v>
      </c>
      <c r="M149" s="50"/>
      <c r="N149" s="48"/>
      <c r="O149" s="48"/>
      <c r="P149" s="48"/>
      <c r="Q149" s="49"/>
    </row>
    <row r="150" spans="1:17" ht="15" customHeight="1" x14ac:dyDescent="0.25">
      <c r="A150" s="213">
        <v>6206</v>
      </c>
      <c r="B150" s="213">
        <v>149</v>
      </c>
      <c r="C150" s="214" t="s">
        <v>173</v>
      </c>
      <c r="D150" s="214" t="s">
        <v>174</v>
      </c>
      <c r="E150" s="214">
        <v>30</v>
      </c>
      <c r="F150" s="214" t="s">
        <v>265</v>
      </c>
      <c r="G150" s="213">
        <v>406</v>
      </c>
      <c r="H150" s="214" t="s">
        <v>20</v>
      </c>
      <c r="I150" s="215" t="s">
        <v>15</v>
      </c>
      <c r="J150" s="216">
        <v>8</v>
      </c>
      <c r="K150" s="217" t="s">
        <v>330</v>
      </c>
      <c r="L150" s="218">
        <v>0.1</v>
      </c>
      <c r="M150" s="50"/>
      <c r="N150" s="48"/>
      <c r="O150" s="48"/>
      <c r="P150" s="48"/>
      <c r="Q150" s="49"/>
    </row>
    <row r="151" spans="1:17" ht="15" customHeight="1" x14ac:dyDescent="0.25">
      <c r="A151" s="213">
        <v>6206</v>
      </c>
      <c r="B151" s="213">
        <v>149</v>
      </c>
      <c r="C151" s="214" t="s">
        <v>173</v>
      </c>
      <c r="D151" s="214" t="s">
        <v>174</v>
      </c>
      <c r="E151" s="214">
        <v>30</v>
      </c>
      <c r="F151" s="214" t="s">
        <v>277</v>
      </c>
      <c r="G151" s="213">
        <v>3595</v>
      </c>
      <c r="H151" s="214" t="s">
        <v>331</v>
      </c>
      <c r="I151" s="215" t="s">
        <v>15</v>
      </c>
      <c r="J151" s="216">
        <v>0.67</v>
      </c>
      <c r="K151" s="217" t="s">
        <v>33</v>
      </c>
      <c r="L151" s="218">
        <v>0.1</v>
      </c>
      <c r="M151" s="50"/>
      <c r="N151" s="48"/>
      <c r="O151" s="48"/>
      <c r="P151" s="48"/>
      <c r="Q151" s="49"/>
    </row>
    <row r="152" spans="1:17" ht="15" customHeight="1" x14ac:dyDescent="0.25">
      <c r="A152" s="213">
        <v>6206</v>
      </c>
      <c r="B152" s="213">
        <v>149</v>
      </c>
      <c r="C152" s="214" t="s">
        <v>173</v>
      </c>
      <c r="D152" s="214" t="s">
        <v>174</v>
      </c>
      <c r="E152" s="214">
        <v>30</v>
      </c>
      <c r="F152" s="214" t="s">
        <v>278</v>
      </c>
      <c r="G152" s="213">
        <v>186</v>
      </c>
      <c r="H152" s="214" t="s">
        <v>46</v>
      </c>
      <c r="I152" s="215" t="s">
        <v>15</v>
      </c>
      <c r="J152" s="216">
        <v>0.28000000000000003</v>
      </c>
      <c r="K152" s="217" t="s">
        <v>45</v>
      </c>
      <c r="L152" s="218">
        <v>0.1</v>
      </c>
      <c r="M152" s="50"/>
      <c r="N152" s="48"/>
      <c r="O152" s="48"/>
      <c r="P152" s="48"/>
      <c r="Q152" s="49"/>
    </row>
    <row r="153" spans="1:17" ht="15" customHeight="1" x14ac:dyDescent="0.25">
      <c r="A153" s="213">
        <v>6206</v>
      </c>
      <c r="B153" s="213">
        <v>149</v>
      </c>
      <c r="C153" s="214" t="s">
        <v>173</v>
      </c>
      <c r="D153" s="214" t="s">
        <v>174</v>
      </c>
      <c r="E153" s="214">
        <v>30</v>
      </c>
      <c r="F153" s="214" t="s">
        <v>279</v>
      </c>
      <c r="G153" s="213">
        <v>68</v>
      </c>
      <c r="H153" s="214" t="s">
        <v>66</v>
      </c>
      <c r="I153" s="215" t="s">
        <v>51</v>
      </c>
      <c r="J153" s="216">
        <v>1000</v>
      </c>
      <c r="K153" s="217" t="s">
        <v>332</v>
      </c>
      <c r="L153" s="218">
        <v>0.02</v>
      </c>
      <c r="M153" s="50"/>
      <c r="N153" s="48"/>
      <c r="O153" s="48"/>
      <c r="P153" s="48"/>
      <c r="Q153" s="49"/>
    </row>
    <row r="154" spans="1:17" ht="15" customHeight="1" x14ac:dyDescent="0.25">
      <c r="A154" s="213">
        <v>6206</v>
      </c>
      <c r="B154" s="213">
        <v>149</v>
      </c>
      <c r="C154" s="214" t="s">
        <v>173</v>
      </c>
      <c r="D154" s="214" t="s">
        <v>174</v>
      </c>
      <c r="E154" s="214">
        <v>30</v>
      </c>
      <c r="F154" s="214" t="s">
        <v>281</v>
      </c>
      <c r="G154" s="213">
        <v>3598</v>
      </c>
      <c r="H154" s="214" t="s">
        <v>78</v>
      </c>
      <c r="I154" s="215" t="s">
        <v>51</v>
      </c>
      <c r="J154" s="216">
        <v>4.2016</v>
      </c>
      <c r="K154" s="217" t="s">
        <v>333</v>
      </c>
      <c r="L154" s="218">
        <v>0.1</v>
      </c>
      <c r="M154" s="50"/>
      <c r="N154" s="48"/>
      <c r="O154" s="48"/>
      <c r="P154" s="48"/>
      <c r="Q154" s="49"/>
    </row>
    <row r="155" spans="1:17" ht="15" customHeight="1" x14ac:dyDescent="0.25">
      <c r="A155" s="213">
        <v>6206</v>
      </c>
      <c r="B155" s="213">
        <v>149</v>
      </c>
      <c r="C155" s="214" t="s">
        <v>173</v>
      </c>
      <c r="D155" s="214" t="s">
        <v>174</v>
      </c>
      <c r="E155" s="214">
        <v>30</v>
      </c>
      <c r="F155" s="214" t="s">
        <v>283</v>
      </c>
      <c r="G155" s="213">
        <v>194</v>
      </c>
      <c r="H155" s="214" t="s">
        <v>48</v>
      </c>
      <c r="I155" s="215" t="s">
        <v>15</v>
      </c>
      <c r="J155" s="216">
        <v>8.3199999999999993E-3</v>
      </c>
      <c r="K155" s="217" t="s">
        <v>334</v>
      </c>
      <c r="L155" s="218">
        <v>0.1</v>
      </c>
      <c r="M155" s="50"/>
      <c r="N155" s="48"/>
      <c r="O155" s="48"/>
      <c r="P155" s="48"/>
      <c r="Q155" s="49"/>
    </row>
    <row r="156" spans="1:17" ht="15" customHeight="1" x14ac:dyDescent="0.25">
      <c r="A156" s="213">
        <v>6206</v>
      </c>
      <c r="B156" s="213">
        <v>149</v>
      </c>
      <c r="C156" s="214" t="s">
        <v>173</v>
      </c>
      <c r="D156" s="214" t="s">
        <v>174</v>
      </c>
      <c r="E156" s="214">
        <v>30</v>
      </c>
      <c r="F156" s="214" t="s">
        <v>272</v>
      </c>
      <c r="G156" s="213">
        <v>4155</v>
      </c>
      <c r="H156" s="214" t="s">
        <v>276</v>
      </c>
      <c r="I156" s="215" t="s">
        <v>15</v>
      </c>
      <c r="J156" s="216">
        <v>0.28000000000000003</v>
      </c>
      <c r="K156" s="217" t="s">
        <v>25</v>
      </c>
      <c r="L156" s="218">
        <v>0.1</v>
      </c>
      <c r="M156" s="50"/>
      <c r="N156" s="48"/>
      <c r="O156" s="48"/>
      <c r="P156" s="48"/>
      <c r="Q156" s="49"/>
    </row>
    <row r="157" spans="1:17" ht="15" customHeight="1" x14ac:dyDescent="0.25">
      <c r="A157" s="213">
        <v>6206</v>
      </c>
      <c r="B157" s="213">
        <v>149</v>
      </c>
      <c r="C157" s="214" t="s">
        <v>173</v>
      </c>
      <c r="D157" s="214" t="s">
        <v>174</v>
      </c>
      <c r="E157" s="214">
        <v>30</v>
      </c>
      <c r="F157" s="214" t="s">
        <v>285</v>
      </c>
      <c r="G157" s="213">
        <v>3635</v>
      </c>
      <c r="H157" s="214" t="s">
        <v>83</v>
      </c>
      <c r="I157" s="215" t="s">
        <v>51</v>
      </c>
      <c r="J157" s="216">
        <v>0.156</v>
      </c>
      <c r="K157" s="217" t="s">
        <v>335</v>
      </c>
      <c r="L157" s="218">
        <v>0.1</v>
      </c>
      <c r="M157" s="50"/>
      <c r="N157" s="48"/>
      <c r="O157" s="48"/>
      <c r="P157" s="48"/>
      <c r="Q157" s="49"/>
    </row>
    <row r="158" spans="1:17" ht="15" customHeight="1" x14ac:dyDescent="0.25">
      <c r="A158" s="213">
        <v>6206</v>
      </c>
      <c r="B158" s="213">
        <v>149</v>
      </c>
      <c r="C158" s="214" t="s">
        <v>173</v>
      </c>
      <c r="D158" s="214" t="s">
        <v>174</v>
      </c>
      <c r="E158" s="214">
        <v>30</v>
      </c>
      <c r="F158" s="214" t="s">
        <v>339</v>
      </c>
      <c r="G158" s="213">
        <v>6935</v>
      </c>
      <c r="H158" s="214" t="s">
        <v>112</v>
      </c>
      <c r="I158" s="215" t="s">
        <v>15</v>
      </c>
      <c r="J158" s="216">
        <v>3.3000000000000002E-2</v>
      </c>
      <c r="K158" s="217" t="s">
        <v>87</v>
      </c>
      <c r="L158" s="218">
        <v>0.1</v>
      </c>
      <c r="M158" s="50"/>
      <c r="N158" s="48"/>
      <c r="O158" s="48"/>
      <c r="P158" s="48"/>
      <c r="Q158" s="49"/>
    </row>
    <row r="159" spans="1:17" ht="15" customHeight="1" x14ac:dyDescent="0.25">
      <c r="A159" s="213">
        <v>5814</v>
      </c>
      <c r="B159" s="213">
        <v>95</v>
      </c>
      <c r="C159" s="214" t="s">
        <v>175</v>
      </c>
      <c r="D159" s="214" t="s">
        <v>176</v>
      </c>
      <c r="E159" s="214">
        <v>30</v>
      </c>
      <c r="F159" s="214" t="s">
        <v>265</v>
      </c>
      <c r="G159" s="213">
        <v>406</v>
      </c>
      <c r="H159" s="214" t="s">
        <v>20</v>
      </c>
      <c r="I159" s="215" t="s">
        <v>15</v>
      </c>
      <c r="J159" s="216">
        <v>8</v>
      </c>
      <c r="K159" s="217" t="s">
        <v>330</v>
      </c>
      <c r="L159" s="218">
        <v>0.1</v>
      </c>
      <c r="M159" s="50"/>
      <c r="N159" s="48"/>
      <c r="O159" s="48"/>
      <c r="P159" s="48"/>
      <c r="Q159" s="49"/>
    </row>
    <row r="160" spans="1:17" ht="15" customHeight="1" x14ac:dyDescent="0.25">
      <c r="A160" s="213">
        <v>5814</v>
      </c>
      <c r="B160" s="213">
        <v>95</v>
      </c>
      <c r="C160" s="214" t="s">
        <v>175</v>
      </c>
      <c r="D160" s="214" t="s">
        <v>176</v>
      </c>
      <c r="E160" s="214">
        <v>30</v>
      </c>
      <c r="F160" s="214" t="s">
        <v>277</v>
      </c>
      <c r="G160" s="213">
        <v>3595</v>
      </c>
      <c r="H160" s="214" t="s">
        <v>331</v>
      </c>
      <c r="I160" s="215" t="s">
        <v>15</v>
      </c>
      <c r="J160" s="216">
        <v>0.66839999999999999</v>
      </c>
      <c r="K160" s="217" t="s">
        <v>33</v>
      </c>
      <c r="L160" s="218">
        <v>0.1</v>
      </c>
      <c r="M160" s="48"/>
      <c r="N160" s="48"/>
      <c r="O160" s="48"/>
      <c r="P160" s="48"/>
      <c r="Q160" s="49"/>
    </row>
    <row r="161" spans="1:17" ht="15" customHeight="1" x14ac:dyDescent="0.25">
      <c r="A161" s="213">
        <v>5814</v>
      </c>
      <c r="B161" s="213">
        <v>95</v>
      </c>
      <c r="C161" s="214" t="s">
        <v>175</v>
      </c>
      <c r="D161" s="214" t="s">
        <v>176</v>
      </c>
      <c r="E161" s="214">
        <v>30</v>
      </c>
      <c r="F161" s="214" t="s">
        <v>278</v>
      </c>
      <c r="G161" s="213">
        <v>186</v>
      </c>
      <c r="H161" s="214" t="s">
        <v>46</v>
      </c>
      <c r="I161" s="215" t="s">
        <v>15</v>
      </c>
      <c r="J161" s="216">
        <v>0.12</v>
      </c>
      <c r="K161" s="217" t="s">
        <v>45</v>
      </c>
      <c r="L161" s="218">
        <v>0.1</v>
      </c>
      <c r="M161" s="50"/>
      <c r="N161" s="48"/>
      <c r="O161" s="48"/>
      <c r="P161" s="48"/>
      <c r="Q161" s="49"/>
    </row>
    <row r="162" spans="1:17" ht="15" customHeight="1" x14ac:dyDescent="0.25">
      <c r="A162" s="213">
        <v>5814</v>
      </c>
      <c r="B162" s="213">
        <v>95</v>
      </c>
      <c r="C162" s="214" t="s">
        <v>175</v>
      </c>
      <c r="D162" s="214" t="s">
        <v>176</v>
      </c>
      <c r="E162" s="214">
        <v>30</v>
      </c>
      <c r="F162" s="214" t="s">
        <v>279</v>
      </c>
      <c r="G162" s="213">
        <v>578</v>
      </c>
      <c r="H162" s="214" t="s">
        <v>72</v>
      </c>
      <c r="I162" s="215" t="s">
        <v>51</v>
      </c>
      <c r="J162" s="216">
        <v>1000</v>
      </c>
      <c r="K162" s="217" t="s">
        <v>332</v>
      </c>
      <c r="L162" s="218">
        <v>0.02</v>
      </c>
      <c r="M162" s="48"/>
      <c r="N162" s="48"/>
      <c r="O162" s="48"/>
      <c r="P162" s="48"/>
      <c r="Q162" s="49"/>
    </row>
    <row r="163" spans="1:17" ht="15" customHeight="1" x14ac:dyDescent="0.25">
      <c r="A163" s="213">
        <v>5814</v>
      </c>
      <c r="B163" s="213">
        <v>95</v>
      </c>
      <c r="C163" s="214" t="s">
        <v>175</v>
      </c>
      <c r="D163" s="214" t="s">
        <v>176</v>
      </c>
      <c r="E163" s="214">
        <v>30</v>
      </c>
      <c r="F163" s="214" t="s">
        <v>272</v>
      </c>
      <c r="G163" s="213">
        <v>4155</v>
      </c>
      <c r="H163" s="214" t="s">
        <v>276</v>
      </c>
      <c r="I163" s="215" t="s">
        <v>15</v>
      </c>
      <c r="J163" s="216">
        <v>0.2959</v>
      </c>
      <c r="K163" s="217" t="s">
        <v>25</v>
      </c>
      <c r="L163" s="218">
        <v>0.1</v>
      </c>
      <c r="M163" s="48"/>
      <c r="N163" s="48"/>
      <c r="O163" s="48"/>
      <c r="P163" s="48"/>
      <c r="Q163" s="49"/>
    </row>
    <row r="164" spans="1:17" ht="15" customHeight="1" x14ac:dyDescent="0.25">
      <c r="A164" s="213">
        <v>5814</v>
      </c>
      <c r="B164" s="213">
        <v>95</v>
      </c>
      <c r="C164" s="214" t="s">
        <v>175</v>
      </c>
      <c r="D164" s="214" t="s">
        <v>176</v>
      </c>
      <c r="E164" s="214">
        <v>30</v>
      </c>
      <c r="F164" s="214" t="s">
        <v>285</v>
      </c>
      <c r="G164" s="213">
        <v>3635</v>
      </c>
      <c r="H164" s="214" t="s">
        <v>83</v>
      </c>
      <c r="I164" s="215" t="s">
        <v>51</v>
      </c>
      <c r="J164" s="216">
        <v>0.156</v>
      </c>
      <c r="K164" s="217" t="s">
        <v>335</v>
      </c>
      <c r="L164" s="218">
        <v>0.1</v>
      </c>
      <c r="M164" s="48"/>
      <c r="N164" s="48"/>
      <c r="O164" s="48"/>
      <c r="P164" s="48"/>
      <c r="Q164" s="49"/>
    </row>
    <row r="165" spans="1:17" ht="15" customHeight="1" x14ac:dyDescent="0.25">
      <c r="A165" s="213">
        <v>5814</v>
      </c>
      <c r="B165" s="213">
        <v>95</v>
      </c>
      <c r="C165" s="214" t="s">
        <v>175</v>
      </c>
      <c r="D165" s="214" t="s">
        <v>176</v>
      </c>
      <c r="E165" s="214">
        <v>30</v>
      </c>
      <c r="F165" s="214" t="s">
        <v>281</v>
      </c>
      <c r="G165" s="213">
        <v>3598</v>
      </c>
      <c r="H165" s="214" t="s">
        <v>78</v>
      </c>
      <c r="I165" s="215" t="s">
        <v>51</v>
      </c>
      <c r="J165" s="216">
        <v>4.202</v>
      </c>
      <c r="K165" s="217" t="s">
        <v>333</v>
      </c>
      <c r="L165" s="218">
        <v>0.1</v>
      </c>
      <c r="M165" s="48"/>
      <c r="N165" s="48"/>
      <c r="O165" s="48"/>
      <c r="P165" s="48"/>
      <c r="Q165" s="49"/>
    </row>
    <row r="166" spans="1:17" ht="15" customHeight="1" x14ac:dyDescent="0.25">
      <c r="A166" s="213">
        <v>4050</v>
      </c>
      <c r="B166" s="213">
        <v>19</v>
      </c>
      <c r="C166" s="214" t="s">
        <v>223</v>
      </c>
      <c r="D166" s="214" t="s">
        <v>224</v>
      </c>
      <c r="E166" s="214">
        <v>30</v>
      </c>
      <c r="F166" s="214" t="s">
        <v>265</v>
      </c>
      <c r="G166" s="213">
        <v>406</v>
      </c>
      <c r="H166" s="214" t="s">
        <v>20</v>
      </c>
      <c r="I166" s="215" t="s">
        <v>15</v>
      </c>
      <c r="J166" s="216">
        <v>8</v>
      </c>
      <c r="K166" s="217" t="s">
        <v>330</v>
      </c>
      <c r="L166" s="218">
        <v>0.1</v>
      </c>
      <c r="M166" s="50"/>
      <c r="N166" s="48"/>
      <c r="O166" s="48"/>
      <c r="P166" s="48"/>
      <c r="Q166" s="49"/>
    </row>
    <row r="167" spans="1:17" ht="15" customHeight="1" x14ac:dyDescent="0.25">
      <c r="A167" s="213">
        <v>4050</v>
      </c>
      <c r="B167" s="213">
        <v>19</v>
      </c>
      <c r="C167" s="214" t="s">
        <v>223</v>
      </c>
      <c r="D167" s="214" t="s">
        <v>224</v>
      </c>
      <c r="E167" s="214">
        <v>30</v>
      </c>
      <c r="F167" s="214" t="s">
        <v>277</v>
      </c>
      <c r="G167" s="213">
        <v>3595</v>
      </c>
      <c r="H167" s="214" t="s">
        <v>331</v>
      </c>
      <c r="I167" s="215" t="s">
        <v>15</v>
      </c>
      <c r="J167" s="216">
        <v>0.66839999999999999</v>
      </c>
      <c r="K167" s="217" t="s">
        <v>33</v>
      </c>
      <c r="L167" s="218">
        <v>0.1</v>
      </c>
      <c r="M167" s="50"/>
      <c r="N167" s="48"/>
      <c r="O167" s="48"/>
      <c r="P167" s="48"/>
      <c r="Q167" s="49"/>
    </row>
    <row r="168" spans="1:17" ht="15" customHeight="1" x14ac:dyDescent="0.25">
      <c r="A168" s="213">
        <v>4050</v>
      </c>
      <c r="B168" s="213">
        <v>19</v>
      </c>
      <c r="C168" s="214" t="s">
        <v>223</v>
      </c>
      <c r="D168" s="214" t="s">
        <v>224</v>
      </c>
      <c r="E168" s="214">
        <v>30</v>
      </c>
      <c r="F168" s="214" t="s">
        <v>278</v>
      </c>
      <c r="G168" s="213">
        <v>186</v>
      </c>
      <c r="H168" s="214" t="s">
        <v>46</v>
      </c>
      <c r="I168" s="215" t="s">
        <v>15</v>
      </c>
      <c r="J168" s="216">
        <v>0.12</v>
      </c>
      <c r="K168" s="217" t="s">
        <v>45</v>
      </c>
      <c r="L168" s="218">
        <v>0.1</v>
      </c>
      <c r="M168" s="50"/>
      <c r="N168" s="48"/>
      <c r="O168" s="48"/>
      <c r="P168" s="48"/>
      <c r="Q168" s="49"/>
    </row>
    <row r="169" spans="1:17" ht="15" customHeight="1" x14ac:dyDescent="0.25">
      <c r="A169" s="213">
        <v>4050</v>
      </c>
      <c r="B169" s="213">
        <v>19</v>
      </c>
      <c r="C169" s="214" t="s">
        <v>223</v>
      </c>
      <c r="D169" s="214" t="s">
        <v>224</v>
      </c>
      <c r="E169" s="214">
        <v>30</v>
      </c>
      <c r="F169" s="214" t="s">
        <v>279</v>
      </c>
      <c r="G169" s="213">
        <v>578</v>
      </c>
      <c r="H169" s="214" t="s">
        <v>72</v>
      </c>
      <c r="I169" s="215" t="s">
        <v>51</v>
      </c>
      <c r="J169" s="216">
        <v>1000</v>
      </c>
      <c r="K169" s="217" t="s">
        <v>332</v>
      </c>
      <c r="L169" s="218">
        <v>0.02</v>
      </c>
      <c r="M169" s="50"/>
      <c r="N169" s="48"/>
      <c r="O169" s="48"/>
      <c r="P169" s="48"/>
      <c r="Q169" s="49"/>
    </row>
    <row r="170" spans="1:17" ht="15" customHeight="1" x14ac:dyDescent="0.25">
      <c r="A170" s="213">
        <v>4050</v>
      </c>
      <c r="B170" s="213">
        <v>19</v>
      </c>
      <c r="C170" s="214" t="s">
        <v>223</v>
      </c>
      <c r="D170" s="214" t="s">
        <v>224</v>
      </c>
      <c r="E170" s="214">
        <v>30</v>
      </c>
      <c r="F170" s="214" t="s">
        <v>281</v>
      </c>
      <c r="G170" s="213">
        <v>45</v>
      </c>
      <c r="H170" s="214" t="s">
        <v>79</v>
      </c>
      <c r="I170" s="215" t="s">
        <v>51</v>
      </c>
      <c r="J170" s="216">
        <v>6.6660000000000004</v>
      </c>
      <c r="K170" s="217" t="s">
        <v>333</v>
      </c>
      <c r="L170" s="218">
        <v>0.1</v>
      </c>
      <c r="M170" s="50"/>
      <c r="N170" s="48"/>
      <c r="O170" s="48"/>
      <c r="P170" s="48"/>
      <c r="Q170" s="49"/>
    </row>
    <row r="171" spans="1:17" ht="15" customHeight="1" x14ac:dyDescent="0.25">
      <c r="A171" s="213">
        <v>4050</v>
      </c>
      <c r="B171" s="213">
        <v>19</v>
      </c>
      <c r="C171" s="214" t="s">
        <v>223</v>
      </c>
      <c r="D171" s="214" t="s">
        <v>224</v>
      </c>
      <c r="E171" s="214">
        <v>30</v>
      </c>
      <c r="F171" s="214" t="s">
        <v>283</v>
      </c>
      <c r="G171" s="213">
        <v>194</v>
      </c>
      <c r="H171" s="214" t="s">
        <v>48</v>
      </c>
      <c r="I171" s="215" t="s">
        <v>15</v>
      </c>
      <c r="J171" s="216">
        <v>8.3199999999999993E-3</v>
      </c>
      <c r="K171" s="217" t="s">
        <v>334</v>
      </c>
      <c r="L171" s="218">
        <v>0.1</v>
      </c>
      <c r="M171" s="50"/>
      <c r="N171" s="48"/>
      <c r="O171" s="48"/>
      <c r="P171" s="48"/>
      <c r="Q171" s="49"/>
    </row>
    <row r="172" spans="1:17" ht="15" customHeight="1" x14ac:dyDescent="0.25">
      <c r="A172" s="213">
        <v>4050</v>
      </c>
      <c r="B172" s="213">
        <v>19</v>
      </c>
      <c r="C172" s="214" t="s">
        <v>223</v>
      </c>
      <c r="D172" s="214" t="s">
        <v>224</v>
      </c>
      <c r="E172" s="214">
        <v>30</v>
      </c>
      <c r="F172" s="214" t="s">
        <v>272</v>
      </c>
      <c r="G172" s="213">
        <v>4155</v>
      </c>
      <c r="H172" s="214" t="s">
        <v>276</v>
      </c>
      <c r="I172" s="215" t="s">
        <v>15</v>
      </c>
      <c r="J172" s="216">
        <v>0.2959</v>
      </c>
      <c r="K172" s="217" t="s">
        <v>25</v>
      </c>
      <c r="L172" s="218">
        <v>0.1</v>
      </c>
      <c r="M172" s="50"/>
      <c r="N172" s="48"/>
      <c r="O172" s="48"/>
      <c r="P172" s="48"/>
      <c r="Q172" s="49"/>
    </row>
    <row r="173" spans="1:17" ht="15" customHeight="1" x14ac:dyDescent="0.25">
      <c r="A173" s="213">
        <v>4050</v>
      </c>
      <c r="B173" s="213">
        <v>19</v>
      </c>
      <c r="C173" s="214" t="s">
        <v>223</v>
      </c>
      <c r="D173" s="214" t="s">
        <v>224</v>
      </c>
      <c r="E173" s="214">
        <v>30</v>
      </c>
      <c r="F173" s="214" t="s">
        <v>285</v>
      </c>
      <c r="G173" s="213">
        <v>3635</v>
      </c>
      <c r="H173" s="214" t="s">
        <v>83</v>
      </c>
      <c r="I173" s="215" t="s">
        <v>51</v>
      </c>
      <c r="J173" s="216">
        <v>0.156</v>
      </c>
      <c r="K173" s="217" t="s">
        <v>335</v>
      </c>
      <c r="L173" s="218">
        <v>0.1</v>
      </c>
      <c r="M173" s="50"/>
      <c r="N173" s="48"/>
      <c r="O173" s="48"/>
      <c r="P173" s="48"/>
      <c r="Q173" s="49"/>
    </row>
    <row r="174" spans="1:17" ht="15" customHeight="1" x14ac:dyDescent="0.25">
      <c r="A174" s="213">
        <v>6312</v>
      </c>
      <c r="B174" s="213">
        <v>157</v>
      </c>
      <c r="C174" s="214" t="s">
        <v>223</v>
      </c>
      <c r="D174" s="214" t="s">
        <v>225</v>
      </c>
      <c r="E174" s="214">
        <v>30</v>
      </c>
      <c r="F174" s="214" t="s">
        <v>265</v>
      </c>
      <c r="G174" s="213">
        <v>406</v>
      </c>
      <c r="H174" s="214" t="s">
        <v>20</v>
      </c>
      <c r="I174" s="215" t="s">
        <v>15</v>
      </c>
      <c r="J174" s="216">
        <v>8</v>
      </c>
      <c r="K174" s="217" t="s">
        <v>330</v>
      </c>
      <c r="L174" s="218">
        <v>0.1</v>
      </c>
      <c r="M174" s="50"/>
      <c r="N174" s="48"/>
      <c r="O174" s="48"/>
      <c r="P174" s="48"/>
      <c r="Q174" s="49"/>
    </row>
    <row r="175" spans="1:17" ht="15" customHeight="1" x14ac:dyDescent="0.25">
      <c r="A175" s="213">
        <v>6312</v>
      </c>
      <c r="B175" s="213">
        <v>157</v>
      </c>
      <c r="C175" s="214" t="s">
        <v>223</v>
      </c>
      <c r="D175" s="214" t="s">
        <v>225</v>
      </c>
      <c r="E175" s="214">
        <v>30</v>
      </c>
      <c r="F175" s="214" t="s">
        <v>277</v>
      </c>
      <c r="G175" s="213">
        <v>3595</v>
      </c>
      <c r="H175" s="214" t="s">
        <v>331</v>
      </c>
      <c r="I175" s="215" t="s">
        <v>15</v>
      </c>
      <c r="J175" s="216">
        <v>0.67</v>
      </c>
      <c r="K175" s="217" t="s">
        <v>33</v>
      </c>
      <c r="L175" s="218">
        <v>0.1</v>
      </c>
      <c r="M175" s="50"/>
      <c r="N175" s="48"/>
      <c r="O175" s="48"/>
      <c r="P175" s="48"/>
      <c r="Q175" s="49"/>
    </row>
    <row r="176" spans="1:17" ht="15" customHeight="1" x14ac:dyDescent="0.25">
      <c r="A176" s="213">
        <v>6312</v>
      </c>
      <c r="B176" s="213">
        <v>157</v>
      </c>
      <c r="C176" s="214" t="s">
        <v>223</v>
      </c>
      <c r="D176" s="214" t="s">
        <v>225</v>
      </c>
      <c r="E176" s="214">
        <v>30</v>
      </c>
      <c r="F176" s="214" t="s">
        <v>281</v>
      </c>
      <c r="G176" s="213">
        <v>45</v>
      </c>
      <c r="H176" s="214" t="s">
        <v>79</v>
      </c>
      <c r="I176" s="215" t="s">
        <v>51</v>
      </c>
      <c r="J176" s="216">
        <v>6.6665999999999999</v>
      </c>
      <c r="K176" s="217" t="s">
        <v>333</v>
      </c>
      <c r="L176" s="218">
        <v>0.1</v>
      </c>
      <c r="M176" s="48"/>
      <c r="N176" s="48"/>
      <c r="O176" s="48"/>
      <c r="P176" s="48"/>
      <c r="Q176" s="49"/>
    </row>
    <row r="177" spans="1:17" ht="15" customHeight="1" x14ac:dyDescent="0.25">
      <c r="A177" s="213">
        <v>6312</v>
      </c>
      <c r="B177" s="213">
        <v>157</v>
      </c>
      <c r="C177" s="214" t="s">
        <v>223</v>
      </c>
      <c r="D177" s="214" t="s">
        <v>225</v>
      </c>
      <c r="E177" s="214">
        <v>30</v>
      </c>
      <c r="F177" s="214" t="s">
        <v>272</v>
      </c>
      <c r="G177" s="213">
        <v>4155</v>
      </c>
      <c r="H177" s="214" t="s">
        <v>276</v>
      </c>
      <c r="I177" s="215" t="s">
        <v>15</v>
      </c>
      <c r="J177" s="216">
        <v>0.28000000000000003</v>
      </c>
      <c r="K177" s="217" t="s">
        <v>25</v>
      </c>
      <c r="L177" s="218">
        <v>0.1</v>
      </c>
      <c r="M177" s="50"/>
      <c r="N177" s="48"/>
      <c r="O177" s="48"/>
      <c r="P177" s="48"/>
      <c r="Q177" s="49"/>
    </row>
    <row r="178" spans="1:17" ht="15" customHeight="1" x14ac:dyDescent="0.25">
      <c r="A178" s="213">
        <v>6312</v>
      </c>
      <c r="B178" s="213">
        <v>157</v>
      </c>
      <c r="C178" s="214" t="s">
        <v>223</v>
      </c>
      <c r="D178" s="214" t="s">
        <v>225</v>
      </c>
      <c r="E178" s="214">
        <v>30</v>
      </c>
      <c r="F178" s="214" t="s">
        <v>285</v>
      </c>
      <c r="G178" s="213">
        <v>3635</v>
      </c>
      <c r="H178" s="214" t="s">
        <v>83</v>
      </c>
      <c r="I178" s="215" t="s">
        <v>51</v>
      </c>
      <c r="J178" s="216">
        <v>0.156</v>
      </c>
      <c r="K178" s="217" t="s">
        <v>82</v>
      </c>
      <c r="L178" s="218">
        <v>0.1</v>
      </c>
      <c r="M178" s="48"/>
      <c r="N178" s="48"/>
      <c r="O178" s="48"/>
      <c r="P178" s="48"/>
      <c r="Q178" s="49"/>
    </row>
    <row r="179" spans="1:17" ht="15" customHeight="1" x14ac:dyDescent="0.25">
      <c r="A179" s="213">
        <v>6312</v>
      </c>
      <c r="B179" s="213">
        <v>157</v>
      </c>
      <c r="C179" s="214" t="s">
        <v>223</v>
      </c>
      <c r="D179" s="214" t="s">
        <v>225</v>
      </c>
      <c r="E179" s="214">
        <v>30</v>
      </c>
      <c r="F179" s="214" t="s">
        <v>283</v>
      </c>
      <c r="G179" s="213">
        <v>194</v>
      </c>
      <c r="H179" s="214" t="s">
        <v>48</v>
      </c>
      <c r="I179" s="215" t="s">
        <v>15</v>
      </c>
      <c r="J179" s="216">
        <v>8.3199999999999993E-3</v>
      </c>
      <c r="K179" s="217" t="s">
        <v>283</v>
      </c>
      <c r="L179" s="218">
        <v>0.1</v>
      </c>
      <c r="M179" s="48"/>
      <c r="N179" s="48"/>
      <c r="O179" s="48"/>
      <c r="P179" s="48"/>
      <c r="Q179" s="49"/>
    </row>
    <row r="180" spans="1:17" ht="15" customHeight="1" x14ac:dyDescent="0.25">
      <c r="A180" s="213">
        <v>6595</v>
      </c>
      <c r="B180" s="213">
        <v>191</v>
      </c>
      <c r="C180" s="214" t="s">
        <v>221</v>
      </c>
      <c r="D180" s="214" t="s">
        <v>222</v>
      </c>
      <c r="E180" s="214">
        <v>30</v>
      </c>
      <c r="F180" s="214" t="s">
        <v>265</v>
      </c>
      <c r="G180" s="213">
        <v>406</v>
      </c>
      <c r="H180" s="214" t="s">
        <v>20</v>
      </c>
      <c r="I180" s="215" t="s">
        <v>15</v>
      </c>
      <c r="J180" s="216">
        <v>8</v>
      </c>
      <c r="K180" s="217" t="s">
        <v>330</v>
      </c>
      <c r="L180" s="218">
        <v>0.1</v>
      </c>
      <c r="M180" s="48"/>
      <c r="N180" s="48"/>
      <c r="O180" s="48"/>
      <c r="P180" s="48"/>
      <c r="Q180" s="49"/>
    </row>
    <row r="181" spans="1:17" ht="15" customHeight="1" x14ac:dyDescent="0.25">
      <c r="A181" s="213">
        <v>6595</v>
      </c>
      <c r="B181" s="213">
        <v>191</v>
      </c>
      <c r="C181" s="214" t="s">
        <v>221</v>
      </c>
      <c r="D181" s="214" t="s">
        <v>222</v>
      </c>
      <c r="E181" s="214">
        <v>30</v>
      </c>
      <c r="F181" s="214" t="s">
        <v>277</v>
      </c>
      <c r="G181" s="213">
        <v>3595</v>
      </c>
      <c r="H181" s="214" t="s">
        <v>331</v>
      </c>
      <c r="I181" s="215" t="s">
        <v>15</v>
      </c>
      <c r="J181" s="216">
        <v>0.67</v>
      </c>
      <c r="K181" s="217" t="s">
        <v>33</v>
      </c>
      <c r="L181" s="218">
        <v>0.1</v>
      </c>
      <c r="M181" s="48"/>
      <c r="N181" s="48"/>
      <c r="O181" s="48"/>
      <c r="P181" s="48"/>
      <c r="Q181" s="49"/>
    </row>
    <row r="182" spans="1:17" ht="15" customHeight="1" x14ac:dyDescent="0.25">
      <c r="A182" s="213">
        <v>6595</v>
      </c>
      <c r="B182" s="213">
        <v>191</v>
      </c>
      <c r="C182" s="214" t="s">
        <v>221</v>
      </c>
      <c r="D182" s="214" t="s">
        <v>222</v>
      </c>
      <c r="E182" s="214">
        <v>30</v>
      </c>
      <c r="F182" s="214" t="s">
        <v>278</v>
      </c>
      <c r="G182" s="213">
        <v>186</v>
      </c>
      <c r="H182" s="214" t="s">
        <v>46</v>
      </c>
      <c r="I182" s="215" t="s">
        <v>15</v>
      </c>
      <c r="J182" s="216">
        <v>0.28000000000000003</v>
      </c>
      <c r="K182" s="217" t="s">
        <v>45</v>
      </c>
      <c r="L182" s="218">
        <v>0.1</v>
      </c>
      <c r="M182" s="50"/>
      <c r="N182" s="48"/>
      <c r="O182" s="48"/>
      <c r="P182" s="48"/>
      <c r="Q182" s="49"/>
    </row>
    <row r="183" spans="1:17" ht="15" customHeight="1" x14ac:dyDescent="0.25">
      <c r="A183" s="213">
        <v>6595</v>
      </c>
      <c r="B183" s="213">
        <v>191</v>
      </c>
      <c r="C183" s="214" t="s">
        <v>221</v>
      </c>
      <c r="D183" s="214" t="s">
        <v>222</v>
      </c>
      <c r="E183" s="214">
        <v>30</v>
      </c>
      <c r="F183" s="214" t="s">
        <v>279</v>
      </c>
      <c r="G183" s="213">
        <v>3211</v>
      </c>
      <c r="H183" s="214" t="s">
        <v>59</v>
      </c>
      <c r="I183" s="215" t="s">
        <v>51</v>
      </c>
      <c r="J183" s="216">
        <v>1000</v>
      </c>
      <c r="K183" s="217" t="s">
        <v>332</v>
      </c>
      <c r="L183" s="218">
        <v>0.02</v>
      </c>
      <c r="M183" s="50"/>
      <c r="N183" s="48"/>
      <c r="O183" s="48"/>
      <c r="P183" s="48"/>
      <c r="Q183" s="49"/>
    </row>
    <row r="184" spans="1:17" ht="15" customHeight="1" x14ac:dyDescent="0.25">
      <c r="A184" s="213">
        <v>6595</v>
      </c>
      <c r="B184" s="213">
        <v>191</v>
      </c>
      <c r="C184" s="214" t="s">
        <v>221</v>
      </c>
      <c r="D184" s="214" t="s">
        <v>222</v>
      </c>
      <c r="E184" s="214">
        <v>30</v>
      </c>
      <c r="F184" s="214" t="s">
        <v>281</v>
      </c>
      <c r="G184" s="213">
        <v>3598</v>
      </c>
      <c r="H184" s="214" t="s">
        <v>78</v>
      </c>
      <c r="I184" s="215" t="s">
        <v>51</v>
      </c>
      <c r="J184" s="216">
        <v>4.2016</v>
      </c>
      <c r="K184" s="217" t="s">
        <v>333</v>
      </c>
      <c r="L184" s="218">
        <v>0.1</v>
      </c>
      <c r="M184" s="50"/>
      <c r="N184" s="48"/>
      <c r="O184" s="48"/>
      <c r="P184" s="48"/>
      <c r="Q184" s="49"/>
    </row>
    <row r="185" spans="1:17" ht="15" customHeight="1" x14ac:dyDescent="0.25">
      <c r="A185" s="213">
        <v>6595</v>
      </c>
      <c r="B185" s="213">
        <v>191</v>
      </c>
      <c r="C185" s="214" t="s">
        <v>221</v>
      </c>
      <c r="D185" s="214" t="s">
        <v>222</v>
      </c>
      <c r="E185" s="214">
        <v>30</v>
      </c>
      <c r="F185" s="214" t="s">
        <v>272</v>
      </c>
      <c r="G185" s="213">
        <v>4155</v>
      </c>
      <c r="H185" s="214" t="s">
        <v>276</v>
      </c>
      <c r="I185" s="215" t="s">
        <v>29</v>
      </c>
      <c r="J185" s="216">
        <v>0.28000000000000003</v>
      </c>
      <c r="K185" s="217" t="s">
        <v>25</v>
      </c>
      <c r="L185" s="218">
        <v>0.1</v>
      </c>
      <c r="M185" s="50"/>
      <c r="N185" s="48"/>
      <c r="O185" s="48"/>
      <c r="P185" s="48"/>
      <c r="Q185" s="49"/>
    </row>
    <row r="186" spans="1:17" ht="15" customHeight="1" x14ac:dyDescent="0.25">
      <c r="A186" s="213">
        <v>6595</v>
      </c>
      <c r="B186" s="213">
        <v>191</v>
      </c>
      <c r="C186" s="214" t="s">
        <v>221</v>
      </c>
      <c r="D186" s="214" t="s">
        <v>222</v>
      </c>
      <c r="E186" s="214">
        <v>30</v>
      </c>
      <c r="F186" s="214" t="s">
        <v>283</v>
      </c>
      <c r="G186" s="213">
        <v>194</v>
      </c>
      <c r="H186" s="214" t="s">
        <v>48</v>
      </c>
      <c r="I186" s="215" t="s">
        <v>15</v>
      </c>
      <c r="J186" s="216">
        <v>8.3219999999999995E-3</v>
      </c>
      <c r="K186" s="217" t="s">
        <v>334</v>
      </c>
      <c r="L186" s="218">
        <v>0.1</v>
      </c>
      <c r="M186" s="50"/>
      <c r="N186" s="48"/>
      <c r="O186" s="48"/>
      <c r="P186" s="48"/>
      <c r="Q186" s="49"/>
    </row>
    <row r="187" spans="1:17" ht="15" customHeight="1" x14ac:dyDescent="0.25">
      <c r="A187" s="213">
        <v>6595</v>
      </c>
      <c r="B187" s="213">
        <v>191</v>
      </c>
      <c r="C187" s="214" t="s">
        <v>221</v>
      </c>
      <c r="D187" s="214" t="s">
        <v>222</v>
      </c>
      <c r="E187" s="214">
        <v>30</v>
      </c>
      <c r="F187" s="214" t="s">
        <v>285</v>
      </c>
      <c r="G187" s="213">
        <v>3635</v>
      </c>
      <c r="H187" s="214" t="s">
        <v>83</v>
      </c>
      <c r="I187" s="215" t="s">
        <v>51</v>
      </c>
      <c r="J187" s="216">
        <v>0.156</v>
      </c>
      <c r="K187" s="217" t="s">
        <v>335</v>
      </c>
      <c r="L187" s="218">
        <v>0.1</v>
      </c>
      <c r="M187" s="48"/>
      <c r="N187" s="48"/>
      <c r="O187" s="48"/>
      <c r="P187" s="48"/>
      <c r="Q187" s="49"/>
    </row>
    <row r="188" spans="1:17" ht="15" customHeight="1" x14ac:dyDescent="0.25">
      <c r="A188" s="213">
        <v>5782</v>
      </c>
      <c r="B188" s="213">
        <v>70</v>
      </c>
      <c r="C188" s="214" t="s">
        <v>233</v>
      </c>
      <c r="D188" s="214" t="s">
        <v>234</v>
      </c>
      <c r="E188" s="214">
        <v>32</v>
      </c>
      <c r="F188" s="214" t="s">
        <v>265</v>
      </c>
      <c r="G188" s="213">
        <v>3935</v>
      </c>
      <c r="H188" s="214" t="s">
        <v>21</v>
      </c>
      <c r="I188" s="215" t="s">
        <v>15</v>
      </c>
      <c r="J188" s="216">
        <v>10.863200000000001</v>
      </c>
      <c r="K188" s="217" t="s">
        <v>330</v>
      </c>
      <c r="L188" s="218">
        <v>0.1</v>
      </c>
      <c r="M188" s="50"/>
      <c r="N188" s="48"/>
      <c r="O188" s="48"/>
      <c r="P188" s="48"/>
      <c r="Q188" s="49"/>
    </row>
    <row r="189" spans="1:17" ht="15" customHeight="1" x14ac:dyDescent="0.25">
      <c r="A189" s="213">
        <v>5782</v>
      </c>
      <c r="B189" s="213">
        <v>70</v>
      </c>
      <c r="C189" s="214" t="s">
        <v>233</v>
      </c>
      <c r="D189" s="214" t="s">
        <v>234</v>
      </c>
      <c r="E189" s="214">
        <v>32</v>
      </c>
      <c r="F189" s="214" t="s">
        <v>277</v>
      </c>
      <c r="G189" s="213">
        <v>3595</v>
      </c>
      <c r="H189" s="214" t="s">
        <v>331</v>
      </c>
      <c r="I189" s="215" t="s">
        <v>15</v>
      </c>
      <c r="J189" s="216">
        <v>0.78</v>
      </c>
      <c r="K189" s="217" t="s">
        <v>33</v>
      </c>
      <c r="L189" s="218">
        <v>0.1</v>
      </c>
      <c r="M189" s="50"/>
      <c r="N189" s="48"/>
      <c r="O189" s="48"/>
      <c r="P189" s="48"/>
      <c r="Q189" s="49"/>
    </row>
    <row r="190" spans="1:17" ht="15" customHeight="1" x14ac:dyDescent="0.25">
      <c r="A190" s="213">
        <v>5782</v>
      </c>
      <c r="B190" s="213">
        <v>70</v>
      </c>
      <c r="C190" s="214" t="s">
        <v>233</v>
      </c>
      <c r="D190" s="214" t="s">
        <v>234</v>
      </c>
      <c r="E190" s="214">
        <v>32</v>
      </c>
      <c r="F190" s="214" t="s">
        <v>278</v>
      </c>
      <c r="G190" s="213">
        <v>186</v>
      </c>
      <c r="H190" s="214" t="s">
        <v>46</v>
      </c>
      <c r="I190" s="215" t="s">
        <v>15</v>
      </c>
      <c r="J190" s="216">
        <v>0.7</v>
      </c>
      <c r="K190" s="217" t="s">
        <v>45</v>
      </c>
      <c r="L190" s="218">
        <v>0.1</v>
      </c>
      <c r="M190" s="50"/>
      <c r="N190" s="48"/>
      <c r="O190" s="48"/>
      <c r="P190" s="48"/>
      <c r="Q190" s="49"/>
    </row>
    <row r="191" spans="1:17" ht="15" customHeight="1" x14ac:dyDescent="0.25">
      <c r="A191" s="213">
        <v>5782</v>
      </c>
      <c r="B191" s="213">
        <v>70</v>
      </c>
      <c r="C191" s="214" t="s">
        <v>233</v>
      </c>
      <c r="D191" s="214" t="s">
        <v>234</v>
      </c>
      <c r="E191" s="214">
        <v>32</v>
      </c>
      <c r="F191" s="214" t="s">
        <v>279</v>
      </c>
      <c r="G191" s="213">
        <v>1285</v>
      </c>
      <c r="H191" s="214" t="s">
        <v>69</v>
      </c>
      <c r="I191" s="215" t="s">
        <v>51</v>
      </c>
      <c r="J191" s="216">
        <v>1000</v>
      </c>
      <c r="K191" s="217" t="s">
        <v>332</v>
      </c>
      <c r="L191" s="218">
        <v>0.02</v>
      </c>
      <c r="M191" s="50"/>
      <c r="N191" s="48"/>
      <c r="O191" s="48"/>
      <c r="P191" s="48"/>
      <c r="Q191" s="49"/>
    </row>
    <row r="192" spans="1:17" ht="15" customHeight="1" x14ac:dyDescent="0.25">
      <c r="A192" s="213">
        <v>5782</v>
      </c>
      <c r="B192" s="213">
        <v>70</v>
      </c>
      <c r="C192" s="214" t="s">
        <v>233</v>
      </c>
      <c r="D192" s="214" t="s">
        <v>234</v>
      </c>
      <c r="E192" s="214">
        <v>32</v>
      </c>
      <c r="F192" s="214" t="s">
        <v>281</v>
      </c>
      <c r="G192" s="213">
        <v>3988</v>
      </c>
      <c r="H192" s="214" t="s">
        <v>340</v>
      </c>
      <c r="I192" s="215" t="s">
        <v>51</v>
      </c>
      <c r="J192" s="216">
        <v>6.06</v>
      </c>
      <c r="K192" s="217" t="s">
        <v>333</v>
      </c>
      <c r="L192" s="218">
        <v>0.1</v>
      </c>
      <c r="M192" s="48"/>
      <c r="N192" s="48"/>
      <c r="O192" s="48"/>
      <c r="P192" s="48"/>
      <c r="Q192" s="49"/>
    </row>
    <row r="193" spans="1:17" ht="15" customHeight="1" x14ac:dyDescent="0.25">
      <c r="A193" s="213">
        <v>5782</v>
      </c>
      <c r="B193" s="213">
        <v>70</v>
      </c>
      <c r="C193" s="214" t="s">
        <v>233</v>
      </c>
      <c r="D193" s="214" t="s">
        <v>234</v>
      </c>
      <c r="E193" s="214">
        <v>32</v>
      </c>
      <c r="F193" s="214" t="s">
        <v>283</v>
      </c>
      <c r="G193" s="213">
        <v>194</v>
      </c>
      <c r="H193" s="214" t="s">
        <v>48</v>
      </c>
      <c r="I193" s="215" t="s">
        <v>15</v>
      </c>
      <c r="J193" s="216">
        <v>9.5999999999999992E-3</v>
      </c>
      <c r="K193" s="217" t="s">
        <v>334</v>
      </c>
      <c r="L193" s="218">
        <v>0.1</v>
      </c>
      <c r="M193" s="50"/>
      <c r="N193" s="48"/>
      <c r="O193" s="48"/>
      <c r="P193" s="48"/>
      <c r="Q193" s="49"/>
    </row>
    <row r="194" spans="1:17" ht="15" customHeight="1" x14ac:dyDescent="0.25">
      <c r="A194" s="213">
        <v>5782</v>
      </c>
      <c r="B194" s="213">
        <v>70</v>
      </c>
      <c r="C194" s="214" t="s">
        <v>233</v>
      </c>
      <c r="D194" s="214" t="s">
        <v>234</v>
      </c>
      <c r="E194" s="214">
        <v>32</v>
      </c>
      <c r="F194" s="214" t="s">
        <v>272</v>
      </c>
      <c r="G194" s="213">
        <v>4155</v>
      </c>
      <c r="H194" s="214" t="s">
        <v>276</v>
      </c>
      <c r="I194" s="215" t="s">
        <v>29</v>
      </c>
      <c r="J194" s="216">
        <v>0.17849999999999999</v>
      </c>
      <c r="K194" s="217" t="s">
        <v>25</v>
      </c>
      <c r="L194" s="218">
        <v>0.1</v>
      </c>
      <c r="M194" s="48"/>
      <c r="N194" s="48"/>
      <c r="O194" s="48"/>
      <c r="P194" s="48"/>
      <c r="Q194" s="49"/>
    </row>
    <row r="195" spans="1:17" ht="15" customHeight="1" x14ac:dyDescent="0.25">
      <c r="A195" s="213">
        <v>5782</v>
      </c>
      <c r="B195" s="213">
        <v>70</v>
      </c>
      <c r="C195" s="214" t="s">
        <v>233</v>
      </c>
      <c r="D195" s="214" t="s">
        <v>234</v>
      </c>
      <c r="E195" s="214">
        <v>32</v>
      </c>
      <c r="F195" s="214" t="s">
        <v>285</v>
      </c>
      <c r="G195" s="213">
        <v>3635</v>
      </c>
      <c r="H195" s="214" t="s">
        <v>83</v>
      </c>
      <c r="I195" s="215" t="s">
        <v>51</v>
      </c>
      <c r="J195" s="216">
        <v>0.16800000000000001</v>
      </c>
      <c r="K195" s="217" t="s">
        <v>335</v>
      </c>
      <c r="L195" s="218">
        <v>0.1</v>
      </c>
      <c r="M195" s="48"/>
      <c r="N195" s="48"/>
      <c r="O195" s="48"/>
      <c r="P195" s="48"/>
      <c r="Q195" s="49"/>
    </row>
    <row r="196" spans="1:17" ht="15" customHeight="1" x14ac:dyDescent="0.25">
      <c r="A196" s="213">
        <v>6515</v>
      </c>
      <c r="B196" s="213">
        <v>180</v>
      </c>
      <c r="C196" s="214" t="s">
        <v>178</v>
      </c>
      <c r="D196" s="214" t="s">
        <v>179</v>
      </c>
      <c r="E196" s="214">
        <v>32</v>
      </c>
      <c r="F196" s="214" t="s">
        <v>265</v>
      </c>
      <c r="G196" s="213">
        <v>3935</v>
      </c>
      <c r="H196" s="214" t="s">
        <v>21</v>
      </c>
      <c r="I196" s="215" t="s">
        <v>15</v>
      </c>
      <c r="J196" s="216">
        <v>10.863200000000001</v>
      </c>
      <c r="K196" s="217" t="s">
        <v>330</v>
      </c>
      <c r="L196" s="218">
        <v>0.1</v>
      </c>
      <c r="M196" s="48"/>
      <c r="N196" s="48"/>
      <c r="O196" s="48"/>
      <c r="P196" s="48"/>
      <c r="Q196" s="49"/>
    </row>
    <row r="197" spans="1:17" ht="15" customHeight="1" x14ac:dyDescent="0.25">
      <c r="A197" s="213">
        <v>6515</v>
      </c>
      <c r="B197" s="213">
        <v>180</v>
      </c>
      <c r="C197" s="214" t="s">
        <v>178</v>
      </c>
      <c r="D197" s="214" t="s">
        <v>179</v>
      </c>
      <c r="E197" s="214">
        <v>32</v>
      </c>
      <c r="F197" s="214" t="s">
        <v>277</v>
      </c>
      <c r="G197" s="213">
        <v>3595</v>
      </c>
      <c r="H197" s="214" t="s">
        <v>331</v>
      </c>
      <c r="I197" s="215" t="s">
        <v>15</v>
      </c>
      <c r="J197" s="216">
        <v>0.78</v>
      </c>
      <c r="K197" s="217" t="s">
        <v>33</v>
      </c>
      <c r="L197" s="218">
        <v>0.1</v>
      </c>
      <c r="M197" s="50"/>
      <c r="N197" s="48"/>
      <c r="O197" s="48"/>
      <c r="P197" s="48"/>
      <c r="Q197" s="49"/>
    </row>
    <row r="198" spans="1:17" ht="15" customHeight="1" x14ac:dyDescent="0.25">
      <c r="A198" s="213">
        <v>6515</v>
      </c>
      <c r="B198" s="213">
        <v>180</v>
      </c>
      <c r="C198" s="214" t="s">
        <v>178</v>
      </c>
      <c r="D198" s="214" t="s">
        <v>179</v>
      </c>
      <c r="E198" s="214">
        <v>32</v>
      </c>
      <c r="F198" s="214" t="s">
        <v>278</v>
      </c>
      <c r="G198" s="213">
        <v>186</v>
      </c>
      <c r="H198" s="214" t="s">
        <v>46</v>
      </c>
      <c r="I198" s="215" t="s">
        <v>15</v>
      </c>
      <c r="J198" s="216">
        <v>0.7</v>
      </c>
      <c r="K198" s="217" t="s">
        <v>45</v>
      </c>
      <c r="L198" s="218">
        <v>0.1</v>
      </c>
      <c r="M198" s="48"/>
      <c r="N198" s="48"/>
      <c r="O198" s="48"/>
      <c r="P198" s="48"/>
      <c r="Q198" s="49"/>
    </row>
    <row r="199" spans="1:17" ht="15" customHeight="1" x14ac:dyDescent="0.25">
      <c r="A199" s="213">
        <v>6515</v>
      </c>
      <c r="B199" s="213">
        <v>180</v>
      </c>
      <c r="C199" s="214" t="s">
        <v>178</v>
      </c>
      <c r="D199" s="214" t="s">
        <v>179</v>
      </c>
      <c r="E199" s="214">
        <v>32</v>
      </c>
      <c r="F199" s="214" t="s">
        <v>279</v>
      </c>
      <c r="G199" s="213">
        <v>1073</v>
      </c>
      <c r="H199" s="214" t="s">
        <v>68</v>
      </c>
      <c r="I199" s="215" t="s">
        <v>51</v>
      </c>
      <c r="J199" s="216">
        <v>1000</v>
      </c>
      <c r="K199" s="217" t="s">
        <v>332</v>
      </c>
      <c r="L199" s="218">
        <v>0.02</v>
      </c>
      <c r="M199" s="50"/>
      <c r="N199" s="48"/>
      <c r="O199" s="48"/>
      <c r="P199" s="48"/>
      <c r="Q199" s="49"/>
    </row>
    <row r="200" spans="1:17" ht="15" customHeight="1" x14ac:dyDescent="0.25">
      <c r="A200" s="213">
        <v>6515</v>
      </c>
      <c r="B200" s="213">
        <v>180</v>
      </c>
      <c r="C200" s="214" t="s">
        <v>178</v>
      </c>
      <c r="D200" s="214" t="s">
        <v>179</v>
      </c>
      <c r="E200" s="214">
        <v>32</v>
      </c>
      <c r="F200" s="214" t="s">
        <v>281</v>
      </c>
      <c r="G200" s="213">
        <v>3988</v>
      </c>
      <c r="H200" s="214" t="s">
        <v>340</v>
      </c>
      <c r="I200" s="215" t="s">
        <v>51</v>
      </c>
      <c r="J200" s="216">
        <v>6.06</v>
      </c>
      <c r="K200" s="217" t="s">
        <v>333</v>
      </c>
      <c r="L200" s="218">
        <v>0.1</v>
      </c>
      <c r="M200" s="48"/>
      <c r="N200" s="48"/>
      <c r="O200" s="48"/>
      <c r="P200" s="48"/>
      <c r="Q200" s="49"/>
    </row>
    <row r="201" spans="1:17" ht="15" customHeight="1" x14ac:dyDescent="0.25">
      <c r="A201" s="213">
        <v>6515</v>
      </c>
      <c r="B201" s="213">
        <v>180</v>
      </c>
      <c r="C201" s="214" t="s">
        <v>178</v>
      </c>
      <c r="D201" s="214" t="s">
        <v>179</v>
      </c>
      <c r="E201" s="214">
        <v>32</v>
      </c>
      <c r="F201" s="214" t="s">
        <v>283</v>
      </c>
      <c r="G201" s="213">
        <v>194</v>
      </c>
      <c r="H201" s="214" t="s">
        <v>48</v>
      </c>
      <c r="I201" s="215" t="s">
        <v>15</v>
      </c>
      <c r="J201" s="216">
        <v>9.5999999999999992E-3</v>
      </c>
      <c r="K201" s="217" t="s">
        <v>334</v>
      </c>
      <c r="L201" s="218">
        <v>0.1</v>
      </c>
      <c r="M201" s="50"/>
      <c r="N201" s="48"/>
      <c r="O201" s="48"/>
      <c r="P201" s="48"/>
      <c r="Q201" s="49"/>
    </row>
    <row r="202" spans="1:17" ht="15" customHeight="1" x14ac:dyDescent="0.25">
      <c r="A202" s="213">
        <v>6515</v>
      </c>
      <c r="B202" s="213">
        <v>180</v>
      </c>
      <c r="C202" s="214" t="s">
        <v>178</v>
      </c>
      <c r="D202" s="214" t="s">
        <v>179</v>
      </c>
      <c r="E202" s="214">
        <v>32</v>
      </c>
      <c r="F202" s="214" t="s">
        <v>272</v>
      </c>
      <c r="G202" s="213">
        <v>4155</v>
      </c>
      <c r="H202" s="214" t="s">
        <v>276</v>
      </c>
      <c r="I202" s="215" t="s">
        <v>15</v>
      </c>
      <c r="J202" s="216">
        <v>0.17849999999999999</v>
      </c>
      <c r="K202" s="217" t="s">
        <v>25</v>
      </c>
      <c r="L202" s="218">
        <v>0.1</v>
      </c>
      <c r="M202" s="50"/>
      <c r="N202" s="48"/>
      <c r="O202" s="48"/>
      <c r="P202" s="48"/>
      <c r="Q202" s="49"/>
    </row>
    <row r="203" spans="1:17" ht="15" customHeight="1" x14ac:dyDescent="0.25">
      <c r="A203" s="213">
        <v>6515</v>
      </c>
      <c r="B203" s="213">
        <v>180</v>
      </c>
      <c r="C203" s="214" t="s">
        <v>178</v>
      </c>
      <c r="D203" s="214" t="s">
        <v>179</v>
      </c>
      <c r="E203" s="214">
        <v>32</v>
      </c>
      <c r="F203" s="214" t="s">
        <v>285</v>
      </c>
      <c r="G203" s="213">
        <v>3635</v>
      </c>
      <c r="H203" s="214" t="s">
        <v>83</v>
      </c>
      <c r="I203" s="215" t="s">
        <v>51</v>
      </c>
      <c r="J203" s="216">
        <v>0.16800000000000001</v>
      </c>
      <c r="K203" s="217" t="s">
        <v>335</v>
      </c>
      <c r="L203" s="218">
        <v>0.1</v>
      </c>
      <c r="M203" s="48"/>
      <c r="N203" s="48"/>
      <c r="O203" s="48"/>
      <c r="P203" s="48"/>
      <c r="Q203" s="49"/>
    </row>
    <row r="204" spans="1:17" ht="15" customHeight="1" x14ac:dyDescent="0.25">
      <c r="A204" s="213">
        <v>6020</v>
      </c>
      <c r="B204" s="213">
        <v>130</v>
      </c>
      <c r="C204" s="214" t="s">
        <v>235</v>
      </c>
      <c r="D204" s="214" t="s">
        <v>238</v>
      </c>
      <c r="E204" s="214">
        <v>35</v>
      </c>
      <c r="F204" s="214" t="s">
        <v>265</v>
      </c>
      <c r="G204" s="213">
        <v>3503</v>
      </c>
      <c r="H204" s="214" t="s">
        <v>22</v>
      </c>
      <c r="I204" s="215" t="s">
        <v>15</v>
      </c>
      <c r="J204" s="216">
        <v>12.82</v>
      </c>
      <c r="K204" s="217" t="s">
        <v>330</v>
      </c>
      <c r="L204" s="218">
        <v>0.1</v>
      </c>
      <c r="M204" s="50"/>
      <c r="N204" s="48"/>
      <c r="O204" s="48"/>
      <c r="P204" s="48"/>
      <c r="Q204" s="49"/>
    </row>
    <row r="205" spans="1:17" ht="15" customHeight="1" x14ac:dyDescent="0.25">
      <c r="A205" s="213">
        <v>6020</v>
      </c>
      <c r="B205" s="213">
        <v>130</v>
      </c>
      <c r="C205" s="214" t="s">
        <v>235</v>
      </c>
      <c r="D205" s="214" t="s">
        <v>238</v>
      </c>
      <c r="E205" s="214">
        <v>35</v>
      </c>
      <c r="F205" s="214" t="s">
        <v>277</v>
      </c>
      <c r="G205" s="213">
        <v>4156</v>
      </c>
      <c r="H205" s="214" t="s">
        <v>39</v>
      </c>
      <c r="I205" s="215" t="s">
        <v>15</v>
      </c>
      <c r="J205" s="216">
        <v>1.2</v>
      </c>
      <c r="K205" s="217" t="s">
        <v>33</v>
      </c>
      <c r="L205" s="218">
        <v>0.1</v>
      </c>
      <c r="M205" s="50"/>
      <c r="N205" s="48"/>
      <c r="O205" s="48"/>
      <c r="P205" s="48"/>
      <c r="Q205" s="49"/>
    </row>
    <row r="206" spans="1:17" ht="15" customHeight="1" x14ac:dyDescent="0.25">
      <c r="A206" s="213">
        <v>6020</v>
      </c>
      <c r="B206" s="213">
        <v>130</v>
      </c>
      <c r="C206" s="214" t="s">
        <v>235</v>
      </c>
      <c r="D206" s="214" t="s">
        <v>238</v>
      </c>
      <c r="E206" s="214">
        <v>35</v>
      </c>
      <c r="F206" s="214" t="s">
        <v>277</v>
      </c>
      <c r="G206" s="213"/>
      <c r="H206" s="214" t="s">
        <v>341</v>
      </c>
      <c r="I206" s="215" t="s">
        <v>15</v>
      </c>
      <c r="J206" s="216">
        <v>0.78</v>
      </c>
      <c r="K206" s="217" t="s">
        <v>33</v>
      </c>
      <c r="L206" s="218">
        <v>0.1</v>
      </c>
      <c r="M206" s="48"/>
      <c r="N206" s="48"/>
      <c r="O206" s="48"/>
      <c r="P206" s="48"/>
      <c r="Q206" s="49"/>
    </row>
    <row r="207" spans="1:17" ht="15" customHeight="1" x14ac:dyDescent="0.25">
      <c r="A207" s="213">
        <v>6020</v>
      </c>
      <c r="B207" s="213">
        <v>130</v>
      </c>
      <c r="C207" s="214" t="s">
        <v>235</v>
      </c>
      <c r="D207" s="214" t="s">
        <v>238</v>
      </c>
      <c r="E207" s="214">
        <v>35</v>
      </c>
      <c r="F207" s="214" t="s">
        <v>279</v>
      </c>
      <c r="G207" s="213">
        <v>1073</v>
      </c>
      <c r="H207" s="214" t="s">
        <v>68</v>
      </c>
      <c r="I207" s="215" t="s">
        <v>51</v>
      </c>
      <c r="J207" s="216">
        <v>1000</v>
      </c>
      <c r="K207" s="217" t="s">
        <v>332</v>
      </c>
      <c r="L207" s="218">
        <v>0.02</v>
      </c>
      <c r="M207" s="50"/>
      <c r="N207" s="48"/>
      <c r="O207" s="48"/>
      <c r="P207" s="48"/>
      <c r="Q207" s="49"/>
    </row>
    <row r="208" spans="1:17" ht="15" customHeight="1" x14ac:dyDescent="0.25">
      <c r="A208" s="213">
        <v>6020</v>
      </c>
      <c r="B208" s="213">
        <v>130</v>
      </c>
      <c r="C208" s="214" t="s">
        <v>235</v>
      </c>
      <c r="D208" s="214" t="s">
        <v>238</v>
      </c>
      <c r="E208" s="214">
        <v>35</v>
      </c>
      <c r="F208" s="214" t="s">
        <v>281</v>
      </c>
      <c r="G208" s="213">
        <v>3988</v>
      </c>
      <c r="H208" s="214" t="s">
        <v>340</v>
      </c>
      <c r="I208" s="215" t="s">
        <v>51</v>
      </c>
      <c r="J208" s="216">
        <v>6.06</v>
      </c>
      <c r="K208" s="217" t="s">
        <v>333</v>
      </c>
      <c r="L208" s="218">
        <v>0.1</v>
      </c>
      <c r="M208" s="48"/>
      <c r="N208" s="48"/>
      <c r="O208" s="48"/>
      <c r="P208" s="48"/>
      <c r="Q208" s="49"/>
    </row>
    <row r="209" spans="1:17" ht="15" customHeight="1" x14ac:dyDescent="0.25">
      <c r="A209" s="213">
        <v>6020</v>
      </c>
      <c r="B209" s="213">
        <v>130</v>
      </c>
      <c r="C209" s="214" t="s">
        <v>235</v>
      </c>
      <c r="D209" s="214" t="s">
        <v>238</v>
      </c>
      <c r="E209" s="214">
        <v>35</v>
      </c>
      <c r="F209" s="214" t="s">
        <v>283</v>
      </c>
      <c r="G209" s="213">
        <v>194</v>
      </c>
      <c r="H209" s="214" t="s">
        <v>48</v>
      </c>
      <c r="I209" s="215" t="s">
        <v>15</v>
      </c>
      <c r="J209" s="216">
        <v>1.333E-2</v>
      </c>
      <c r="K209" s="217" t="s">
        <v>334</v>
      </c>
      <c r="L209" s="218">
        <v>0.1</v>
      </c>
      <c r="M209" s="50"/>
      <c r="N209" s="48"/>
      <c r="O209" s="48"/>
      <c r="P209" s="48"/>
      <c r="Q209" s="49"/>
    </row>
    <row r="210" spans="1:17" ht="15" customHeight="1" x14ac:dyDescent="0.25">
      <c r="A210" s="213">
        <v>6020</v>
      </c>
      <c r="B210" s="213">
        <v>130</v>
      </c>
      <c r="C210" s="214" t="s">
        <v>235</v>
      </c>
      <c r="D210" s="214" t="s">
        <v>238</v>
      </c>
      <c r="E210" s="214">
        <v>35</v>
      </c>
      <c r="F210" s="214" t="s">
        <v>285</v>
      </c>
      <c r="G210" s="213">
        <v>3635</v>
      </c>
      <c r="H210" s="214" t="s">
        <v>83</v>
      </c>
      <c r="I210" s="215" t="s">
        <v>51</v>
      </c>
      <c r="J210" s="216">
        <v>0.16800000000000001</v>
      </c>
      <c r="K210" s="217" t="s">
        <v>335</v>
      </c>
      <c r="L210" s="218">
        <v>0.1</v>
      </c>
      <c r="M210" s="48"/>
      <c r="N210" s="48"/>
      <c r="O210" s="48"/>
      <c r="P210" s="48"/>
      <c r="Q210" s="49"/>
    </row>
    <row r="211" spans="1:17" ht="15" customHeight="1" x14ac:dyDescent="0.25">
      <c r="A211" s="213">
        <v>6020</v>
      </c>
      <c r="B211" s="213">
        <v>130</v>
      </c>
      <c r="C211" s="214" t="s">
        <v>235</v>
      </c>
      <c r="D211" s="214" t="s">
        <v>238</v>
      </c>
      <c r="E211" s="214">
        <v>35</v>
      </c>
      <c r="F211" s="214" t="s">
        <v>272</v>
      </c>
      <c r="G211" s="213">
        <v>4155</v>
      </c>
      <c r="H211" s="214" t="s">
        <v>276</v>
      </c>
      <c r="I211" s="215" t="s">
        <v>15</v>
      </c>
      <c r="J211" s="216">
        <v>0.5</v>
      </c>
      <c r="K211" s="217" t="s">
        <v>25</v>
      </c>
      <c r="L211" s="218">
        <v>0.1</v>
      </c>
      <c r="M211" s="48"/>
      <c r="N211" s="48"/>
      <c r="O211" s="48"/>
      <c r="P211" s="48"/>
      <c r="Q211" s="49"/>
    </row>
    <row r="212" spans="1:17" ht="15" customHeight="1" x14ac:dyDescent="0.25">
      <c r="A212" s="213">
        <v>6020</v>
      </c>
      <c r="B212" s="213">
        <v>130</v>
      </c>
      <c r="C212" s="214" t="s">
        <v>235</v>
      </c>
      <c r="D212" s="214" t="s">
        <v>238</v>
      </c>
      <c r="E212" s="214">
        <v>35</v>
      </c>
      <c r="F212" s="214" t="s">
        <v>278</v>
      </c>
      <c r="G212" s="213">
        <v>186</v>
      </c>
      <c r="H212" s="214" t="s">
        <v>46</v>
      </c>
      <c r="I212" s="215" t="s">
        <v>15</v>
      </c>
      <c r="J212" s="216">
        <v>0.7</v>
      </c>
      <c r="K212" s="217" t="s">
        <v>45</v>
      </c>
      <c r="L212" s="218">
        <v>0.1</v>
      </c>
      <c r="M212" s="48"/>
      <c r="N212" s="48"/>
      <c r="O212" s="48"/>
      <c r="P212" s="48"/>
      <c r="Q212" s="49"/>
    </row>
    <row r="213" spans="1:17" ht="15" customHeight="1" x14ac:dyDescent="0.25">
      <c r="A213" s="213">
        <v>6021</v>
      </c>
      <c r="B213" s="213">
        <v>131</v>
      </c>
      <c r="C213" s="214" t="s">
        <v>235</v>
      </c>
      <c r="D213" s="214" t="s">
        <v>239</v>
      </c>
      <c r="E213" s="214">
        <v>35</v>
      </c>
      <c r="F213" s="214" t="s">
        <v>265</v>
      </c>
      <c r="G213" s="213">
        <v>3503</v>
      </c>
      <c r="H213" s="214" t="s">
        <v>22</v>
      </c>
      <c r="I213" s="215" t="s">
        <v>15</v>
      </c>
      <c r="J213" s="216">
        <v>12.82</v>
      </c>
      <c r="K213" s="217" t="s">
        <v>330</v>
      </c>
      <c r="L213" s="218">
        <v>0.1</v>
      </c>
      <c r="M213" s="50"/>
      <c r="N213" s="48"/>
      <c r="O213" s="48"/>
      <c r="P213" s="48"/>
      <c r="Q213" s="49"/>
    </row>
    <row r="214" spans="1:17" ht="15" customHeight="1" x14ac:dyDescent="0.25">
      <c r="A214" s="213">
        <v>6021</v>
      </c>
      <c r="B214" s="213">
        <v>131</v>
      </c>
      <c r="C214" s="214" t="s">
        <v>235</v>
      </c>
      <c r="D214" s="214" t="s">
        <v>239</v>
      </c>
      <c r="E214" s="214">
        <v>35</v>
      </c>
      <c r="F214" s="214" t="s">
        <v>277</v>
      </c>
      <c r="G214" s="213">
        <v>4156</v>
      </c>
      <c r="H214" s="214" t="s">
        <v>39</v>
      </c>
      <c r="I214" s="215" t="s">
        <v>15</v>
      </c>
      <c r="J214" s="216">
        <v>1.2</v>
      </c>
      <c r="K214" s="217" t="s">
        <v>33</v>
      </c>
      <c r="L214" s="218">
        <v>0.1</v>
      </c>
      <c r="M214" s="48"/>
      <c r="N214" s="48"/>
      <c r="O214" s="48"/>
      <c r="P214" s="48"/>
      <c r="Q214" s="49"/>
    </row>
    <row r="215" spans="1:17" ht="15" customHeight="1" x14ac:dyDescent="0.25">
      <c r="A215" s="213">
        <v>6021</v>
      </c>
      <c r="B215" s="213">
        <v>131</v>
      </c>
      <c r="C215" s="214" t="s">
        <v>235</v>
      </c>
      <c r="D215" s="214" t="s">
        <v>239</v>
      </c>
      <c r="E215" s="214">
        <v>35</v>
      </c>
      <c r="F215" s="214" t="s">
        <v>277</v>
      </c>
      <c r="G215" s="213"/>
      <c r="H215" s="214" t="s">
        <v>341</v>
      </c>
      <c r="I215" s="215" t="s">
        <v>15</v>
      </c>
      <c r="J215" s="216">
        <v>0.78</v>
      </c>
      <c r="K215" s="217" t="s">
        <v>33</v>
      </c>
      <c r="L215" s="218">
        <v>0.1</v>
      </c>
      <c r="M215" s="50"/>
      <c r="N215" s="48"/>
      <c r="O215" s="48"/>
      <c r="P215" s="48"/>
      <c r="Q215" s="49"/>
    </row>
    <row r="216" spans="1:17" ht="15" customHeight="1" x14ac:dyDescent="0.25">
      <c r="A216" s="213">
        <v>6021</v>
      </c>
      <c r="B216" s="213">
        <v>131</v>
      </c>
      <c r="C216" s="214" t="s">
        <v>235</v>
      </c>
      <c r="D216" s="214" t="s">
        <v>239</v>
      </c>
      <c r="E216" s="214">
        <v>35</v>
      </c>
      <c r="F216" s="214" t="s">
        <v>279</v>
      </c>
      <c r="G216" s="213">
        <v>1073</v>
      </c>
      <c r="H216" s="214" t="s">
        <v>68</v>
      </c>
      <c r="I216" s="215" t="s">
        <v>51</v>
      </c>
      <c r="J216" s="216">
        <v>1000</v>
      </c>
      <c r="K216" s="217" t="s">
        <v>332</v>
      </c>
      <c r="L216" s="218">
        <v>0.02</v>
      </c>
      <c r="M216" s="50"/>
      <c r="N216" s="48"/>
      <c r="O216" s="48"/>
      <c r="P216" s="48"/>
      <c r="Q216" s="49"/>
    </row>
    <row r="217" spans="1:17" ht="15" customHeight="1" x14ac:dyDescent="0.25">
      <c r="A217" s="213">
        <v>6021</v>
      </c>
      <c r="B217" s="213">
        <v>131</v>
      </c>
      <c r="C217" s="214" t="s">
        <v>235</v>
      </c>
      <c r="D217" s="214" t="s">
        <v>239</v>
      </c>
      <c r="E217" s="214">
        <v>35</v>
      </c>
      <c r="F217" s="214" t="s">
        <v>281</v>
      </c>
      <c r="G217" s="213">
        <v>3988</v>
      </c>
      <c r="H217" s="214" t="s">
        <v>340</v>
      </c>
      <c r="I217" s="215" t="s">
        <v>51</v>
      </c>
      <c r="J217" s="216">
        <v>6.06</v>
      </c>
      <c r="K217" s="217" t="s">
        <v>333</v>
      </c>
      <c r="L217" s="218">
        <v>0.1</v>
      </c>
      <c r="M217" s="50"/>
      <c r="N217" s="48"/>
      <c r="O217" s="48"/>
      <c r="P217" s="48"/>
      <c r="Q217" s="49"/>
    </row>
    <row r="218" spans="1:17" ht="15" customHeight="1" x14ac:dyDescent="0.25">
      <c r="A218" s="213">
        <v>6021</v>
      </c>
      <c r="B218" s="213">
        <v>131</v>
      </c>
      <c r="C218" s="214" t="s">
        <v>235</v>
      </c>
      <c r="D218" s="214" t="s">
        <v>239</v>
      </c>
      <c r="E218" s="214">
        <v>35</v>
      </c>
      <c r="F218" s="214" t="s">
        <v>283</v>
      </c>
      <c r="G218" s="213">
        <v>194</v>
      </c>
      <c r="H218" s="214" t="s">
        <v>48</v>
      </c>
      <c r="I218" s="215" t="s">
        <v>15</v>
      </c>
      <c r="J218" s="216">
        <v>1.333E-2</v>
      </c>
      <c r="K218" s="217" t="s">
        <v>334</v>
      </c>
      <c r="L218" s="218">
        <v>0.1</v>
      </c>
      <c r="M218" s="48"/>
      <c r="N218" s="48"/>
      <c r="O218" s="48"/>
      <c r="P218" s="48"/>
      <c r="Q218" s="49"/>
    </row>
    <row r="219" spans="1:17" ht="15" customHeight="1" x14ac:dyDescent="0.25">
      <c r="A219" s="213">
        <v>6021</v>
      </c>
      <c r="B219" s="213">
        <v>131</v>
      </c>
      <c r="C219" s="214" t="s">
        <v>235</v>
      </c>
      <c r="D219" s="214" t="s">
        <v>239</v>
      </c>
      <c r="E219" s="214">
        <v>35</v>
      </c>
      <c r="F219" s="214" t="s">
        <v>285</v>
      </c>
      <c r="G219" s="213">
        <v>3635</v>
      </c>
      <c r="H219" s="214" t="s">
        <v>83</v>
      </c>
      <c r="I219" s="215" t="s">
        <v>51</v>
      </c>
      <c r="J219" s="216">
        <v>0.16800000000000001</v>
      </c>
      <c r="K219" s="217" t="s">
        <v>335</v>
      </c>
      <c r="L219" s="218">
        <v>0.1</v>
      </c>
      <c r="M219" s="48"/>
      <c r="N219" s="48"/>
      <c r="O219" s="48"/>
      <c r="P219" s="48"/>
      <c r="Q219" s="49"/>
    </row>
    <row r="220" spans="1:17" ht="15" customHeight="1" x14ac:dyDescent="0.25">
      <c r="A220" s="213">
        <v>6021</v>
      </c>
      <c r="B220" s="213">
        <v>131</v>
      </c>
      <c r="C220" s="214" t="s">
        <v>235</v>
      </c>
      <c r="D220" s="214" t="s">
        <v>239</v>
      </c>
      <c r="E220" s="214">
        <v>35</v>
      </c>
      <c r="F220" s="214" t="s">
        <v>272</v>
      </c>
      <c r="G220" s="213">
        <v>4155</v>
      </c>
      <c r="H220" s="214" t="s">
        <v>276</v>
      </c>
      <c r="I220" s="215" t="s">
        <v>15</v>
      </c>
      <c r="J220" s="216">
        <v>0.5</v>
      </c>
      <c r="K220" s="217" t="s">
        <v>25</v>
      </c>
      <c r="L220" s="218">
        <v>0.1</v>
      </c>
      <c r="M220" s="48"/>
      <c r="N220" s="48"/>
      <c r="O220" s="48"/>
      <c r="P220" s="48"/>
      <c r="Q220" s="49"/>
    </row>
    <row r="221" spans="1:17" ht="15" customHeight="1" x14ac:dyDescent="0.25">
      <c r="A221" s="213">
        <v>6021</v>
      </c>
      <c r="B221" s="213">
        <v>131</v>
      </c>
      <c r="C221" s="214" t="s">
        <v>235</v>
      </c>
      <c r="D221" s="214" t="s">
        <v>239</v>
      </c>
      <c r="E221" s="214">
        <v>35</v>
      </c>
      <c r="F221" s="214" t="s">
        <v>278</v>
      </c>
      <c r="G221" s="213">
        <v>186</v>
      </c>
      <c r="H221" s="214" t="s">
        <v>46</v>
      </c>
      <c r="I221" s="215" t="s">
        <v>15</v>
      </c>
      <c r="J221" s="216">
        <v>0.7</v>
      </c>
      <c r="K221" s="217" t="s">
        <v>45</v>
      </c>
      <c r="L221" s="218">
        <v>0.1</v>
      </c>
      <c r="M221" s="48"/>
      <c r="N221" s="48"/>
      <c r="O221" s="48"/>
      <c r="P221" s="48"/>
      <c r="Q221" s="49"/>
    </row>
    <row r="222" spans="1:17" ht="15" customHeight="1" x14ac:dyDescent="0.25">
      <c r="A222" s="213">
        <v>6530</v>
      </c>
      <c r="B222" s="213">
        <v>182</v>
      </c>
      <c r="C222" s="214" t="s">
        <v>235</v>
      </c>
      <c r="D222" s="214" t="s">
        <v>236</v>
      </c>
      <c r="E222" s="214">
        <v>35</v>
      </c>
      <c r="F222" s="214" t="s">
        <v>265</v>
      </c>
      <c r="G222" s="213">
        <v>3503</v>
      </c>
      <c r="H222" s="214" t="s">
        <v>22</v>
      </c>
      <c r="I222" s="215" t="s">
        <v>15</v>
      </c>
      <c r="J222" s="216">
        <v>12.82</v>
      </c>
      <c r="K222" s="217" t="s">
        <v>330</v>
      </c>
      <c r="L222" s="218">
        <v>0.1</v>
      </c>
      <c r="M222" s="48"/>
      <c r="N222" s="48"/>
      <c r="O222" s="48"/>
      <c r="P222" s="48"/>
      <c r="Q222" s="49"/>
    </row>
    <row r="223" spans="1:17" ht="15" customHeight="1" x14ac:dyDescent="0.25">
      <c r="A223" s="213">
        <v>6530</v>
      </c>
      <c r="B223" s="213">
        <v>182</v>
      </c>
      <c r="C223" s="214" t="s">
        <v>235</v>
      </c>
      <c r="D223" s="214" t="s">
        <v>236</v>
      </c>
      <c r="E223" s="214">
        <v>35</v>
      </c>
      <c r="F223" s="214" t="s">
        <v>277</v>
      </c>
      <c r="G223" s="213">
        <v>3595</v>
      </c>
      <c r="H223" s="214" t="s">
        <v>331</v>
      </c>
      <c r="I223" s="215" t="s">
        <v>15</v>
      </c>
      <c r="J223" s="216">
        <v>0.78</v>
      </c>
      <c r="K223" s="217" t="s">
        <v>33</v>
      </c>
      <c r="L223" s="218">
        <v>0.1</v>
      </c>
      <c r="M223" s="50"/>
      <c r="N223" s="48"/>
      <c r="O223" s="48"/>
      <c r="P223" s="48"/>
      <c r="Q223" s="49"/>
    </row>
    <row r="224" spans="1:17" ht="15" customHeight="1" x14ac:dyDescent="0.25">
      <c r="A224" s="213">
        <v>6530</v>
      </c>
      <c r="B224" s="213">
        <v>182</v>
      </c>
      <c r="C224" s="214" t="s">
        <v>235</v>
      </c>
      <c r="D224" s="214" t="s">
        <v>236</v>
      </c>
      <c r="E224" s="214">
        <v>35</v>
      </c>
      <c r="F224" s="214" t="s">
        <v>279</v>
      </c>
      <c r="G224" s="213">
        <v>578</v>
      </c>
      <c r="H224" s="214" t="s">
        <v>72</v>
      </c>
      <c r="I224" s="215" t="s">
        <v>51</v>
      </c>
      <c r="J224" s="216">
        <v>1000</v>
      </c>
      <c r="K224" s="217" t="s">
        <v>332</v>
      </c>
      <c r="L224" s="218">
        <v>0.02</v>
      </c>
      <c r="M224" s="48"/>
      <c r="N224" s="48"/>
      <c r="O224" s="48"/>
      <c r="P224" s="48"/>
      <c r="Q224" s="49"/>
    </row>
    <row r="225" spans="1:17" ht="15" customHeight="1" x14ac:dyDescent="0.25">
      <c r="A225" s="213">
        <v>6530</v>
      </c>
      <c r="B225" s="213">
        <v>182</v>
      </c>
      <c r="C225" s="214" t="s">
        <v>235</v>
      </c>
      <c r="D225" s="214" t="s">
        <v>236</v>
      </c>
      <c r="E225" s="214">
        <v>35</v>
      </c>
      <c r="F225" s="214" t="s">
        <v>281</v>
      </c>
      <c r="G225" s="213">
        <v>3988</v>
      </c>
      <c r="H225" s="214" t="s">
        <v>340</v>
      </c>
      <c r="I225" s="215" t="s">
        <v>51</v>
      </c>
      <c r="J225" s="216">
        <v>6.06</v>
      </c>
      <c r="K225" s="217" t="s">
        <v>333</v>
      </c>
      <c r="L225" s="218">
        <v>0.1</v>
      </c>
      <c r="M225" s="50"/>
      <c r="N225" s="48"/>
      <c r="O225" s="48"/>
      <c r="P225" s="48"/>
      <c r="Q225" s="49"/>
    </row>
    <row r="226" spans="1:17" ht="15" customHeight="1" x14ac:dyDescent="0.25">
      <c r="A226" s="213">
        <v>6530</v>
      </c>
      <c r="B226" s="213">
        <v>182</v>
      </c>
      <c r="C226" s="214" t="s">
        <v>235</v>
      </c>
      <c r="D226" s="214" t="s">
        <v>236</v>
      </c>
      <c r="E226" s="214">
        <v>35</v>
      </c>
      <c r="F226" s="214" t="s">
        <v>283</v>
      </c>
      <c r="G226" s="213">
        <v>194</v>
      </c>
      <c r="H226" s="214" t="s">
        <v>48</v>
      </c>
      <c r="I226" s="215" t="s">
        <v>15</v>
      </c>
      <c r="J226" s="216">
        <v>1.3299999999999999E-2</v>
      </c>
      <c r="K226" s="217" t="s">
        <v>334</v>
      </c>
      <c r="L226" s="218">
        <v>0.1</v>
      </c>
      <c r="M226" s="50"/>
      <c r="N226" s="48"/>
      <c r="O226" s="48"/>
      <c r="P226" s="48"/>
      <c r="Q226" s="49"/>
    </row>
    <row r="227" spans="1:17" ht="15" customHeight="1" x14ac:dyDescent="0.25">
      <c r="A227" s="213">
        <v>6530</v>
      </c>
      <c r="B227" s="213">
        <v>182</v>
      </c>
      <c r="C227" s="214" t="s">
        <v>235</v>
      </c>
      <c r="D227" s="214" t="s">
        <v>236</v>
      </c>
      <c r="E227" s="214">
        <v>35</v>
      </c>
      <c r="F227" s="214" t="s">
        <v>272</v>
      </c>
      <c r="G227" s="213">
        <v>4155</v>
      </c>
      <c r="H227" s="214" t="s">
        <v>276</v>
      </c>
      <c r="I227" s="215" t="s">
        <v>15</v>
      </c>
      <c r="J227" s="216">
        <v>0.16</v>
      </c>
      <c r="K227" s="217" t="s">
        <v>25</v>
      </c>
      <c r="L227" s="218">
        <v>0.1</v>
      </c>
      <c r="M227" s="48"/>
      <c r="N227" s="48"/>
      <c r="O227" s="48"/>
      <c r="P227" s="48"/>
      <c r="Q227" s="49"/>
    </row>
    <row r="228" spans="1:17" ht="15" customHeight="1" x14ac:dyDescent="0.25">
      <c r="A228" s="213">
        <v>6530</v>
      </c>
      <c r="B228" s="213">
        <v>182</v>
      </c>
      <c r="C228" s="214" t="s">
        <v>235</v>
      </c>
      <c r="D228" s="214" t="s">
        <v>236</v>
      </c>
      <c r="E228" s="214">
        <v>35</v>
      </c>
      <c r="F228" s="214" t="s">
        <v>285</v>
      </c>
      <c r="G228" s="213">
        <v>3635</v>
      </c>
      <c r="H228" s="214" t="s">
        <v>83</v>
      </c>
      <c r="I228" s="215" t="s">
        <v>51</v>
      </c>
      <c r="J228" s="216">
        <v>0.16800000000000001</v>
      </c>
      <c r="K228" s="217" t="s">
        <v>335</v>
      </c>
      <c r="L228" s="218">
        <v>0.1</v>
      </c>
      <c r="M228" s="48"/>
      <c r="N228" s="48"/>
      <c r="O228" s="48"/>
      <c r="P228" s="48"/>
      <c r="Q228" s="49"/>
    </row>
    <row r="229" spans="1:17" ht="15" customHeight="1" x14ac:dyDescent="0.25">
      <c r="A229" s="213">
        <v>6531</v>
      </c>
      <c r="B229" s="213">
        <v>183</v>
      </c>
      <c r="C229" s="214" t="s">
        <v>235</v>
      </c>
      <c r="D229" s="214" t="s">
        <v>237</v>
      </c>
      <c r="E229" s="214">
        <v>35</v>
      </c>
      <c r="F229" s="214" t="s">
        <v>265</v>
      </c>
      <c r="G229" s="213">
        <v>3503</v>
      </c>
      <c r="H229" s="214" t="s">
        <v>22</v>
      </c>
      <c r="I229" s="215" t="s">
        <v>15</v>
      </c>
      <c r="J229" s="216">
        <v>12.82</v>
      </c>
      <c r="K229" s="217" t="s">
        <v>330</v>
      </c>
      <c r="L229" s="218">
        <v>0.1</v>
      </c>
      <c r="M229" s="48"/>
      <c r="N229" s="48"/>
      <c r="O229" s="48"/>
      <c r="P229" s="48"/>
      <c r="Q229" s="49"/>
    </row>
    <row r="230" spans="1:17" ht="15" customHeight="1" x14ac:dyDescent="0.25">
      <c r="A230" s="213">
        <v>6531</v>
      </c>
      <c r="B230" s="213">
        <v>183</v>
      </c>
      <c r="C230" s="214" t="s">
        <v>235</v>
      </c>
      <c r="D230" s="214" t="s">
        <v>237</v>
      </c>
      <c r="E230" s="214">
        <v>35</v>
      </c>
      <c r="F230" s="214" t="s">
        <v>277</v>
      </c>
      <c r="G230" s="213">
        <v>3595</v>
      </c>
      <c r="H230" s="214" t="s">
        <v>331</v>
      </c>
      <c r="I230" s="215" t="s">
        <v>15</v>
      </c>
      <c r="J230" s="216">
        <v>0.78</v>
      </c>
      <c r="K230" s="217" t="s">
        <v>33</v>
      </c>
      <c r="L230" s="218">
        <v>0.1</v>
      </c>
      <c r="M230" s="48"/>
      <c r="N230" s="48"/>
      <c r="O230" s="48"/>
      <c r="P230" s="48"/>
      <c r="Q230" s="49"/>
    </row>
    <row r="231" spans="1:17" ht="15" customHeight="1" x14ac:dyDescent="0.25">
      <c r="A231" s="213">
        <v>6531</v>
      </c>
      <c r="B231" s="213">
        <v>183</v>
      </c>
      <c r="C231" s="214" t="s">
        <v>235</v>
      </c>
      <c r="D231" s="214" t="s">
        <v>237</v>
      </c>
      <c r="E231" s="214">
        <v>35</v>
      </c>
      <c r="F231" s="214" t="s">
        <v>279</v>
      </c>
      <c r="G231" s="213">
        <v>578</v>
      </c>
      <c r="H231" s="214" t="s">
        <v>72</v>
      </c>
      <c r="I231" s="215" t="s">
        <v>51</v>
      </c>
      <c r="J231" s="216">
        <v>1000</v>
      </c>
      <c r="K231" s="217" t="s">
        <v>332</v>
      </c>
      <c r="L231" s="218">
        <v>0.02</v>
      </c>
      <c r="M231" s="50"/>
      <c r="N231" s="48"/>
      <c r="O231" s="48"/>
      <c r="P231" s="48"/>
      <c r="Q231" s="49"/>
    </row>
    <row r="232" spans="1:17" ht="15" customHeight="1" x14ac:dyDescent="0.25">
      <c r="A232" s="213">
        <v>6531</v>
      </c>
      <c r="B232" s="213">
        <v>183</v>
      </c>
      <c r="C232" s="214" t="s">
        <v>235</v>
      </c>
      <c r="D232" s="214" t="s">
        <v>237</v>
      </c>
      <c r="E232" s="214">
        <v>35</v>
      </c>
      <c r="F232" s="214" t="s">
        <v>281</v>
      </c>
      <c r="G232" s="213">
        <v>3988</v>
      </c>
      <c r="H232" s="214" t="s">
        <v>340</v>
      </c>
      <c r="I232" s="215" t="s">
        <v>51</v>
      </c>
      <c r="J232" s="216">
        <v>6.06</v>
      </c>
      <c r="K232" s="217" t="s">
        <v>333</v>
      </c>
      <c r="L232" s="218">
        <v>0.1</v>
      </c>
      <c r="M232" s="48"/>
      <c r="N232" s="48"/>
      <c r="O232" s="48"/>
      <c r="P232" s="48"/>
      <c r="Q232" s="49"/>
    </row>
    <row r="233" spans="1:17" ht="15" customHeight="1" x14ac:dyDescent="0.25">
      <c r="A233" s="213">
        <v>6531</v>
      </c>
      <c r="B233" s="213">
        <v>183</v>
      </c>
      <c r="C233" s="214" t="s">
        <v>235</v>
      </c>
      <c r="D233" s="214" t="s">
        <v>237</v>
      </c>
      <c r="E233" s="214">
        <v>35</v>
      </c>
      <c r="F233" s="214" t="s">
        <v>283</v>
      </c>
      <c r="G233" s="213">
        <v>194</v>
      </c>
      <c r="H233" s="214" t="s">
        <v>48</v>
      </c>
      <c r="I233" s="215" t="s">
        <v>15</v>
      </c>
      <c r="J233" s="216">
        <v>1.3299999999999999E-2</v>
      </c>
      <c r="K233" s="217" t="s">
        <v>334</v>
      </c>
      <c r="L233" s="218">
        <v>0.1</v>
      </c>
      <c r="M233" s="50"/>
      <c r="N233" s="48"/>
      <c r="O233" s="48"/>
      <c r="P233" s="48"/>
      <c r="Q233" s="49"/>
    </row>
    <row r="234" spans="1:17" ht="15" customHeight="1" x14ac:dyDescent="0.25">
      <c r="A234" s="213">
        <v>6531</v>
      </c>
      <c r="B234" s="213">
        <v>183</v>
      </c>
      <c r="C234" s="214" t="s">
        <v>235</v>
      </c>
      <c r="D234" s="214" t="s">
        <v>237</v>
      </c>
      <c r="E234" s="214">
        <v>35</v>
      </c>
      <c r="F234" s="214" t="s">
        <v>272</v>
      </c>
      <c r="G234" s="213">
        <v>4155</v>
      </c>
      <c r="H234" s="214" t="s">
        <v>276</v>
      </c>
      <c r="I234" s="215" t="s">
        <v>15</v>
      </c>
      <c r="J234" s="216">
        <v>0.16</v>
      </c>
      <c r="K234" s="217" t="s">
        <v>25</v>
      </c>
      <c r="L234" s="218">
        <v>0.1</v>
      </c>
      <c r="M234" s="50"/>
      <c r="N234" s="48"/>
      <c r="O234" s="48"/>
      <c r="P234" s="48"/>
      <c r="Q234" s="49"/>
    </row>
    <row r="235" spans="1:17" ht="15" customHeight="1" x14ac:dyDescent="0.25">
      <c r="A235" s="213">
        <v>6531</v>
      </c>
      <c r="B235" s="213">
        <v>183</v>
      </c>
      <c r="C235" s="214" t="s">
        <v>235</v>
      </c>
      <c r="D235" s="214" t="s">
        <v>237</v>
      </c>
      <c r="E235" s="214">
        <v>35</v>
      </c>
      <c r="F235" s="214" t="s">
        <v>285</v>
      </c>
      <c r="G235" s="213">
        <v>3635</v>
      </c>
      <c r="H235" s="214" t="s">
        <v>83</v>
      </c>
      <c r="I235" s="215" t="s">
        <v>51</v>
      </c>
      <c r="J235" s="216">
        <v>0.16800000000000001</v>
      </c>
      <c r="K235" s="217" t="s">
        <v>335</v>
      </c>
      <c r="L235" s="218">
        <v>0.1</v>
      </c>
      <c r="M235" s="48"/>
      <c r="N235" s="48"/>
      <c r="O235" s="48"/>
      <c r="P235" s="48"/>
      <c r="Q235" s="49"/>
    </row>
    <row r="236" spans="1:17" ht="15" customHeight="1" x14ac:dyDescent="0.25">
      <c r="A236" s="213">
        <v>8001</v>
      </c>
      <c r="B236" s="213">
        <v>800</v>
      </c>
      <c r="C236" s="214" t="s">
        <v>187</v>
      </c>
      <c r="D236" s="214" t="s">
        <v>317</v>
      </c>
      <c r="E236" s="214" t="s">
        <v>189</v>
      </c>
      <c r="F236" s="214" t="s">
        <v>288</v>
      </c>
      <c r="G236" s="213">
        <v>2680</v>
      </c>
      <c r="H236" s="214" t="s">
        <v>119</v>
      </c>
      <c r="I236" s="215" t="s">
        <v>15</v>
      </c>
      <c r="J236" s="216">
        <v>22</v>
      </c>
      <c r="K236" s="217" t="s">
        <v>118</v>
      </c>
      <c r="L236" s="218">
        <v>0.15</v>
      </c>
      <c r="M236" s="48"/>
      <c r="N236" s="48"/>
      <c r="O236" s="48"/>
      <c r="P236" s="48"/>
      <c r="Q236" s="49"/>
    </row>
    <row r="237" spans="1:17" ht="15" customHeight="1" x14ac:dyDescent="0.25">
      <c r="A237" s="213">
        <v>8001</v>
      </c>
      <c r="B237" s="213">
        <v>800</v>
      </c>
      <c r="C237" s="214" t="s">
        <v>187</v>
      </c>
      <c r="D237" s="214" t="s">
        <v>317</v>
      </c>
      <c r="E237" s="214" t="s">
        <v>189</v>
      </c>
      <c r="F237" s="214" t="s">
        <v>342</v>
      </c>
      <c r="G237" s="213">
        <v>5977</v>
      </c>
      <c r="H237" s="214" t="s">
        <v>81</v>
      </c>
      <c r="I237" s="215" t="s">
        <v>51</v>
      </c>
      <c r="J237" s="216">
        <v>1.087</v>
      </c>
      <c r="K237" s="217" t="s">
        <v>343</v>
      </c>
      <c r="L237" s="218">
        <v>0.15</v>
      </c>
      <c r="M237" s="48"/>
      <c r="N237" s="48"/>
      <c r="O237" s="48"/>
      <c r="P237" s="48"/>
      <c r="Q237" s="49"/>
    </row>
    <row r="238" spans="1:17" ht="15" customHeight="1" x14ac:dyDescent="0.25">
      <c r="A238" s="213">
        <v>8001</v>
      </c>
      <c r="B238" s="213">
        <v>800</v>
      </c>
      <c r="C238" s="214" t="s">
        <v>187</v>
      </c>
      <c r="D238" s="214" t="s">
        <v>317</v>
      </c>
      <c r="E238" s="214" t="s">
        <v>189</v>
      </c>
      <c r="F238" s="214" t="s">
        <v>291</v>
      </c>
      <c r="G238" s="213">
        <v>2267</v>
      </c>
      <c r="H238" s="214" t="s">
        <v>131</v>
      </c>
      <c r="I238" s="215" t="s">
        <v>51</v>
      </c>
      <c r="J238" s="216">
        <v>8.6959999999999997</v>
      </c>
      <c r="K238" s="217" t="s">
        <v>130</v>
      </c>
      <c r="L238" s="218">
        <v>0.15</v>
      </c>
      <c r="M238" s="48"/>
      <c r="N238" s="48"/>
      <c r="O238" s="48"/>
      <c r="P238" s="48"/>
      <c r="Q238" s="49"/>
    </row>
    <row r="239" spans="1:17" ht="15" customHeight="1" x14ac:dyDescent="0.25">
      <c r="A239" s="213">
        <v>8001</v>
      </c>
      <c r="B239" s="213">
        <v>800</v>
      </c>
      <c r="C239" s="214" t="s">
        <v>187</v>
      </c>
      <c r="D239" s="214" t="s">
        <v>317</v>
      </c>
      <c r="E239" s="214" t="s">
        <v>189</v>
      </c>
      <c r="F239" s="214" t="s">
        <v>285</v>
      </c>
      <c r="G239" s="213">
        <v>3635</v>
      </c>
      <c r="H239" s="214" t="s">
        <v>83</v>
      </c>
      <c r="I239" s="215" t="s">
        <v>51</v>
      </c>
      <c r="J239" s="216">
        <v>2.7E-2</v>
      </c>
      <c r="K239" s="217" t="s">
        <v>335</v>
      </c>
      <c r="L239" s="218">
        <v>0.15</v>
      </c>
      <c r="M239" s="50"/>
      <c r="N239" s="48"/>
      <c r="O239" s="48"/>
      <c r="P239" s="48"/>
      <c r="Q239" s="49"/>
    </row>
    <row r="240" spans="1:17" ht="15" customHeight="1" x14ac:dyDescent="0.25">
      <c r="A240" s="213">
        <v>8001</v>
      </c>
      <c r="B240" s="213">
        <v>800</v>
      </c>
      <c r="C240" s="214" t="s">
        <v>187</v>
      </c>
      <c r="D240" s="214" t="s">
        <v>317</v>
      </c>
      <c r="E240" s="214" t="s">
        <v>189</v>
      </c>
      <c r="F240" s="214" t="s">
        <v>138</v>
      </c>
      <c r="G240" s="213">
        <v>3043</v>
      </c>
      <c r="H240" s="214" t="s">
        <v>138</v>
      </c>
      <c r="I240" s="215" t="s">
        <v>139</v>
      </c>
      <c r="J240" s="216">
        <v>5.0000000000000001E-3</v>
      </c>
      <c r="K240" s="217" t="s">
        <v>137</v>
      </c>
      <c r="L240" s="218">
        <v>0.15</v>
      </c>
      <c r="M240" s="48"/>
      <c r="N240" s="48"/>
      <c r="O240" s="48"/>
      <c r="P240" s="48"/>
      <c r="Q240" s="49"/>
    </row>
    <row r="241" spans="1:17" ht="15" customHeight="1" x14ac:dyDescent="0.25">
      <c r="A241" s="213">
        <v>8005</v>
      </c>
      <c r="B241" s="213">
        <v>805</v>
      </c>
      <c r="C241" s="214" t="s">
        <v>168</v>
      </c>
      <c r="D241" s="214" t="s">
        <v>344</v>
      </c>
      <c r="E241" s="214" t="s">
        <v>181</v>
      </c>
      <c r="F241" s="214" t="s">
        <v>288</v>
      </c>
      <c r="G241" s="213">
        <v>2680</v>
      </c>
      <c r="H241" s="214" t="s">
        <v>119</v>
      </c>
      <c r="I241" s="215" t="s">
        <v>15</v>
      </c>
      <c r="J241" s="216">
        <v>17.100000000000001</v>
      </c>
      <c r="K241" s="217" t="s">
        <v>118</v>
      </c>
      <c r="L241" s="218">
        <v>0.15</v>
      </c>
      <c r="M241" s="50"/>
      <c r="N241" s="48"/>
      <c r="O241" s="48"/>
      <c r="P241" s="48"/>
      <c r="Q241" s="49"/>
    </row>
    <row r="242" spans="1:17" ht="15" customHeight="1" x14ac:dyDescent="0.25">
      <c r="A242" s="213">
        <v>8005</v>
      </c>
      <c r="B242" s="213">
        <v>805</v>
      </c>
      <c r="C242" s="214" t="s">
        <v>168</v>
      </c>
      <c r="D242" s="214" t="s">
        <v>344</v>
      </c>
      <c r="E242" s="214" t="s">
        <v>181</v>
      </c>
      <c r="F242" s="214" t="s">
        <v>345</v>
      </c>
      <c r="G242" s="213">
        <v>4002</v>
      </c>
      <c r="H242" s="214" t="s">
        <v>122</v>
      </c>
      <c r="I242" s="215" t="s">
        <v>15</v>
      </c>
      <c r="J242" s="216">
        <v>0.9</v>
      </c>
      <c r="K242" s="217" t="s">
        <v>346</v>
      </c>
      <c r="L242" s="218">
        <v>0.15</v>
      </c>
      <c r="M242" s="50"/>
      <c r="N242" s="48"/>
      <c r="O242" s="48"/>
      <c r="P242" s="48"/>
      <c r="Q242" s="49"/>
    </row>
    <row r="243" spans="1:17" ht="15" customHeight="1" x14ac:dyDescent="0.25">
      <c r="A243" s="213">
        <v>8005</v>
      </c>
      <c r="B243" s="213">
        <v>805</v>
      </c>
      <c r="C243" s="214" t="s">
        <v>168</v>
      </c>
      <c r="D243" s="214" t="s">
        <v>344</v>
      </c>
      <c r="E243" s="214" t="s">
        <v>181</v>
      </c>
      <c r="F243" s="214" t="s">
        <v>291</v>
      </c>
      <c r="G243" s="213">
        <v>2267</v>
      </c>
      <c r="H243" s="214" t="s">
        <v>131</v>
      </c>
      <c r="I243" s="215" t="s">
        <v>51</v>
      </c>
      <c r="J243" s="216">
        <v>8.3330000000000002</v>
      </c>
      <c r="K243" s="217" t="s">
        <v>130</v>
      </c>
      <c r="L243" s="218">
        <v>0.15</v>
      </c>
      <c r="M243" s="48"/>
      <c r="N243" s="48"/>
      <c r="O243" s="48"/>
      <c r="P243" s="48"/>
      <c r="Q243" s="49"/>
    </row>
    <row r="244" spans="1:17" ht="15" customHeight="1" x14ac:dyDescent="0.25">
      <c r="A244" s="213">
        <v>8005</v>
      </c>
      <c r="B244" s="213">
        <v>805</v>
      </c>
      <c r="C244" s="214" t="s">
        <v>168</v>
      </c>
      <c r="D244" s="214" t="s">
        <v>344</v>
      </c>
      <c r="E244" s="214" t="s">
        <v>181</v>
      </c>
      <c r="F244" s="214" t="s">
        <v>138</v>
      </c>
      <c r="G244" s="213">
        <v>3043</v>
      </c>
      <c r="H244" s="214" t="s">
        <v>138</v>
      </c>
      <c r="I244" s="215" t="s">
        <v>139</v>
      </c>
      <c r="J244" s="216">
        <v>5.0000000000000001E-3</v>
      </c>
      <c r="K244" s="217" t="s">
        <v>137</v>
      </c>
      <c r="L244" s="218">
        <v>0.15</v>
      </c>
      <c r="M244" s="48"/>
      <c r="N244" s="48"/>
      <c r="O244" s="48"/>
      <c r="P244" s="48"/>
      <c r="Q244" s="49"/>
    </row>
    <row r="245" spans="1:17" ht="15" customHeight="1" x14ac:dyDescent="0.25">
      <c r="A245" s="213">
        <v>8011</v>
      </c>
      <c r="B245" s="213">
        <v>811</v>
      </c>
      <c r="C245" s="214" t="s">
        <v>168</v>
      </c>
      <c r="D245" s="214" t="s">
        <v>347</v>
      </c>
      <c r="E245" s="214" t="s">
        <v>181</v>
      </c>
      <c r="F245" s="214" t="s">
        <v>288</v>
      </c>
      <c r="G245" s="213">
        <v>2680</v>
      </c>
      <c r="H245" s="214" t="s">
        <v>119</v>
      </c>
      <c r="I245" s="215" t="s">
        <v>15</v>
      </c>
      <c r="J245" s="216">
        <v>17.46</v>
      </c>
      <c r="K245" s="217" t="s">
        <v>118</v>
      </c>
      <c r="L245" s="218">
        <v>0.15</v>
      </c>
      <c r="M245" s="48"/>
      <c r="N245" s="48"/>
      <c r="O245" s="48"/>
      <c r="P245" s="48"/>
      <c r="Q245" s="49"/>
    </row>
    <row r="246" spans="1:17" ht="15" customHeight="1" x14ac:dyDescent="0.25">
      <c r="A246" s="213">
        <v>8011</v>
      </c>
      <c r="B246" s="213">
        <v>811</v>
      </c>
      <c r="C246" s="214" t="s">
        <v>168</v>
      </c>
      <c r="D246" s="214" t="s">
        <v>347</v>
      </c>
      <c r="E246" s="214" t="s">
        <v>181</v>
      </c>
      <c r="F246" s="214" t="s">
        <v>345</v>
      </c>
      <c r="G246" s="213">
        <v>7412</v>
      </c>
      <c r="H246" s="214" t="s">
        <v>129</v>
      </c>
      <c r="I246" s="215" t="s">
        <v>15</v>
      </c>
      <c r="J246" s="216">
        <v>0.54</v>
      </c>
      <c r="K246" s="217" t="s">
        <v>346</v>
      </c>
      <c r="L246" s="218">
        <v>0.15</v>
      </c>
      <c r="M246" s="48"/>
      <c r="N246" s="48"/>
      <c r="O246" s="48"/>
      <c r="P246" s="48"/>
      <c r="Q246" s="49"/>
    </row>
    <row r="247" spans="1:17" ht="15" customHeight="1" x14ac:dyDescent="0.25">
      <c r="A247" s="213">
        <v>8011</v>
      </c>
      <c r="B247" s="213">
        <v>811</v>
      </c>
      <c r="C247" s="214" t="s">
        <v>168</v>
      </c>
      <c r="D247" s="214" t="s">
        <v>347</v>
      </c>
      <c r="E247" s="214" t="s">
        <v>181</v>
      </c>
      <c r="F247" s="214" t="s">
        <v>291</v>
      </c>
      <c r="G247" s="213">
        <v>2267</v>
      </c>
      <c r="H247" s="214" t="s">
        <v>131</v>
      </c>
      <c r="I247" s="215" t="s">
        <v>51</v>
      </c>
      <c r="J247" s="216">
        <v>8.3330000000000002</v>
      </c>
      <c r="K247" s="217" t="s">
        <v>130</v>
      </c>
      <c r="L247" s="218">
        <v>0.15</v>
      </c>
      <c r="M247" s="50"/>
      <c r="N247" s="48"/>
      <c r="O247" s="48"/>
      <c r="P247" s="48"/>
      <c r="Q247" s="49"/>
    </row>
    <row r="248" spans="1:17" ht="15" customHeight="1" x14ac:dyDescent="0.25">
      <c r="A248" s="213">
        <v>8011</v>
      </c>
      <c r="B248" s="213">
        <v>811</v>
      </c>
      <c r="C248" s="214" t="s">
        <v>168</v>
      </c>
      <c r="D248" s="214" t="s">
        <v>347</v>
      </c>
      <c r="E248" s="214" t="s">
        <v>181</v>
      </c>
      <c r="F248" s="214" t="s">
        <v>138</v>
      </c>
      <c r="G248" s="213">
        <v>3043</v>
      </c>
      <c r="H248" s="214" t="s">
        <v>138</v>
      </c>
      <c r="I248" s="215" t="s">
        <v>139</v>
      </c>
      <c r="J248" s="216">
        <v>5.0000000000000001E-3</v>
      </c>
      <c r="K248" s="217" t="s">
        <v>137</v>
      </c>
      <c r="L248" s="218">
        <v>0.15</v>
      </c>
      <c r="M248" s="50"/>
      <c r="N248" s="48"/>
      <c r="O248" s="48"/>
      <c r="P248" s="48"/>
      <c r="Q248" s="49"/>
    </row>
    <row r="249" spans="1:17" ht="15" customHeight="1" x14ac:dyDescent="0.25">
      <c r="A249" s="213">
        <v>8012</v>
      </c>
      <c r="B249" s="213">
        <v>812</v>
      </c>
      <c r="C249" s="214" t="s">
        <v>168</v>
      </c>
      <c r="D249" s="214" t="s">
        <v>348</v>
      </c>
      <c r="E249" s="214" t="s">
        <v>181</v>
      </c>
      <c r="F249" s="214" t="s">
        <v>288</v>
      </c>
      <c r="G249" s="213">
        <v>2680</v>
      </c>
      <c r="H249" s="214" t="s">
        <v>119</v>
      </c>
      <c r="I249" s="215" t="s">
        <v>15</v>
      </c>
      <c r="J249" s="216">
        <v>17.100000000000001</v>
      </c>
      <c r="K249" s="217" t="s">
        <v>118</v>
      </c>
      <c r="L249" s="218">
        <v>0.15</v>
      </c>
      <c r="M249" s="48"/>
      <c r="N249" s="48"/>
      <c r="O249" s="48"/>
      <c r="P249" s="48"/>
      <c r="Q249" s="49"/>
    </row>
    <row r="250" spans="1:17" ht="15" customHeight="1" x14ac:dyDescent="0.25">
      <c r="A250" s="213">
        <v>8012</v>
      </c>
      <c r="B250" s="213">
        <v>812</v>
      </c>
      <c r="C250" s="214" t="s">
        <v>168</v>
      </c>
      <c r="D250" s="214" t="s">
        <v>348</v>
      </c>
      <c r="E250" s="214" t="s">
        <v>181</v>
      </c>
      <c r="F250" s="214" t="s">
        <v>345</v>
      </c>
      <c r="G250" s="213">
        <v>5816</v>
      </c>
      <c r="H250" s="214" t="s">
        <v>126</v>
      </c>
      <c r="I250" s="215" t="s">
        <v>15</v>
      </c>
      <c r="J250" s="216">
        <v>0.9</v>
      </c>
      <c r="K250" s="217" t="s">
        <v>346</v>
      </c>
      <c r="L250" s="218">
        <v>0.15</v>
      </c>
      <c r="M250" s="48"/>
      <c r="N250" s="48"/>
      <c r="O250" s="48"/>
      <c r="P250" s="48"/>
      <c r="Q250" s="49"/>
    </row>
    <row r="251" spans="1:17" ht="15" customHeight="1" x14ac:dyDescent="0.25">
      <c r="A251" s="213">
        <v>8012</v>
      </c>
      <c r="B251" s="213">
        <v>812</v>
      </c>
      <c r="C251" s="214" t="s">
        <v>168</v>
      </c>
      <c r="D251" s="214" t="s">
        <v>348</v>
      </c>
      <c r="E251" s="214" t="s">
        <v>181</v>
      </c>
      <c r="F251" s="214" t="s">
        <v>291</v>
      </c>
      <c r="G251" s="213">
        <v>2267</v>
      </c>
      <c r="H251" s="214" t="s">
        <v>131</v>
      </c>
      <c r="I251" s="215" t="s">
        <v>51</v>
      </c>
      <c r="J251" s="216">
        <v>8.3330000000000002</v>
      </c>
      <c r="K251" s="217" t="s">
        <v>130</v>
      </c>
      <c r="L251" s="218">
        <v>0.15</v>
      </c>
      <c r="M251" s="48"/>
      <c r="N251" s="48"/>
      <c r="O251" s="48"/>
      <c r="P251" s="48"/>
      <c r="Q251" s="49"/>
    </row>
    <row r="252" spans="1:17" ht="15" customHeight="1" x14ac:dyDescent="0.25">
      <c r="A252" s="213">
        <v>8012</v>
      </c>
      <c r="B252" s="213">
        <v>812</v>
      </c>
      <c r="C252" s="214" t="s">
        <v>168</v>
      </c>
      <c r="D252" s="214" t="s">
        <v>348</v>
      </c>
      <c r="E252" s="214" t="s">
        <v>181</v>
      </c>
      <c r="F252" s="214" t="s">
        <v>138</v>
      </c>
      <c r="G252" s="213">
        <v>3043</v>
      </c>
      <c r="H252" s="214" t="s">
        <v>138</v>
      </c>
      <c r="I252" s="215" t="s">
        <v>139</v>
      </c>
      <c r="J252" s="216">
        <v>5.0000000000000001E-3</v>
      </c>
      <c r="K252" s="217" t="s">
        <v>137</v>
      </c>
      <c r="L252" s="218">
        <v>0.15</v>
      </c>
      <c r="M252" s="48"/>
      <c r="N252" s="48"/>
      <c r="O252" s="48"/>
      <c r="P252" s="48"/>
      <c r="Q252" s="49"/>
    </row>
    <row r="253" spans="1:17" ht="15" customHeight="1" x14ac:dyDescent="0.25">
      <c r="A253" s="213">
        <v>8010</v>
      </c>
      <c r="B253" s="213">
        <v>810</v>
      </c>
      <c r="C253" s="214" t="s">
        <v>175</v>
      </c>
      <c r="D253" s="214" t="s">
        <v>349</v>
      </c>
      <c r="E253" s="214" t="s">
        <v>184</v>
      </c>
      <c r="F253" s="214" t="s">
        <v>288</v>
      </c>
      <c r="G253" s="213">
        <v>2680</v>
      </c>
      <c r="H253" s="214" t="s">
        <v>119</v>
      </c>
      <c r="I253" s="215" t="s">
        <v>15</v>
      </c>
      <c r="J253" s="216">
        <v>18</v>
      </c>
      <c r="K253" s="217" t="s">
        <v>118</v>
      </c>
      <c r="L253" s="218">
        <v>0.15</v>
      </c>
      <c r="M253" s="48"/>
      <c r="N253" s="48"/>
      <c r="O253" s="48"/>
      <c r="P253" s="48"/>
      <c r="Q253" s="49"/>
    </row>
    <row r="254" spans="1:17" ht="15" customHeight="1" x14ac:dyDescent="0.25">
      <c r="A254" s="213">
        <v>8010</v>
      </c>
      <c r="B254" s="213">
        <v>810</v>
      </c>
      <c r="C254" s="214" t="s">
        <v>175</v>
      </c>
      <c r="D254" s="214" t="s">
        <v>349</v>
      </c>
      <c r="E254" s="214" t="s">
        <v>184</v>
      </c>
      <c r="F254" s="214" t="s">
        <v>342</v>
      </c>
      <c r="G254" s="213">
        <v>5977</v>
      </c>
      <c r="H254" s="214" t="s">
        <v>81</v>
      </c>
      <c r="I254" s="215" t="s">
        <v>51</v>
      </c>
      <c r="J254" s="216">
        <v>1.667</v>
      </c>
      <c r="K254" s="217" t="s">
        <v>343</v>
      </c>
      <c r="L254" s="218">
        <v>0.15</v>
      </c>
      <c r="M254" s="48"/>
      <c r="N254" s="48"/>
      <c r="O254" s="48"/>
      <c r="P254" s="48"/>
      <c r="Q254" s="49"/>
    </row>
    <row r="255" spans="1:17" ht="15" customHeight="1" x14ac:dyDescent="0.25">
      <c r="A255" s="213">
        <v>8010</v>
      </c>
      <c r="B255" s="213">
        <v>810</v>
      </c>
      <c r="C255" s="214" t="s">
        <v>175</v>
      </c>
      <c r="D255" s="214" t="s">
        <v>349</v>
      </c>
      <c r="E255" s="214" t="s">
        <v>184</v>
      </c>
      <c r="F255" s="214" t="s">
        <v>291</v>
      </c>
      <c r="G255" s="213">
        <v>2267</v>
      </c>
      <c r="H255" s="214" t="s">
        <v>131</v>
      </c>
      <c r="I255" s="215" t="s">
        <v>51</v>
      </c>
      <c r="J255" s="216">
        <v>10</v>
      </c>
      <c r="K255" s="217" t="s">
        <v>130</v>
      </c>
      <c r="L255" s="218">
        <v>0.15</v>
      </c>
      <c r="M255" s="48"/>
      <c r="N255" s="48"/>
      <c r="O255" s="48"/>
      <c r="P255" s="48"/>
      <c r="Q255" s="49"/>
    </row>
    <row r="256" spans="1:17" ht="15" customHeight="1" x14ac:dyDescent="0.25">
      <c r="A256" s="213">
        <v>8010</v>
      </c>
      <c r="B256" s="213">
        <v>810</v>
      </c>
      <c r="C256" s="214" t="s">
        <v>175</v>
      </c>
      <c r="D256" s="214" t="s">
        <v>349</v>
      </c>
      <c r="E256" s="214" t="s">
        <v>184</v>
      </c>
      <c r="F256" s="214" t="s">
        <v>285</v>
      </c>
      <c r="G256" s="213">
        <v>3635</v>
      </c>
      <c r="H256" s="214" t="s">
        <v>83</v>
      </c>
      <c r="I256" s="215" t="s">
        <v>51</v>
      </c>
      <c r="J256" s="216">
        <v>4.2000000000000003E-2</v>
      </c>
      <c r="K256" s="217" t="s">
        <v>335</v>
      </c>
      <c r="L256" s="218">
        <v>0.15</v>
      </c>
      <c r="M256" s="50"/>
      <c r="N256" s="48"/>
      <c r="O256" s="48"/>
      <c r="P256" s="48"/>
      <c r="Q256" s="49"/>
    </row>
    <row r="257" spans="1:17" ht="15" customHeight="1" x14ac:dyDescent="0.25">
      <c r="A257" s="213">
        <v>8010</v>
      </c>
      <c r="B257" s="213">
        <v>810</v>
      </c>
      <c r="C257" s="214" t="s">
        <v>175</v>
      </c>
      <c r="D257" s="214" t="s">
        <v>349</v>
      </c>
      <c r="E257" s="214" t="s">
        <v>184</v>
      </c>
      <c r="F257" s="214" t="s">
        <v>138</v>
      </c>
      <c r="G257" s="213">
        <v>3043</v>
      </c>
      <c r="H257" s="214" t="s">
        <v>138</v>
      </c>
      <c r="I257" s="215" t="s">
        <v>139</v>
      </c>
      <c r="J257" s="216">
        <v>5.0000000000000001E-3</v>
      </c>
      <c r="K257" s="217" t="s">
        <v>137</v>
      </c>
      <c r="L257" s="218">
        <v>0.15</v>
      </c>
      <c r="M257" s="48"/>
      <c r="N257" s="48"/>
      <c r="O257" s="48"/>
      <c r="P257" s="48"/>
      <c r="Q257" s="49"/>
    </row>
    <row r="258" spans="1:17" ht="15" customHeight="1" x14ac:dyDescent="0.25">
      <c r="A258" s="213">
        <v>8006</v>
      </c>
      <c r="B258" s="213">
        <v>806</v>
      </c>
      <c r="C258" s="214" t="s">
        <v>168</v>
      </c>
      <c r="D258" s="214" t="s">
        <v>350</v>
      </c>
      <c r="E258" s="214" t="s">
        <v>194</v>
      </c>
      <c r="F258" s="214" t="s">
        <v>288</v>
      </c>
      <c r="G258" s="213">
        <v>2680</v>
      </c>
      <c r="H258" s="214" t="s">
        <v>119</v>
      </c>
      <c r="I258" s="215" t="s">
        <v>15</v>
      </c>
      <c r="J258" s="216">
        <v>23.75</v>
      </c>
      <c r="K258" s="217" t="s">
        <v>118</v>
      </c>
      <c r="L258" s="218">
        <v>0.15</v>
      </c>
      <c r="M258" s="48"/>
      <c r="N258" s="48"/>
      <c r="O258" s="48"/>
      <c r="P258" s="48"/>
      <c r="Q258" s="49"/>
    </row>
    <row r="259" spans="1:17" ht="15" customHeight="1" x14ac:dyDescent="0.25">
      <c r="A259" s="213">
        <v>8006</v>
      </c>
      <c r="B259" s="213">
        <v>806</v>
      </c>
      <c r="C259" s="214" t="s">
        <v>168</v>
      </c>
      <c r="D259" s="214" t="s">
        <v>350</v>
      </c>
      <c r="E259" s="214" t="s">
        <v>194</v>
      </c>
      <c r="F259" s="214" t="s">
        <v>345</v>
      </c>
      <c r="G259" s="213">
        <v>4002</v>
      </c>
      <c r="H259" s="214" t="s">
        <v>122</v>
      </c>
      <c r="I259" s="215" t="s">
        <v>15</v>
      </c>
      <c r="J259" s="216">
        <v>1.25</v>
      </c>
      <c r="K259" s="217" t="s">
        <v>346</v>
      </c>
      <c r="L259" s="218">
        <v>0.15</v>
      </c>
      <c r="M259" s="48"/>
      <c r="N259" s="48"/>
      <c r="O259" s="48"/>
      <c r="P259" s="48"/>
      <c r="Q259" s="49"/>
    </row>
    <row r="260" spans="1:17" ht="15" customHeight="1" x14ac:dyDescent="0.25">
      <c r="A260" s="213">
        <v>8006</v>
      </c>
      <c r="B260" s="213">
        <v>806</v>
      </c>
      <c r="C260" s="214" t="s">
        <v>168</v>
      </c>
      <c r="D260" s="214" t="s">
        <v>350</v>
      </c>
      <c r="E260" s="214" t="s">
        <v>194</v>
      </c>
      <c r="F260" s="214" t="s">
        <v>291</v>
      </c>
      <c r="G260" s="213">
        <v>3006</v>
      </c>
      <c r="H260" s="214" t="s">
        <v>132</v>
      </c>
      <c r="I260" s="215" t="s">
        <v>51</v>
      </c>
      <c r="J260" s="216">
        <v>8.3330000000000002</v>
      </c>
      <c r="K260" s="217" t="s">
        <v>130</v>
      </c>
      <c r="L260" s="218">
        <v>0.15</v>
      </c>
      <c r="M260" s="48"/>
      <c r="N260" s="48"/>
      <c r="O260" s="48"/>
      <c r="P260" s="48"/>
      <c r="Q260" s="49"/>
    </row>
    <row r="261" spans="1:17" ht="15" customHeight="1" x14ac:dyDescent="0.25">
      <c r="A261" s="213">
        <v>8006</v>
      </c>
      <c r="B261" s="213">
        <v>806</v>
      </c>
      <c r="C261" s="214" t="s">
        <v>168</v>
      </c>
      <c r="D261" s="214" t="s">
        <v>350</v>
      </c>
      <c r="E261" s="214" t="s">
        <v>194</v>
      </c>
      <c r="F261" s="214" t="s">
        <v>138</v>
      </c>
      <c r="G261" s="213">
        <v>3043</v>
      </c>
      <c r="H261" s="214" t="s">
        <v>138</v>
      </c>
      <c r="I261" s="215" t="s">
        <v>139</v>
      </c>
      <c r="J261" s="216">
        <v>5.0000000000000001E-3</v>
      </c>
      <c r="K261" s="217" t="s">
        <v>137</v>
      </c>
      <c r="L261" s="218">
        <v>0.15</v>
      </c>
      <c r="M261" s="48"/>
      <c r="N261" s="48"/>
      <c r="O261" s="48"/>
      <c r="P261" s="48"/>
      <c r="Q261" s="49"/>
    </row>
    <row r="262" spans="1:17" ht="15" customHeight="1" x14ac:dyDescent="0.25">
      <c r="A262" s="213">
        <v>8007</v>
      </c>
      <c r="B262" s="213">
        <v>807</v>
      </c>
      <c r="C262" s="214" t="s">
        <v>168</v>
      </c>
      <c r="D262" s="214" t="s">
        <v>351</v>
      </c>
      <c r="E262" s="214" t="s">
        <v>194</v>
      </c>
      <c r="F262" s="214" t="s">
        <v>288</v>
      </c>
      <c r="G262" s="213">
        <v>2680</v>
      </c>
      <c r="H262" s="214" t="s">
        <v>119</v>
      </c>
      <c r="I262" s="215" t="s">
        <v>15</v>
      </c>
      <c r="J262" s="216">
        <v>23.75</v>
      </c>
      <c r="K262" s="217" t="s">
        <v>118</v>
      </c>
      <c r="L262" s="218">
        <v>0.15</v>
      </c>
      <c r="M262" s="48"/>
      <c r="N262" s="48"/>
      <c r="O262" s="48"/>
      <c r="P262" s="48"/>
      <c r="Q262" s="49"/>
    </row>
    <row r="263" spans="1:17" ht="15" customHeight="1" x14ac:dyDescent="0.25">
      <c r="A263" s="213">
        <v>8007</v>
      </c>
      <c r="B263" s="213">
        <v>807</v>
      </c>
      <c r="C263" s="214" t="s">
        <v>168</v>
      </c>
      <c r="D263" s="214" t="s">
        <v>351</v>
      </c>
      <c r="E263" s="214" t="s">
        <v>194</v>
      </c>
      <c r="F263" s="214" t="s">
        <v>345</v>
      </c>
      <c r="G263" s="213">
        <v>5816</v>
      </c>
      <c r="H263" s="214" t="s">
        <v>126</v>
      </c>
      <c r="I263" s="215" t="s">
        <v>15</v>
      </c>
      <c r="J263" s="216">
        <v>1.25</v>
      </c>
      <c r="K263" s="217" t="s">
        <v>346</v>
      </c>
      <c r="L263" s="218">
        <v>0.15</v>
      </c>
      <c r="M263" s="48"/>
      <c r="N263" s="48"/>
      <c r="O263" s="48"/>
      <c r="P263" s="48"/>
      <c r="Q263" s="49"/>
    </row>
    <row r="264" spans="1:17" ht="15" customHeight="1" x14ac:dyDescent="0.25">
      <c r="A264" s="213">
        <v>8007</v>
      </c>
      <c r="B264" s="213">
        <v>807</v>
      </c>
      <c r="C264" s="214" t="s">
        <v>168</v>
      </c>
      <c r="D264" s="214" t="s">
        <v>351</v>
      </c>
      <c r="E264" s="214" t="s">
        <v>194</v>
      </c>
      <c r="F264" s="214" t="s">
        <v>291</v>
      </c>
      <c r="G264" s="213">
        <v>3006</v>
      </c>
      <c r="H264" s="214" t="s">
        <v>132</v>
      </c>
      <c r="I264" s="215" t="s">
        <v>51</v>
      </c>
      <c r="J264" s="216">
        <v>8.3330000000000002</v>
      </c>
      <c r="K264" s="217" t="s">
        <v>130</v>
      </c>
      <c r="L264" s="218">
        <v>0.15</v>
      </c>
      <c r="M264" s="48"/>
      <c r="N264" s="48"/>
      <c r="O264" s="48"/>
      <c r="P264" s="48"/>
      <c r="Q264" s="49"/>
    </row>
    <row r="265" spans="1:17" ht="15" customHeight="1" x14ac:dyDescent="0.25">
      <c r="A265" s="213">
        <v>8007</v>
      </c>
      <c r="B265" s="213">
        <v>807</v>
      </c>
      <c r="C265" s="214" t="s">
        <v>168</v>
      </c>
      <c r="D265" s="214" t="s">
        <v>351</v>
      </c>
      <c r="E265" s="214" t="s">
        <v>194</v>
      </c>
      <c r="F265" s="214" t="s">
        <v>138</v>
      </c>
      <c r="G265" s="213">
        <v>3043</v>
      </c>
      <c r="H265" s="214" t="s">
        <v>138</v>
      </c>
      <c r="I265" s="215" t="s">
        <v>139</v>
      </c>
      <c r="J265" s="216">
        <v>5.0000000000000001E-3</v>
      </c>
      <c r="K265" s="217" t="s">
        <v>137</v>
      </c>
      <c r="L265" s="218">
        <v>0.15</v>
      </c>
      <c r="M265" s="50"/>
      <c r="N265" s="48"/>
      <c r="O265" s="48"/>
      <c r="P265" s="48"/>
      <c r="Q265" s="49"/>
    </row>
    <row r="266" spans="1:17" ht="15" customHeight="1" x14ac:dyDescent="0.25">
      <c r="A266" s="213">
        <v>8016</v>
      </c>
      <c r="B266" s="213">
        <v>816</v>
      </c>
      <c r="C266" s="214" t="s">
        <v>168</v>
      </c>
      <c r="D266" s="214" t="s">
        <v>352</v>
      </c>
      <c r="E266" s="214" t="s">
        <v>194</v>
      </c>
      <c r="F266" s="214" t="s">
        <v>288</v>
      </c>
      <c r="G266" s="213">
        <v>2680</v>
      </c>
      <c r="H266" s="214" t="s">
        <v>119</v>
      </c>
      <c r="I266" s="215" t="s">
        <v>15</v>
      </c>
      <c r="J266" s="216">
        <v>23.75</v>
      </c>
      <c r="K266" s="217" t="s">
        <v>118</v>
      </c>
      <c r="L266" s="218">
        <v>0.15</v>
      </c>
      <c r="M266" s="48"/>
      <c r="N266" s="48"/>
      <c r="O266" s="48"/>
      <c r="P266" s="48"/>
      <c r="Q266" s="49"/>
    </row>
    <row r="267" spans="1:17" ht="15" customHeight="1" x14ac:dyDescent="0.25">
      <c r="A267" s="213">
        <v>8016</v>
      </c>
      <c r="B267" s="213">
        <v>816</v>
      </c>
      <c r="C267" s="214" t="s">
        <v>168</v>
      </c>
      <c r="D267" s="214" t="s">
        <v>352</v>
      </c>
      <c r="E267" s="214" t="s">
        <v>194</v>
      </c>
      <c r="F267" s="214" t="s">
        <v>345</v>
      </c>
      <c r="G267" s="213">
        <v>5816</v>
      </c>
      <c r="H267" s="214" t="s">
        <v>126</v>
      </c>
      <c r="I267" s="215" t="s">
        <v>15</v>
      </c>
      <c r="J267" s="216">
        <v>1.25</v>
      </c>
      <c r="K267" s="217" t="s">
        <v>346</v>
      </c>
      <c r="L267" s="218">
        <v>0.15</v>
      </c>
      <c r="M267" s="50"/>
      <c r="N267" s="48"/>
      <c r="O267" s="48"/>
      <c r="P267" s="48"/>
      <c r="Q267" s="49"/>
    </row>
    <row r="268" spans="1:17" ht="15" customHeight="1" x14ac:dyDescent="0.25">
      <c r="A268" s="213">
        <v>8016</v>
      </c>
      <c r="B268" s="213">
        <v>816</v>
      </c>
      <c r="C268" s="214" t="s">
        <v>168</v>
      </c>
      <c r="D268" s="214" t="s">
        <v>352</v>
      </c>
      <c r="E268" s="214" t="s">
        <v>194</v>
      </c>
      <c r="F268" s="214" t="s">
        <v>291</v>
      </c>
      <c r="G268" s="213">
        <v>3006</v>
      </c>
      <c r="H268" s="214" t="s">
        <v>132</v>
      </c>
      <c r="I268" s="215" t="s">
        <v>51</v>
      </c>
      <c r="J268" s="216">
        <v>8.3330000000000002</v>
      </c>
      <c r="K268" s="217" t="s">
        <v>130</v>
      </c>
      <c r="L268" s="218">
        <v>0.15</v>
      </c>
      <c r="M268" s="48"/>
      <c r="N268" s="48"/>
      <c r="O268" s="48"/>
      <c r="P268" s="48"/>
      <c r="Q268" s="49"/>
    </row>
    <row r="269" spans="1:17" ht="15" customHeight="1" x14ac:dyDescent="0.25">
      <c r="A269" s="213">
        <v>8016</v>
      </c>
      <c r="B269" s="213">
        <v>816</v>
      </c>
      <c r="C269" s="214" t="s">
        <v>168</v>
      </c>
      <c r="D269" s="214" t="s">
        <v>352</v>
      </c>
      <c r="E269" s="214" t="s">
        <v>194</v>
      </c>
      <c r="F269" s="214" t="s">
        <v>138</v>
      </c>
      <c r="G269" s="213">
        <v>3043</v>
      </c>
      <c r="H269" s="214" t="s">
        <v>138</v>
      </c>
      <c r="I269" s="215" t="s">
        <v>139</v>
      </c>
      <c r="J269" s="216">
        <v>5.0000000000000001E-3</v>
      </c>
      <c r="K269" s="217" t="s">
        <v>137</v>
      </c>
      <c r="L269" s="218">
        <v>0.15</v>
      </c>
      <c r="M269" s="48"/>
      <c r="N269" s="48"/>
      <c r="O269" s="48"/>
      <c r="P269" s="48"/>
      <c r="Q269" s="49"/>
    </row>
    <row r="270" spans="1:17" ht="15" customHeight="1" x14ac:dyDescent="0.25">
      <c r="A270" s="213">
        <v>8008</v>
      </c>
      <c r="B270" s="213">
        <v>808</v>
      </c>
      <c r="C270" s="214" t="s">
        <v>168</v>
      </c>
      <c r="D270" s="214" t="s">
        <v>353</v>
      </c>
      <c r="E270" s="214" t="s">
        <v>194</v>
      </c>
      <c r="F270" s="214" t="s">
        <v>288</v>
      </c>
      <c r="G270" s="213">
        <v>2680</v>
      </c>
      <c r="H270" s="214" t="s">
        <v>119</v>
      </c>
      <c r="I270" s="215" t="s">
        <v>15</v>
      </c>
      <c r="J270" s="216">
        <v>24.25</v>
      </c>
      <c r="K270" s="217" t="s">
        <v>118</v>
      </c>
      <c r="L270" s="218">
        <v>0.15</v>
      </c>
      <c r="M270" s="48"/>
      <c r="N270" s="48"/>
      <c r="O270" s="48"/>
      <c r="P270" s="48"/>
      <c r="Q270" s="49"/>
    </row>
    <row r="271" spans="1:17" ht="15" customHeight="1" x14ac:dyDescent="0.25">
      <c r="A271" s="213">
        <v>8008</v>
      </c>
      <c r="B271" s="213">
        <v>808</v>
      </c>
      <c r="C271" s="214" t="s">
        <v>168</v>
      </c>
      <c r="D271" s="214" t="s">
        <v>353</v>
      </c>
      <c r="E271" s="214" t="s">
        <v>194</v>
      </c>
      <c r="F271" s="214" t="s">
        <v>345</v>
      </c>
      <c r="G271" s="213">
        <v>7412</v>
      </c>
      <c r="H271" s="214" t="s">
        <v>129</v>
      </c>
      <c r="I271" s="215" t="s">
        <v>15</v>
      </c>
      <c r="J271" s="216">
        <v>0.75</v>
      </c>
      <c r="K271" s="217" t="s">
        <v>346</v>
      </c>
      <c r="L271" s="218">
        <v>0.15</v>
      </c>
      <c r="M271" s="48"/>
      <c r="N271" s="48"/>
      <c r="O271" s="48"/>
      <c r="P271" s="48"/>
      <c r="Q271" s="49"/>
    </row>
    <row r="272" spans="1:17" ht="15" customHeight="1" x14ac:dyDescent="0.25">
      <c r="A272" s="213">
        <v>8008</v>
      </c>
      <c r="B272" s="213">
        <v>808</v>
      </c>
      <c r="C272" s="214" t="s">
        <v>168</v>
      </c>
      <c r="D272" s="214" t="s">
        <v>353</v>
      </c>
      <c r="E272" s="214" t="s">
        <v>194</v>
      </c>
      <c r="F272" s="214" t="s">
        <v>291</v>
      </c>
      <c r="G272" s="213">
        <v>3006</v>
      </c>
      <c r="H272" s="214" t="s">
        <v>132</v>
      </c>
      <c r="I272" s="215" t="s">
        <v>51</v>
      </c>
      <c r="J272" s="216">
        <v>8.3330000000000002</v>
      </c>
      <c r="K272" s="217" t="s">
        <v>130</v>
      </c>
      <c r="L272" s="218">
        <v>0.15</v>
      </c>
      <c r="M272" s="48"/>
      <c r="N272" s="48"/>
      <c r="O272" s="48"/>
      <c r="P272" s="48"/>
      <c r="Q272" s="49"/>
    </row>
    <row r="273" spans="1:17" ht="15" customHeight="1" x14ac:dyDescent="0.25">
      <c r="A273" s="213">
        <v>8008</v>
      </c>
      <c r="B273" s="213">
        <v>808</v>
      </c>
      <c r="C273" s="214" t="s">
        <v>168</v>
      </c>
      <c r="D273" s="214" t="s">
        <v>353</v>
      </c>
      <c r="E273" s="214" t="s">
        <v>194</v>
      </c>
      <c r="F273" s="214" t="s">
        <v>138</v>
      </c>
      <c r="G273" s="213">
        <v>3043</v>
      </c>
      <c r="H273" s="214" t="s">
        <v>138</v>
      </c>
      <c r="I273" s="215" t="s">
        <v>139</v>
      </c>
      <c r="J273" s="216">
        <v>5.0000000000000001E-3</v>
      </c>
      <c r="K273" s="217" t="s">
        <v>137</v>
      </c>
      <c r="L273" s="218">
        <v>0.15</v>
      </c>
      <c r="M273" s="48"/>
      <c r="N273" s="48"/>
      <c r="O273" s="48"/>
      <c r="P273" s="48"/>
      <c r="Q273" s="49"/>
    </row>
    <row r="274" spans="1:17" ht="15" customHeight="1" x14ac:dyDescent="0.25">
      <c r="A274" s="213">
        <v>8009</v>
      </c>
      <c r="B274" s="213">
        <v>809</v>
      </c>
      <c r="C274" s="214" t="s">
        <v>175</v>
      </c>
      <c r="D274" s="214" t="s">
        <v>354</v>
      </c>
      <c r="E274" s="214" t="s">
        <v>247</v>
      </c>
      <c r="F274" s="214" t="s">
        <v>288</v>
      </c>
      <c r="G274" s="213">
        <v>2680</v>
      </c>
      <c r="H274" s="214" t="s">
        <v>119</v>
      </c>
      <c r="I274" s="215" t="s">
        <v>15</v>
      </c>
      <c r="J274" s="216">
        <v>25</v>
      </c>
      <c r="K274" s="217" t="s">
        <v>118</v>
      </c>
      <c r="L274" s="218">
        <v>0.15</v>
      </c>
      <c r="M274" s="48"/>
      <c r="N274" s="48"/>
      <c r="O274" s="48"/>
      <c r="P274" s="48"/>
      <c r="Q274" s="49"/>
    </row>
    <row r="275" spans="1:17" ht="15" customHeight="1" x14ac:dyDescent="0.25">
      <c r="A275" s="213">
        <v>8009</v>
      </c>
      <c r="B275" s="213">
        <v>809</v>
      </c>
      <c r="C275" s="214" t="s">
        <v>175</v>
      </c>
      <c r="D275" s="214" t="s">
        <v>354</v>
      </c>
      <c r="E275" s="214" t="s">
        <v>247</v>
      </c>
      <c r="F275" s="214" t="s">
        <v>342</v>
      </c>
      <c r="G275" s="213">
        <v>3621</v>
      </c>
      <c r="H275" s="214" t="s">
        <v>355</v>
      </c>
      <c r="I275" s="215" t="s">
        <v>51</v>
      </c>
      <c r="J275" s="216">
        <v>7.1429999999999998</v>
      </c>
      <c r="K275" s="217" t="s">
        <v>343</v>
      </c>
      <c r="L275" s="218">
        <v>0.15</v>
      </c>
      <c r="M275" s="48"/>
      <c r="N275" s="48"/>
      <c r="O275" s="48"/>
      <c r="P275" s="48"/>
      <c r="Q275" s="49"/>
    </row>
    <row r="276" spans="1:17" ht="15" customHeight="1" x14ac:dyDescent="0.25">
      <c r="A276" s="213">
        <v>8009</v>
      </c>
      <c r="B276" s="213">
        <v>809</v>
      </c>
      <c r="C276" s="214" t="s">
        <v>175</v>
      </c>
      <c r="D276" s="214" t="s">
        <v>354</v>
      </c>
      <c r="E276" s="214" t="s">
        <v>247</v>
      </c>
      <c r="F276" s="214" t="s">
        <v>291</v>
      </c>
      <c r="G276" s="213">
        <v>3006</v>
      </c>
      <c r="H276" s="214" t="s">
        <v>132</v>
      </c>
      <c r="I276" s="215" t="s">
        <v>51</v>
      </c>
      <c r="J276" s="216">
        <v>11.111000000000001</v>
      </c>
      <c r="K276" s="217" t="s">
        <v>130</v>
      </c>
      <c r="L276" s="218">
        <v>0.15</v>
      </c>
      <c r="M276" s="48"/>
      <c r="N276" s="48"/>
      <c r="O276" s="48"/>
      <c r="P276" s="48"/>
      <c r="Q276" s="49"/>
    </row>
    <row r="277" spans="1:17" ht="15" customHeight="1" x14ac:dyDescent="0.25">
      <c r="A277" s="213">
        <v>8009</v>
      </c>
      <c r="B277" s="213">
        <v>809</v>
      </c>
      <c r="C277" s="214" t="s">
        <v>175</v>
      </c>
      <c r="D277" s="214" t="s">
        <v>354</v>
      </c>
      <c r="E277" s="214" t="s">
        <v>247</v>
      </c>
      <c r="F277" s="214" t="s">
        <v>285</v>
      </c>
      <c r="G277" s="213">
        <v>3635</v>
      </c>
      <c r="H277" s="214" t="s">
        <v>83</v>
      </c>
      <c r="I277" s="215" t="s">
        <v>51</v>
      </c>
      <c r="J277" s="216">
        <v>0.17899999999999999</v>
      </c>
      <c r="K277" s="217" t="s">
        <v>335</v>
      </c>
      <c r="L277" s="218">
        <v>0.15</v>
      </c>
      <c r="M277" s="48"/>
      <c r="N277" s="48"/>
      <c r="O277" s="48"/>
      <c r="P277" s="48"/>
      <c r="Q277" s="49"/>
    </row>
    <row r="278" spans="1:17" ht="15" customHeight="1" x14ac:dyDescent="0.25">
      <c r="A278" s="213">
        <v>8009</v>
      </c>
      <c r="B278" s="213">
        <v>809</v>
      </c>
      <c r="C278" s="214" t="s">
        <v>175</v>
      </c>
      <c r="D278" s="214" t="s">
        <v>354</v>
      </c>
      <c r="E278" s="214" t="s">
        <v>247</v>
      </c>
      <c r="F278" s="214" t="s">
        <v>138</v>
      </c>
      <c r="G278" s="213">
        <v>3043</v>
      </c>
      <c r="H278" s="214" t="s">
        <v>138</v>
      </c>
      <c r="I278" s="215" t="s">
        <v>139</v>
      </c>
      <c r="J278" s="216">
        <v>5.0000000000000001E-3</v>
      </c>
      <c r="K278" s="217" t="s">
        <v>137</v>
      </c>
      <c r="L278" s="218">
        <v>0.15</v>
      </c>
      <c r="M278" s="170"/>
    </row>
    <row r="279" spans="1:17" ht="15" customHeight="1" x14ac:dyDescent="0.25">
      <c r="A279" s="213">
        <v>8013</v>
      </c>
      <c r="B279" s="213">
        <v>813</v>
      </c>
      <c r="C279" s="214" t="s">
        <v>175</v>
      </c>
      <c r="D279" s="214" t="s">
        <v>356</v>
      </c>
      <c r="E279" s="214" t="s">
        <v>249</v>
      </c>
      <c r="F279" s="214" t="s">
        <v>288</v>
      </c>
      <c r="G279" s="213">
        <v>2680</v>
      </c>
      <c r="H279" s="214" t="s">
        <v>119</v>
      </c>
      <c r="I279" s="215" t="s">
        <v>15</v>
      </c>
      <c r="J279" s="216">
        <v>50</v>
      </c>
      <c r="K279" s="217" t="s">
        <v>118</v>
      </c>
      <c r="L279" s="218">
        <v>0.15</v>
      </c>
      <c r="M279" s="170"/>
    </row>
    <row r="280" spans="1:17" ht="15" customHeight="1" x14ac:dyDescent="0.25">
      <c r="A280" s="213">
        <v>8013</v>
      </c>
      <c r="B280" s="213">
        <v>813</v>
      </c>
      <c r="C280" s="214" t="s">
        <v>175</v>
      </c>
      <c r="D280" s="214" t="s">
        <v>356</v>
      </c>
      <c r="E280" s="214" t="s">
        <v>249</v>
      </c>
      <c r="F280" s="214" t="s">
        <v>342</v>
      </c>
      <c r="G280" s="213">
        <v>3621</v>
      </c>
      <c r="H280" s="214" t="s">
        <v>355</v>
      </c>
      <c r="I280" s="215" t="s">
        <v>51</v>
      </c>
      <c r="J280" s="216">
        <v>2.778</v>
      </c>
      <c r="K280" s="217" t="s">
        <v>343</v>
      </c>
      <c r="L280" s="218">
        <v>0.15</v>
      </c>
      <c r="M280" s="170"/>
    </row>
    <row r="281" spans="1:17" ht="15" customHeight="1" x14ac:dyDescent="0.25">
      <c r="A281" s="213">
        <v>8013</v>
      </c>
      <c r="B281" s="213">
        <v>813</v>
      </c>
      <c r="C281" s="214" t="s">
        <v>175</v>
      </c>
      <c r="D281" s="214" t="s">
        <v>356</v>
      </c>
      <c r="E281" s="214" t="s">
        <v>249</v>
      </c>
      <c r="F281" s="214" t="s">
        <v>291</v>
      </c>
      <c r="G281" s="213">
        <v>3006</v>
      </c>
      <c r="H281" s="214" t="s">
        <v>132</v>
      </c>
      <c r="I281" s="215" t="s">
        <v>51</v>
      </c>
      <c r="J281" s="216">
        <v>16.667000000000002</v>
      </c>
      <c r="K281" s="217" t="s">
        <v>130</v>
      </c>
      <c r="L281" s="218">
        <v>0.15</v>
      </c>
      <c r="M281" s="170"/>
    </row>
    <row r="282" spans="1:17" ht="15" customHeight="1" x14ac:dyDescent="0.25">
      <c r="A282" s="213">
        <v>8013</v>
      </c>
      <c r="B282" s="213">
        <v>813</v>
      </c>
      <c r="C282" s="214" t="s">
        <v>175</v>
      </c>
      <c r="D282" s="214" t="s">
        <v>356</v>
      </c>
      <c r="E282" s="214" t="s">
        <v>249</v>
      </c>
      <c r="F282" s="214" t="s">
        <v>285</v>
      </c>
      <c r="G282" s="213">
        <v>3635</v>
      </c>
      <c r="H282" s="214" t="s">
        <v>83</v>
      </c>
      <c r="I282" s="215" t="s">
        <v>51</v>
      </c>
      <c r="J282" s="216">
        <v>6.9000000000000006E-2</v>
      </c>
      <c r="K282" s="217" t="s">
        <v>335</v>
      </c>
      <c r="L282" s="218">
        <v>0.15</v>
      </c>
      <c r="M282" s="48"/>
      <c r="N282" s="48"/>
      <c r="O282" s="48"/>
      <c r="P282" s="48"/>
      <c r="Q282" s="49"/>
    </row>
    <row r="283" spans="1:17" ht="15" customHeight="1" x14ac:dyDescent="0.25">
      <c r="A283" s="213">
        <v>8013</v>
      </c>
      <c r="B283" s="213">
        <v>813</v>
      </c>
      <c r="C283" s="214" t="s">
        <v>175</v>
      </c>
      <c r="D283" s="214" t="s">
        <v>356</v>
      </c>
      <c r="E283" s="214" t="s">
        <v>249</v>
      </c>
      <c r="F283" s="214" t="s">
        <v>138</v>
      </c>
      <c r="G283" s="213">
        <v>3043</v>
      </c>
      <c r="H283" s="214" t="s">
        <v>138</v>
      </c>
      <c r="I283" s="215" t="s">
        <v>139</v>
      </c>
      <c r="J283" s="216">
        <v>5.0000000000000001E-3</v>
      </c>
      <c r="K283" s="217" t="s">
        <v>137</v>
      </c>
      <c r="L283" s="218">
        <v>0.15</v>
      </c>
      <c r="M283" s="48"/>
      <c r="N283" s="48"/>
      <c r="O283" s="48"/>
      <c r="P283" s="48"/>
      <c r="Q283" s="49"/>
    </row>
    <row r="284" spans="1:17" ht="15" customHeight="1" x14ac:dyDescent="0.25">
      <c r="A284" s="213">
        <v>8014</v>
      </c>
      <c r="B284" s="213">
        <v>814</v>
      </c>
      <c r="C284" s="214" t="s">
        <v>168</v>
      </c>
      <c r="D284" s="214" t="s">
        <v>357</v>
      </c>
      <c r="E284" s="214" t="s">
        <v>194</v>
      </c>
      <c r="F284" s="214" t="s">
        <v>288</v>
      </c>
      <c r="G284" s="213">
        <v>2680</v>
      </c>
      <c r="H284" s="214" t="s">
        <v>119</v>
      </c>
      <c r="I284" s="215" t="s">
        <v>15</v>
      </c>
      <c r="J284" s="216">
        <v>23.75</v>
      </c>
      <c r="K284" s="217" t="s">
        <v>118</v>
      </c>
      <c r="L284" s="218">
        <v>0.15</v>
      </c>
      <c r="M284" s="48"/>
      <c r="N284" s="48"/>
      <c r="O284" s="48"/>
      <c r="P284" s="48"/>
      <c r="Q284" s="49"/>
    </row>
    <row r="285" spans="1:17" ht="15" customHeight="1" x14ac:dyDescent="0.25">
      <c r="A285" s="213">
        <v>8014</v>
      </c>
      <c r="B285" s="213">
        <v>814</v>
      </c>
      <c r="C285" s="214" t="s">
        <v>168</v>
      </c>
      <c r="D285" s="214" t="s">
        <v>357</v>
      </c>
      <c r="E285" s="214" t="s">
        <v>194</v>
      </c>
      <c r="F285" s="214" t="s">
        <v>291</v>
      </c>
      <c r="G285" s="213">
        <v>3006</v>
      </c>
      <c r="H285" s="214" t="s">
        <v>132</v>
      </c>
      <c r="I285" s="215" t="s">
        <v>51</v>
      </c>
      <c r="J285" s="216">
        <v>8.3330000000000002</v>
      </c>
      <c r="K285" s="217" t="s">
        <v>130</v>
      </c>
      <c r="L285" s="218">
        <v>0.15</v>
      </c>
      <c r="M285" s="48"/>
      <c r="N285" s="48"/>
      <c r="O285" s="48"/>
      <c r="P285" s="48"/>
      <c r="Q285" s="49"/>
    </row>
    <row r="286" spans="1:17" ht="15" customHeight="1" x14ac:dyDescent="0.25">
      <c r="A286" s="213">
        <v>8014</v>
      </c>
      <c r="B286" s="213">
        <v>814</v>
      </c>
      <c r="C286" s="214" t="s">
        <v>168</v>
      </c>
      <c r="D286" s="214" t="s">
        <v>357</v>
      </c>
      <c r="E286" s="214" t="s">
        <v>194</v>
      </c>
      <c r="F286" s="214" t="s">
        <v>138</v>
      </c>
      <c r="G286" s="213">
        <v>3043</v>
      </c>
      <c r="H286" s="214" t="s">
        <v>138</v>
      </c>
      <c r="I286" s="215" t="s">
        <v>139</v>
      </c>
      <c r="J286" s="216">
        <v>5.0000000000000001E-3</v>
      </c>
      <c r="K286" s="217" t="s">
        <v>137</v>
      </c>
      <c r="L286" s="218">
        <v>0.15</v>
      </c>
      <c r="M286" s="50"/>
      <c r="N286" s="48"/>
      <c r="O286" s="48"/>
      <c r="P286" s="48"/>
      <c r="Q286" s="49"/>
    </row>
    <row r="287" spans="1:17" ht="15" customHeight="1" x14ac:dyDescent="0.25">
      <c r="A287" s="213">
        <v>2909</v>
      </c>
      <c r="B287" s="213">
        <v>56</v>
      </c>
      <c r="C287" s="214" t="s">
        <v>358</v>
      </c>
      <c r="D287" s="214" t="s">
        <v>230</v>
      </c>
      <c r="E287" s="214">
        <v>30</v>
      </c>
      <c r="F287" s="214" t="s">
        <v>13</v>
      </c>
      <c r="G287" s="213">
        <v>406</v>
      </c>
      <c r="H287" s="214" t="s">
        <v>20</v>
      </c>
      <c r="I287" s="215" t="s">
        <v>15</v>
      </c>
      <c r="J287" s="216">
        <v>8</v>
      </c>
      <c r="K287" s="217" t="s">
        <v>265</v>
      </c>
      <c r="L287" s="218">
        <v>0.1</v>
      </c>
      <c r="M287" s="48"/>
      <c r="N287" s="48"/>
      <c r="O287" s="48"/>
      <c r="P287" s="48"/>
      <c r="Q287" s="49"/>
    </row>
    <row r="288" spans="1:17" ht="15" customHeight="1" x14ac:dyDescent="0.25">
      <c r="A288" s="213">
        <v>2909</v>
      </c>
      <c r="B288" s="213">
        <v>56</v>
      </c>
      <c r="C288" s="214" t="s">
        <v>358</v>
      </c>
      <c r="D288" s="214" t="s">
        <v>230</v>
      </c>
      <c r="E288" s="214">
        <v>30</v>
      </c>
      <c r="F288" s="214" t="s">
        <v>277</v>
      </c>
      <c r="G288" s="213">
        <v>3595</v>
      </c>
      <c r="H288" s="214" t="s">
        <v>331</v>
      </c>
      <c r="I288" s="215" t="s">
        <v>15</v>
      </c>
      <c r="J288" s="216">
        <v>0.67</v>
      </c>
      <c r="K288" s="217" t="s">
        <v>277</v>
      </c>
      <c r="L288" s="218">
        <v>0.1</v>
      </c>
      <c r="M288" s="48"/>
      <c r="N288" s="48"/>
      <c r="O288" s="48"/>
      <c r="P288" s="48"/>
      <c r="Q288" s="49"/>
    </row>
    <row r="289" spans="1:17" ht="15" customHeight="1" x14ac:dyDescent="0.25">
      <c r="A289" s="213">
        <v>2909</v>
      </c>
      <c r="B289" s="213">
        <v>56</v>
      </c>
      <c r="C289" s="214" t="s">
        <v>358</v>
      </c>
      <c r="D289" s="214" t="s">
        <v>230</v>
      </c>
      <c r="E289" s="214">
        <v>30</v>
      </c>
      <c r="F289" s="214" t="s">
        <v>281</v>
      </c>
      <c r="G289" s="213">
        <v>45</v>
      </c>
      <c r="H289" s="214" t="s">
        <v>359</v>
      </c>
      <c r="I289" s="215" t="s">
        <v>53</v>
      </c>
      <c r="J289" s="216">
        <v>6.6665999999999999</v>
      </c>
      <c r="K289" s="217" t="s">
        <v>281</v>
      </c>
      <c r="L289" s="218">
        <v>0.1</v>
      </c>
      <c r="M289" s="48"/>
      <c r="N289" s="48"/>
      <c r="O289" s="48"/>
      <c r="P289" s="48"/>
      <c r="Q289" s="49"/>
    </row>
    <row r="290" spans="1:17" ht="15" customHeight="1" x14ac:dyDescent="0.25">
      <c r="A290" s="213">
        <v>2909</v>
      </c>
      <c r="B290" s="213">
        <v>56</v>
      </c>
      <c r="C290" s="214" t="s">
        <v>358</v>
      </c>
      <c r="D290" s="214" t="s">
        <v>230</v>
      </c>
      <c r="E290" s="214">
        <v>30</v>
      </c>
      <c r="F290" s="214" t="s">
        <v>47</v>
      </c>
      <c r="G290" s="213">
        <v>194</v>
      </c>
      <c r="H290" s="214" t="s">
        <v>48</v>
      </c>
      <c r="I290" s="215" t="s">
        <v>15</v>
      </c>
      <c r="J290" s="216">
        <v>8.3199999999999993E-3</v>
      </c>
      <c r="K290" s="217" t="s">
        <v>15</v>
      </c>
      <c r="L290" s="218">
        <v>0.1</v>
      </c>
      <c r="M290" s="48"/>
      <c r="N290" s="48"/>
      <c r="O290" s="48"/>
      <c r="P290" s="48"/>
      <c r="Q290" s="49"/>
    </row>
    <row r="291" spans="1:17" ht="15" customHeight="1" x14ac:dyDescent="0.25">
      <c r="A291" s="213">
        <v>2909</v>
      </c>
      <c r="B291" s="213">
        <v>56</v>
      </c>
      <c r="C291" s="214" t="s">
        <v>358</v>
      </c>
      <c r="D291" s="214" t="s">
        <v>230</v>
      </c>
      <c r="E291" s="214">
        <v>30</v>
      </c>
      <c r="F291" s="214" t="s">
        <v>272</v>
      </c>
      <c r="G291" s="213">
        <v>4155</v>
      </c>
      <c r="H291" s="214" t="s">
        <v>276</v>
      </c>
      <c r="I291" s="215" t="s">
        <v>15</v>
      </c>
      <c r="J291" s="216">
        <v>0.28000000000000003</v>
      </c>
      <c r="K291" s="217" t="s">
        <v>272</v>
      </c>
      <c r="L291" s="218">
        <v>0.1</v>
      </c>
      <c r="M291" s="50"/>
      <c r="N291" s="48"/>
      <c r="O291" s="48"/>
      <c r="P291" s="48"/>
      <c r="Q291" s="49"/>
    </row>
    <row r="292" spans="1:17" ht="15" customHeight="1" x14ac:dyDescent="0.25">
      <c r="A292" s="213">
        <v>2909</v>
      </c>
      <c r="B292" s="213">
        <v>56</v>
      </c>
      <c r="C292" s="214" t="s">
        <v>358</v>
      </c>
      <c r="D292" s="214" t="s">
        <v>230</v>
      </c>
      <c r="E292" s="214">
        <v>30</v>
      </c>
      <c r="F292" s="214" t="s">
        <v>285</v>
      </c>
      <c r="G292" s="213">
        <v>3635</v>
      </c>
      <c r="H292" s="214" t="s">
        <v>83</v>
      </c>
      <c r="I292" s="215" t="s">
        <v>51</v>
      </c>
      <c r="J292" s="216">
        <v>0.156</v>
      </c>
      <c r="K292" s="217" t="s">
        <v>285</v>
      </c>
      <c r="L292" s="218">
        <v>0.1</v>
      </c>
      <c r="M292" s="48"/>
      <c r="N292" s="48"/>
      <c r="O292" s="48"/>
      <c r="P292" s="48"/>
      <c r="Q292" s="49"/>
    </row>
    <row r="293" spans="1:17" ht="15" customHeight="1" x14ac:dyDescent="0.25">
      <c r="A293" s="213">
        <v>4227</v>
      </c>
      <c r="B293" s="213">
        <v>20</v>
      </c>
      <c r="C293" s="214" t="s">
        <v>219</v>
      </c>
      <c r="D293" s="214" t="s">
        <v>220</v>
      </c>
      <c r="E293" s="214">
        <v>25</v>
      </c>
      <c r="F293" s="214" t="s">
        <v>265</v>
      </c>
      <c r="G293" s="213">
        <v>6</v>
      </c>
      <c r="H293" s="214" t="s">
        <v>19</v>
      </c>
      <c r="I293" s="215" t="s">
        <v>15</v>
      </c>
      <c r="J293" s="216">
        <v>5.9170999999999996</v>
      </c>
      <c r="K293" s="217" t="s">
        <v>265</v>
      </c>
      <c r="L293" s="218">
        <v>0.1</v>
      </c>
      <c r="M293" s="48"/>
      <c r="N293" s="48"/>
      <c r="O293" s="48"/>
      <c r="P293" s="48"/>
      <c r="Q293" s="49"/>
    </row>
    <row r="294" spans="1:17" ht="15" customHeight="1" x14ac:dyDescent="0.25">
      <c r="A294" s="213">
        <v>4227</v>
      </c>
      <c r="B294" s="213">
        <v>20</v>
      </c>
      <c r="C294" s="214" t="s">
        <v>219</v>
      </c>
      <c r="D294" s="214" t="s">
        <v>220</v>
      </c>
      <c r="E294" s="214">
        <v>25</v>
      </c>
      <c r="F294" s="214" t="s">
        <v>278</v>
      </c>
      <c r="G294" s="213">
        <v>186</v>
      </c>
      <c r="H294" s="214" t="s">
        <v>46</v>
      </c>
      <c r="I294" s="215" t="s">
        <v>15</v>
      </c>
      <c r="J294" s="216">
        <v>0.09</v>
      </c>
      <c r="K294" s="217" t="s">
        <v>278</v>
      </c>
      <c r="L294" s="218">
        <v>0.1</v>
      </c>
      <c r="M294" s="48"/>
    </row>
    <row r="295" spans="1:17" ht="15" customHeight="1" x14ac:dyDescent="0.25">
      <c r="A295" s="213">
        <v>4227</v>
      </c>
      <c r="B295" s="213">
        <v>20</v>
      </c>
      <c r="C295" s="214" t="s">
        <v>219</v>
      </c>
      <c r="D295" s="214" t="s">
        <v>220</v>
      </c>
      <c r="E295" s="214">
        <v>25</v>
      </c>
      <c r="F295" s="214" t="s">
        <v>279</v>
      </c>
      <c r="G295" s="213">
        <v>3522</v>
      </c>
      <c r="H295" s="214" t="s">
        <v>70</v>
      </c>
      <c r="I295" s="215" t="s">
        <v>51</v>
      </c>
      <c r="J295" s="216">
        <v>1000</v>
      </c>
      <c r="K295" s="217" t="s">
        <v>279</v>
      </c>
      <c r="L295" s="218">
        <v>0.02</v>
      </c>
      <c r="M295" s="48"/>
    </row>
    <row r="296" spans="1:17" ht="15" customHeight="1" x14ac:dyDescent="0.25">
      <c r="A296" s="213">
        <v>4227</v>
      </c>
      <c r="B296" s="213">
        <v>20</v>
      </c>
      <c r="C296" s="214" t="s">
        <v>219</v>
      </c>
      <c r="D296" s="214" t="s">
        <v>220</v>
      </c>
      <c r="E296" s="214">
        <v>25</v>
      </c>
      <c r="F296" s="214" t="s">
        <v>281</v>
      </c>
      <c r="G296" s="213">
        <v>3598</v>
      </c>
      <c r="H296" s="214" t="s">
        <v>360</v>
      </c>
      <c r="I296" s="215" t="s">
        <v>51</v>
      </c>
      <c r="J296" s="216">
        <v>2.9761000000000002</v>
      </c>
      <c r="K296" s="217" t="s">
        <v>281</v>
      </c>
      <c r="L296" s="218">
        <v>0.1</v>
      </c>
      <c r="M296" s="48"/>
      <c r="N296" s="48"/>
      <c r="O296" s="48"/>
      <c r="P296" s="48"/>
      <c r="Q296" s="49"/>
    </row>
    <row r="297" spans="1:17" ht="15" customHeight="1" x14ac:dyDescent="0.25">
      <c r="A297" s="213">
        <v>4227</v>
      </c>
      <c r="B297" s="213">
        <v>20</v>
      </c>
      <c r="C297" s="214" t="s">
        <v>219</v>
      </c>
      <c r="D297" s="214" t="s">
        <v>220</v>
      </c>
      <c r="E297" s="214">
        <v>25</v>
      </c>
      <c r="F297" s="214" t="s">
        <v>283</v>
      </c>
      <c r="G297" s="213">
        <v>194</v>
      </c>
      <c r="H297" s="214" t="s">
        <v>48</v>
      </c>
      <c r="I297" s="215" t="s">
        <v>15</v>
      </c>
      <c r="J297" s="216">
        <v>8.3199999999999993E-3</v>
      </c>
      <c r="K297" s="217" t="s">
        <v>283</v>
      </c>
      <c r="L297" s="218">
        <v>0.1</v>
      </c>
      <c r="M297" s="48"/>
      <c r="N297" s="48"/>
      <c r="O297" s="48"/>
      <c r="P297" s="48"/>
      <c r="Q297" s="49"/>
    </row>
    <row r="298" spans="1:17" ht="15" customHeight="1" x14ac:dyDescent="0.25">
      <c r="A298" s="213">
        <v>4227</v>
      </c>
      <c r="B298" s="213">
        <v>20</v>
      </c>
      <c r="C298" s="214" t="s">
        <v>219</v>
      </c>
      <c r="D298" s="214" t="s">
        <v>220</v>
      </c>
      <c r="E298" s="214">
        <v>25</v>
      </c>
      <c r="F298" s="214" t="s">
        <v>272</v>
      </c>
      <c r="G298" s="213">
        <v>4155</v>
      </c>
      <c r="H298" s="214" t="s">
        <v>276</v>
      </c>
      <c r="I298" s="215" t="s">
        <v>15</v>
      </c>
      <c r="J298" s="216">
        <v>0.42020000000000002</v>
      </c>
      <c r="K298" s="217" t="s">
        <v>272</v>
      </c>
      <c r="L298" s="218">
        <v>0.1</v>
      </c>
      <c r="M298" s="48"/>
      <c r="N298" s="48"/>
      <c r="O298" s="48"/>
      <c r="P298" s="48"/>
      <c r="Q298" s="49"/>
    </row>
    <row r="299" spans="1:17" ht="15" customHeight="1" x14ac:dyDescent="0.25">
      <c r="A299" s="213">
        <v>4227</v>
      </c>
      <c r="B299" s="213">
        <v>20</v>
      </c>
      <c r="C299" s="214" t="s">
        <v>219</v>
      </c>
      <c r="D299" s="214" t="s">
        <v>220</v>
      </c>
      <c r="E299" s="214">
        <v>25</v>
      </c>
      <c r="F299" s="214" t="s">
        <v>285</v>
      </c>
      <c r="G299" s="213">
        <v>3635</v>
      </c>
      <c r="H299" s="214" t="s">
        <v>83</v>
      </c>
      <c r="I299" s="215" t="s">
        <v>51</v>
      </c>
      <c r="J299" s="216">
        <v>7.9000000000000001E-2</v>
      </c>
      <c r="K299" s="217" t="s">
        <v>285</v>
      </c>
      <c r="L299" s="218">
        <v>0.1</v>
      </c>
      <c r="M299" s="50"/>
      <c r="N299" s="48"/>
      <c r="O299" s="48"/>
      <c r="P299" s="48"/>
      <c r="Q299" s="49"/>
    </row>
    <row r="300" spans="1:17" ht="15" customHeight="1" x14ac:dyDescent="0.25">
      <c r="A300" s="213">
        <v>5389</v>
      </c>
      <c r="B300" s="213">
        <v>35</v>
      </c>
      <c r="C300" s="214" t="s">
        <v>168</v>
      </c>
      <c r="D300" s="214" t="s">
        <v>169</v>
      </c>
      <c r="E300" s="214">
        <v>25</v>
      </c>
      <c r="F300" s="214" t="s">
        <v>265</v>
      </c>
      <c r="G300" s="213">
        <v>6</v>
      </c>
      <c r="H300" s="214" t="s">
        <v>19</v>
      </c>
      <c r="I300" s="215" t="s">
        <v>15</v>
      </c>
      <c r="J300" s="216">
        <v>5.9169999999999998</v>
      </c>
      <c r="K300" s="217" t="s">
        <v>330</v>
      </c>
      <c r="L300" s="218">
        <v>0.1</v>
      </c>
      <c r="M300" s="50"/>
      <c r="N300" s="48"/>
      <c r="O300" s="48"/>
      <c r="P300" s="48"/>
      <c r="Q300" s="49"/>
    </row>
    <row r="301" spans="1:17" ht="15" customHeight="1" x14ac:dyDescent="0.25">
      <c r="A301" s="213">
        <v>5389</v>
      </c>
      <c r="B301" s="213">
        <v>35</v>
      </c>
      <c r="C301" s="214" t="s">
        <v>168</v>
      </c>
      <c r="D301" s="214" t="s">
        <v>169</v>
      </c>
      <c r="E301" s="214">
        <v>25</v>
      </c>
      <c r="F301" s="214" t="s">
        <v>277</v>
      </c>
      <c r="G301" s="213">
        <v>3595</v>
      </c>
      <c r="H301" s="214" t="s">
        <v>331</v>
      </c>
      <c r="I301" s="215" t="s">
        <v>15</v>
      </c>
      <c r="J301" s="216">
        <v>0.61199999999999999</v>
      </c>
      <c r="K301" s="217" t="s">
        <v>33</v>
      </c>
      <c r="L301" s="218">
        <v>0.1</v>
      </c>
      <c r="M301" s="50"/>
      <c r="N301" s="48"/>
      <c r="O301" s="48"/>
      <c r="P301" s="48"/>
      <c r="Q301" s="49"/>
    </row>
    <row r="302" spans="1:17" ht="15" customHeight="1" x14ac:dyDescent="0.25">
      <c r="A302" s="213">
        <v>5389</v>
      </c>
      <c r="B302" s="213">
        <v>35</v>
      </c>
      <c r="C302" s="214" t="s">
        <v>168</v>
      </c>
      <c r="D302" s="214" t="s">
        <v>169</v>
      </c>
      <c r="E302" s="214">
        <v>25</v>
      </c>
      <c r="F302" s="214" t="s">
        <v>279</v>
      </c>
      <c r="G302" s="213">
        <v>68</v>
      </c>
      <c r="H302" s="214" t="s">
        <v>66</v>
      </c>
      <c r="I302" s="215" t="s">
        <v>51</v>
      </c>
      <c r="J302" s="216">
        <v>1000</v>
      </c>
      <c r="K302" s="217" t="s">
        <v>332</v>
      </c>
      <c r="L302" s="218">
        <v>0.02</v>
      </c>
      <c r="M302" s="50"/>
      <c r="N302" s="48"/>
      <c r="O302" s="48"/>
      <c r="P302" s="48"/>
      <c r="Q302" s="49"/>
    </row>
    <row r="303" spans="1:17" ht="15" customHeight="1" x14ac:dyDescent="0.25">
      <c r="A303" s="213">
        <v>5389</v>
      </c>
      <c r="B303" s="213">
        <v>35</v>
      </c>
      <c r="C303" s="214" t="s">
        <v>168</v>
      </c>
      <c r="D303" s="214" t="s">
        <v>169</v>
      </c>
      <c r="E303" s="214">
        <v>25</v>
      </c>
      <c r="F303" s="214" t="s">
        <v>281</v>
      </c>
      <c r="G303" s="213">
        <v>3598</v>
      </c>
      <c r="H303" s="214" t="s">
        <v>78</v>
      </c>
      <c r="I303" s="215" t="s">
        <v>51</v>
      </c>
      <c r="J303" s="216">
        <v>2.976</v>
      </c>
      <c r="K303" s="217" t="s">
        <v>333</v>
      </c>
      <c r="L303" s="218">
        <v>0.1</v>
      </c>
      <c r="M303" s="50"/>
      <c r="N303" s="48"/>
      <c r="O303" s="48"/>
      <c r="P303" s="48"/>
      <c r="Q303" s="49"/>
    </row>
    <row r="304" spans="1:17" ht="15" customHeight="1" x14ac:dyDescent="0.25">
      <c r="A304" s="213">
        <v>5389</v>
      </c>
      <c r="B304" s="213">
        <v>35</v>
      </c>
      <c r="C304" s="214" t="s">
        <v>168</v>
      </c>
      <c r="D304" s="214" t="s">
        <v>169</v>
      </c>
      <c r="E304" s="214">
        <v>25</v>
      </c>
      <c r="F304" s="214" t="s">
        <v>283</v>
      </c>
      <c r="G304" s="213">
        <v>194</v>
      </c>
      <c r="H304" s="214" t="s">
        <v>48</v>
      </c>
      <c r="I304" s="215" t="s">
        <v>15</v>
      </c>
      <c r="J304" s="216">
        <v>6.1500000000000001E-3</v>
      </c>
      <c r="K304" s="217" t="s">
        <v>334</v>
      </c>
      <c r="L304" s="218">
        <v>0.1</v>
      </c>
      <c r="M304" s="50"/>
      <c r="N304" s="48"/>
      <c r="O304" s="48"/>
      <c r="P304" s="48"/>
      <c r="Q304" s="49"/>
    </row>
    <row r="305" spans="1:17" ht="15" customHeight="1" x14ac:dyDescent="0.25">
      <c r="A305" s="213">
        <v>5389</v>
      </c>
      <c r="B305" s="213">
        <v>35</v>
      </c>
      <c r="C305" s="214" t="s">
        <v>168</v>
      </c>
      <c r="D305" s="214" t="s">
        <v>169</v>
      </c>
      <c r="E305" s="214">
        <v>25</v>
      </c>
      <c r="F305" s="214" t="s">
        <v>272</v>
      </c>
      <c r="G305" s="213">
        <v>4155</v>
      </c>
      <c r="H305" s="214" t="s">
        <v>276</v>
      </c>
      <c r="I305" s="215" t="s">
        <v>29</v>
      </c>
      <c r="J305" s="216">
        <v>0.29199999999999998</v>
      </c>
      <c r="K305" s="217" t="s">
        <v>25</v>
      </c>
      <c r="L305" s="218">
        <v>0.1</v>
      </c>
      <c r="M305" s="50"/>
      <c r="N305" s="48"/>
      <c r="O305" s="48"/>
      <c r="P305" s="48"/>
      <c r="Q305" s="49"/>
    </row>
    <row r="306" spans="1:17" ht="15" customHeight="1" x14ac:dyDescent="0.25">
      <c r="A306" s="213">
        <v>5389</v>
      </c>
      <c r="B306" s="213">
        <v>35</v>
      </c>
      <c r="C306" s="214" t="s">
        <v>168</v>
      </c>
      <c r="D306" s="214" t="s">
        <v>169</v>
      </c>
      <c r="E306" s="214">
        <v>25</v>
      </c>
      <c r="F306" s="214" t="s">
        <v>285</v>
      </c>
      <c r="G306" s="213">
        <v>3635</v>
      </c>
      <c r="H306" s="214" t="s">
        <v>83</v>
      </c>
      <c r="I306" s="215" t="s">
        <v>51</v>
      </c>
      <c r="J306" s="216">
        <v>7.9000000000000001E-2</v>
      </c>
      <c r="K306" s="217" t="s">
        <v>335</v>
      </c>
      <c r="L306" s="218">
        <v>0.1</v>
      </c>
      <c r="M306" s="50"/>
      <c r="N306" s="48"/>
      <c r="O306" s="48"/>
      <c r="P306" s="48"/>
      <c r="Q306" s="49"/>
    </row>
    <row r="307" spans="1:17" ht="15" customHeight="1" x14ac:dyDescent="0.25">
      <c r="A307" s="213">
        <v>6151</v>
      </c>
      <c r="B307" s="213">
        <v>146</v>
      </c>
      <c r="C307" s="214" t="s">
        <v>231</v>
      </c>
      <c r="D307" s="214" t="s">
        <v>232</v>
      </c>
      <c r="E307" s="214">
        <v>30</v>
      </c>
      <c r="F307" s="214" t="s">
        <v>13</v>
      </c>
      <c r="G307" s="213">
        <v>406</v>
      </c>
      <c r="H307" s="214" t="s">
        <v>20</v>
      </c>
      <c r="I307" s="215" t="s">
        <v>15</v>
      </c>
      <c r="J307" s="216">
        <v>8</v>
      </c>
      <c r="K307" s="217" t="s">
        <v>265</v>
      </c>
      <c r="L307" s="218">
        <v>0.1</v>
      </c>
      <c r="M307" s="50"/>
      <c r="N307" s="48"/>
      <c r="O307" s="48"/>
      <c r="P307" s="48"/>
      <c r="Q307" s="49"/>
    </row>
    <row r="308" spans="1:17" ht="15" customHeight="1" x14ac:dyDescent="0.25">
      <c r="A308" s="213">
        <v>6151</v>
      </c>
      <c r="B308" s="213">
        <v>146</v>
      </c>
      <c r="C308" s="214" t="s">
        <v>231</v>
      </c>
      <c r="D308" s="214" t="s">
        <v>232</v>
      </c>
      <c r="E308" s="214">
        <v>30</v>
      </c>
      <c r="F308" s="214" t="s">
        <v>277</v>
      </c>
      <c r="G308" s="213">
        <v>3595</v>
      </c>
      <c r="H308" s="214" t="s">
        <v>331</v>
      </c>
      <c r="I308" s="215" t="s">
        <v>15</v>
      </c>
      <c r="J308" s="216">
        <v>0.67</v>
      </c>
      <c r="K308" s="217" t="s">
        <v>277</v>
      </c>
      <c r="L308" s="218">
        <v>0.1</v>
      </c>
      <c r="M308" s="50"/>
      <c r="N308" s="48"/>
      <c r="O308" s="48"/>
      <c r="P308" s="48"/>
      <c r="Q308" s="49"/>
    </row>
    <row r="309" spans="1:17" ht="15" customHeight="1" x14ac:dyDescent="0.25">
      <c r="A309" s="213">
        <v>6151</v>
      </c>
      <c r="B309" s="213">
        <v>146</v>
      </c>
      <c r="C309" s="214" t="s">
        <v>231</v>
      </c>
      <c r="D309" s="214" t="s">
        <v>232</v>
      </c>
      <c r="E309" s="214">
        <v>30</v>
      </c>
      <c r="F309" s="214" t="s">
        <v>278</v>
      </c>
      <c r="G309" s="213">
        <v>186</v>
      </c>
      <c r="H309" s="214" t="s">
        <v>46</v>
      </c>
      <c r="I309" s="215" t="s">
        <v>15</v>
      </c>
      <c r="J309" s="216">
        <v>0.28000000000000003</v>
      </c>
      <c r="K309" s="217" t="s">
        <v>278</v>
      </c>
      <c r="L309" s="218">
        <v>0.1</v>
      </c>
      <c r="M309" s="50"/>
      <c r="N309" s="48"/>
      <c r="O309" s="48"/>
      <c r="P309" s="48"/>
      <c r="Q309" s="49"/>
    </row>
    <row r="310" spans="1:17" ht="15" customHeight="1" x14ac:dyDescent="0.25">
      <c r="A310" s="213">
        <v>6151</v>
      </c>
      <c r="B310" s="213">
        <v>146</v>
      </c>
      <c r="C310" s="214" t="s">
        <v>231</v>
      </c>
      <c r="D310" s="214" t="s">
        <v>232</v>
      </c>
      <c r="E310" s="214">
        <v>30</v>
      </c>
      <c r="F310" s="214" t="s">
        <v>279</v>
      </c>
      <c r="G310" s="213">
        <v>578</v>
      </c>
      <c r="H310" s="214" t="s">
        <v>361</v>
      </c>
      <c r="I310" s="215" t="s">
        <v>53</v>
      </c>
      <c r="J310" s="216">
        <v>1000</v>
      </c>
      <c r="K310" s="217" t="s">
        <v>279</v>
      </c>
      <c r="L310" s="218">
        <v>0.02</v>
      </c>
      <c r="M310" s="50"/>
      <c r="N310" s="48"/>
      <c r="O310" s="48"/>
      <c r="P310" s="48"/>
      <c r="Q310" s="49"/>
    </row>
    <row r="311" spans="1:17" ht="15" customHeight="1" x14ac:dyDescent="0.25">
      <c r="A311" s="213">
        <v>6151</v>
      </c>
      <c r="B311" s="213">
        <v>146</v>
      </c>
      <c r="C311" s="214" t="s">
        <v>231</v>
      </c>
      <c r="D311" s="214" t="s">
        <v>232</v>
      </c>
      <c r="E311" s="214">
        <v>30</v>
      </c>
      <c r="F311" s="214" t="s">
        <v>281</v>
      </c>
      <c r="G311" s="213">
        <v>3988</v>
      </c>
      <c r="H311" s="214" t="s">
        <v>362</v>
      </c>
      <c r="I311" s="215" t="s">
        <v>53</v>
      </c>
      <c r="J311" s="216">
        <v>4.2016</v>
      </c>
      <c r="K311" s="217" t="s">
        <v>281</v>
      </c>
      <c r="L311" s="218">
        <v>0.1</v>
      </c>
      <c r="M311" s="50"/>
      <c r="N311" s="48"/>
      <c r="O311" s="48"/>
      <c r="P311" s="48"/>
      <c r="Q311" s="49"/>
    </row>
    <row r="312" spans="1:17" ht="15" customHeight="1" x14ac:dyDescent="0.25">
      <c r="A312" s="213">
        <v>6151</v>
      </c>
      <c r="B312" s="213">
        <v>146</v>
      </c>
      <c r="C312" s="214" t="s">
        <v>231</v>
      </c>
      <c r="D312" s="214" t="s">
        <v>232</v>
      </c>
      <c r="E312" s="214">
        <v>30</v>
      </c>
      <c r="F312" s="214" t="s">
        <v>47</v>
      </c>
      <c r="G312" s="213">
        <v>194</v>
      </c>
      <c r="H312" s="214" t="s">
        <v>48</v>
      </c>
      <c r="I312" s="215" t="s">
        <v>15</v>
      </c>
      <c r="J312" s="216">
        <v>8.3199999999999993E-3</v>
      </c>
      <c r="K312" s="217" t="s">
        <v>15</v>
      </c>
      <c r="L312" s="218">
        <v>0.1</v>
      </c>
      <c r="M312" s="50"/>
      <c r="N312" s="48"/>
      <c r="O312" s="48"/>
      <c r="P312" s="48"/>
      <c r="Q312" s="49"/>
    </row>
    <row r="313" spans="1:17" ht="15" customHeight="1" x14ac:dyDescent="0.25">
      <c r="A313" s="213">
        <v>6151</v>
      </c>
      <c r="B313" s="213">
        <v>146</v>
      </c>
      <c r="C313" s="214" t="s">
        <v>231</v>
      </c>
      <c r="D313" s="214" t="s">
        <v>232</v>
      </c>
      <c r="E313" s="214">
        <v>30</v>
      </c>
      <c r="F313" s="214" t="s">
        <v>272</v>
      </c>
      <c r="G313" s="213">
        <v>4155</v>
      </c>
      <c r="H313" s="214" t="s">
        <v>276</v>
      </c>
      <c r="I313" s="215" t="s">
        <v>15</v>
      </c>
      <c r="J313" s="216">
        <v>0.28000000000000003</v>
      </c>
      <c r="K313" s="217" t="s">
        <v>272</v>
      </c>
      <c r="L313" s="218">
        <v>0.1</v>
      </c>
      <c r="M313" s="50"/>
      <c r="N313" s="48"/>
      <c r="O313" s="48"/>
      <c r="P313" s="48"/>
      <c r="Q313" s="49"/>
    </row>
    <row r="314" spans="1:17" ht="15" customHeight="1" x14ac:dyDescent="0.25">
      <c r="A314" s="213">
        <v>6151</v>
      </c>
      <c r="B314" s="213">
        <v>146</v>
      </c>
      <c r="C314" s="214" t="s">
        <v>231</v>
      </c>
      <c r="D314" s="214" t="s">
        <v>232</v>
      </c>
      <c r="E314" s="214">
        <v>30</v>
      </c>
      <c r="F314" s="214" t="s">
        <v>285</v>
      </c>
      <c r="G314" s="213">
        <v>3635</v>
      </c>
      <c r="H314" s="214" t="s">
        <v>83</v>
      </c>
      <c r="I314" s="215" t="s">
        <v>51</v>
      </c>
      <c r="J314" s="216">
        <v>0.156</v>
      </c>
      <c r="K314" s="217" t="s">
        <v>285</v>
      </c>
      <c r="L314" s="218">
        <v>0.1</v>
      </c>
      <c r="M314" s="50"/>
      <c r="N314" s="48"/>
      <c r="O314" s="48"/>
      <c r="P314" s="48"/>
      <c r="Q314" s="49"/>
    </row>
    <row r="315" spans="1:17" ht="15" customHeight="1" x14ac:dyDescent="0.25">
      <c r="A315" s="213">
        <v>6151</v>
      </c>
      <c r="B315" s="213">
        <v>146</v>
      </c>
      <c r="C315" s="214" t="s">
        <v>231</v>
      </c>
      <c r="D315" s="214" t="s">
        <v>232</v>
      </c>
      <c r="E315" s="214">
        <v>30</v>
      </c>
      <c r="F315" s="214" t="s">
        <v>339</v>
      </c>
      <c r="G315" s="213">
        <v>6935</v>
      </c>
      <c r="H315" s="214" t="s">
        <v>112</v>
      </c>
      <c r="I315" s="215" t="s">
        <v>15</v>
      </c>
      <c r="J315" s="216">
        <v>3.3000000000000002E-2</v>
      </c>
      <c r="K315" s="217" t="s">
        <v>339</v>
      </c>
      <c r="L315" s="218">
        <v>0.1</v>
      </c>
      <c r="M315" s="50"/>
      <c r="N315" s="48"/>
      <c r="O315" s="48"/>
      <c r="P315" s="48"/>
      <c r="Q315" s="49"/>
    </row>
    <row r="316" spans="1:17" ht="15" customHeight="1" x14ac:dyDescent="0.25">
      <c r="A316" s="213">
        <v>6623</v>
      </c>
      <c r="B316" s="213">
        <v>193</v>
      </c>
      <c r="C316" s="214" t="s">
        <v>168</v>
      </c>
      <c r="D316" s="214" t="s">
        <v>200</v>
      </c>
      <c r="E316" s="214">
        <v>19</v>
      </c>
      <c r="F316" s="214" t="s">
        <v>265</v>
      </c>
      <c r="G316" s="213">
        <v>19</v>
      </c>
      <c r="H316" s="214" t="s">
        <v>17</v>
      </c>
      <c r="I316" s="215" t="s">
        <v>15</v>
      </c>
      <c r="J316" s="216">
        <v>3.367</v>
      </c>
      <c r="K316" s="217" t="s">
        <v>265</v>
      </c>
      <c r="L316" s="218">
        <v>0.1</v>
      </c>
      <c r="M316" s="50"/>
      <c r="N316" s="48"/>
      <c r="O316" s="48"/>
      <c r="P316" s="48"/>
      <c r="Q316" s="49"/>
    </row>
    <row r="317" spans="1:17" ht="15" customHeight="1" x14ac:dyDescent="0.25">
      <c r="A317" s="213">
        <v>6623</v>
      </c>
      <c r="B317" s="213">
        <v>193</v>
      </c>
      <c r="C317" s="214" t="s">
        <v>168</v>
      </c>
      <c r="D317" s="214" t="s">
        <v>200</v>
      </c>
      <c r="E317" s="214">
        <v>19</v>
      </c>
      <c r="F317" s="214" t="s">
        <v>277</v>
      </c>
      <c r="G317" s="213">
        <v>3595</v>
      </c>
      <c r="H317" s="214" t="s">
        <v>363</v>
      </c>
      <c r="I317" s="215" t="s">
        <v>15</v>
      </c>
      <c r="J317" s="216">
        <v>0.31</v>
      </c>
      <c r="K317" s="217" t="s">
        <v>277</v>
      </c>
      <c r="L317" s="218">
        <v>0.1</v>
      </c>
      <c r="M317" s="50"/>
      <c r="N317" s="48"/>
      <c r="O317" s="48"/>
      <c r="P317" s="48"/>
      <c r="Q317" s="49"/>
    </row>
    <row r="318" spans="1:17" ht="15" customHeight="1" x14ac:dyDescent="0.25">
      <c r="A318" s="213">
        <v>6623</v>
      </c>
      <c r="B318" s="213">
        <v>193</v>
      </c>
      <c r="C318" s="214" t="s">
        <v>168</v>
      </c>
      <c r="D318" s="214" t="s">
        <v>200</v>
      </c>
      <c r="E318" s="214">
        <v>19</v>
      </c>
      <c r="F318" s="214" t="s">
        <v>279</v>
      </c>
      <c r="G318" s="213">
        <v>80</v>
      </c>
      <c r="H318" s="214" t="s">
        <v>56</v>
      </c>
      <c r="I318" s="215" t="s">
        <v>53</v>
      </c>
      <c r="J318" s="216">
        <v>1000</v>
      </c>
      <c r="K318" s="217" t="s">
        <v>279</v>
      </c>
      <c r="L318" s="218">
        <v>0.02</v>
      </c>
      <c r="M318" s="50"/>
      <c r="N318" s="48"/>
      <c r="O318" s="48"/>
      <c r="P318" s="48"/>
      <c r="Q318" s="49"/>
    </row>
    <row r="319" spans="1:17" ht="15" customHeight="1" x14ac:dyDescent="0.25">
      <c r="A319" s="213">
        <v>6623</v>
      </c>
      <c r="B319" s="213">
        <v>193</v>
      </c>
      <c r="C319" s="214" t="s">
        <v>168</v>
      </c>
      <c r="D319" s="214" t="s">
        <v>200</v>
      </c>
      <c r="E319" s="214">
        <v>19</v>
      </c>
      <c r="F319" s="214" t="s">
        <v>281</v>
      </c>
      <c r="G319" s="213">
        <v>3619</v>
      </c>
      <c r="H319" s="214" t="s">
        <v>364</v>
      </c>
      <c r="I319" s="215" t="s">
        <v>53</v>
      </c>
      <c r="J319" s="216">
        <v>1.7</v>
      </c>
      <c r="K319" s="217" t="s">
        <v>281</v>
      </c>
      <c r="L319" s="218">
        <v>0.1</v>
      </c>
      <c r="M319" s="50"/>
      <c r="N319" s="48"/>
      <c r="O319" s="48"/>
      <c r="P319" s="48"/>
      <c r="Q319" s="49"/>
    </row>
    <row r="320" spans="1:17" ht="15" customHeight="1" x14ac:dyDescent="0.25">
      <c r="A320" s="213">
        <v>6623</v>
      </c>
      <c r="B320" s="213">
        <v>193</v>
      </c>
      <c r="C320" s="214" t="s">
        <v>168</v>
      </c>
      <c r="D320" s="214" t="s">
        <v>200</v>
      </c>
      <c r="E320" s="214">
        <v>19</v>
      </c>
      <c r="F320" s="214" t="s">
        <v>283</v>
      </c>
      <c r="G320" s="213">
        <v>194</v>
      </c>
      <c r="H320" s="214" t="s">
        <v>48</v>
      </c>
      <c r="I320" s="215" t="s">
        <v>15</v>
      </c>
      <c r="J320" s="216">
        <v>3.3999999999999998E-3</v>
      </c>
      <c r="K320" s="217" t="s">
        <v>283</v>
      </c>
      <c r="L320" s="218">
        <v>0.1</v>
      </c>
      <c r="M320" s="50"/>
      <c r="N320" s="48"/>
      <c r="O320" s="48"/>
      <c r="P320" s="48"/>
      <c r="Q320" s="49"/>
    </row>
    <row r="321" spans="1:17" ht="15" customHeight="1" x14ac:dyDescent="0.25">
      <c r="A321" s="213">
        <v>6623</v>
      </c>
      <c r="B321" s="213">
        <v>193</v>
      </c>
      <c r="C321" s="214" t="s">
        <v>168</v>
      </c>
      <c r="D321" s="214" t="s">
        <v>200</v>
      </c>
      <c r="E321" s="214">
        <v>19</v>
      </c>
      <c r="F321" s="214" t="s">
        <v>272</v>
      </c>
      <c r="G321" s="213">
        <v>4155</v>
      </c>
      <c r="H321" s="214" t="s">
        <v>276</v>
      </c>
      <c r="I321" s="215" t="s">
        <v>29</v>
      </c>
      <c r="J321" s="216">
        <v>0.1449</v>
      </c>
      <c r="K321" s="217" t="s">
        <v>272</v>
      </c>
      <c r="L321" s="218">
        <v>0.1</v>
      </c>
      <c r="M321" s="50"/>
      <c r="N321" s="48"/>
      <c r="O321" s="48"/>
      <c r="P321" s="48"/>
      <c r="Q321" s="49"/>
    </row>
    <row r="322" spans="1:17" ht="15" customHeight="1" x14ac:dyDescent="0.25">
      <c r="A322" s="213">
        <v>6623</v>
      </c>
      <c r="B322" s="213">
        <v>193</v>
      </c>
      <c r="C322" s="214" t="s">
        <v>168</v>
      </c>
      <c r="D322" s="214" t="s">
        <v>200</v>
      </c>
      <c r="E322" s="214">
        <v>19</v>
      </c>
      <c r="F322" s="214" t="s">
        <v>285</v>
      </c>
      <c r="G322" s="213">
        <v>3635</v>
      </c>
      <c r="H322" s="214" t="s">
        <v>83</v>
      </c>
      <c r="I322" s="215" t="s">
        <v>51</v>
      </c>
      <c r="J322" s="216">
        <v>5.8999999999999997E-2</v>
      </c>
      <c r="K322" s="217" t="s">
        <v>285</v>
      </c>
      <c r="L322" s="218">
        <v>0.1</v>
      </c>
      <c r="M322" s="50"/>
      <c r="N322" s="48"/>
      <c r="O322" s="48"/>
      <c r="P322" s="48"/>
      <c r="Q322" s="49"/>
    </row>
    <row r="323" spans="1:17" ht="15" customHeight="1" x14ac:dyDescent="0.25">
      <c r="A323" s="213">
        <v>6624</v>
      </c>
      <c r="B323" s="213">
        <v>192</v>
      </c>
      <c r="C323" s="214" t="s">
        <v>168</v>
      </c>
      <c r="D323" s="214" t="s">
        <v>199</v>
      </c>
      <c r="E323" s="214">
        <v>19</v>
      </c>
      <c r="F323" s="214" t="s">
        <v>265</v>
      </c>
      <c r="G323" s="213">
        <v>19</v>
      </c>
      <c r="H323" s="214" t="s">
        <v>17</v>
      </c>
      <c r="I323" s="215" t="s">
        <v>15</v>
      </c>
      <c r="J323" s="216">
        <v>3.367</v>
      </c>
      <c r="K323" s="217" t="s">
        <v>265</v>
      </c>
      <c r="L323" s="218">
        <v>0.1</v>
      </c>
      <c r="M323" s="50"/>
      <c r="N323" s="48"/>
      <c r="O323" s="48"/>
      <c r="P323" s="48"/>
      <c r="Q323" s="49"/>
    </row>
    <row r="324" spans="1:17" ht="15" customHeight="1" x14ac:dyDescent="0.25">
      <c r="A324" s="213">
        <v>6624</v>
      </c>
      <c r="B324" s="213">
        <v>192</v>
      </c>
      <c r="C324" s="214" t="s">
        <v>168</v>
      </c>
      <c r="D324" s="214" t="s">
        <v>199</v>
      </c>
      <c r="E324" s="214">
        <v>19</v>
      </c>
      <c r="F324" s="214" t="s">
        <v>277</v>
      </c>
      <c r="G324" s="213">
        <v>3595</v>
      </c>
      <c r="H324" s="214" t="s">
        <v>363</v>
      </c>
      <c r="I324" s="215" t="s">
        <v>15</v>
      </c>
      <c r="J324" s="216">
        <v>0.31</v>
      </c>
      <c r="K324" s="217" t="s">
        <v>277</v>
      </c>
      <c r="L324" s="218">
        <v>0.1</v>
      </c>
      <c r="M324" s="50"/>
      <c r="N324" s="48"/>
      <c r="O324" s="48"/>
      <c r="P324" s="48"/>
      <c r="Q324" s="49"/>
    </row>
    <row r="325" spans="1:17" ht="15" customHeight="1" x14ac:dyDescent="0.25">
      <c r="A325" s="213">
        <v>6624</v>
      </c>
      <c r="B325" s="213">
        <v>192</v>
      </c>
      <c r="C325" s="214" t="s">
        <v>168</v>
      </c>
      <c r="D325" s="214" t="s">
        <v>199</v>
      </c>
      <c r="E325" s="214">
        <v>19</v>
      </c>
      <c r="F325" s="214" t="s">
        <v>279</v>
      </c>
      <c r="G325" s="213">
        <v>80</v>
      </c>
      <c r="H325" s="214" t="s">
        <v>56</v>
      </c>
      <c r="I325" s="215" t="s">
        <v>53</v>
      </c>
      <c r="J325" s="216">
        <v>1000</v>
      </c>
      <c r="K325" s="217" t="s">
        <v>279</v>
      </c>
      <c r="L325" s="218">
        <v>0.02</v>
      </c>
      <c r="M325" s="50"/>
      <c r="N325" s="48"/>
      <c r="O325" s="48"/>
      <c r="P325" s="48"/>
      <c r="Q325" s="49"/>
    </row>
    <row r="326" spans="1:17" ht="15" customHeight="1" x14ac:dyDescent="0.25">
      <c r="A326" s="213">
        <v>6624</v>
      </c>
      <c r="B326" s="213">
        <v>192</v>
      </c>
      <c r="C326" s="214" t="s">
        <v>168</v>
      </c>
      <c r="D326" s="214" t="s">
        <v>199</v>
      </c>
      <c r="E326" s="214">
        <v>19</v>
      </c>
      <c r="F326" s="214" t="s">
        <v>281</v>
      </c>
      <c r="G326" s="213">
        <v>3619</v>
      </c>
      <c r="H326" s="214" t="s">
        <v>364</v>
      </c>
      <c r="I326" s="215" t="s">
        <v>53</v>
      </c>
      <c r="J326" s="216">
        <v>1.7</v>
      </c>
      <c r="K326" s="217" t="s">
        <v>281</v>
      </c>
      <c r="L326" s="218">
        <v>0.1</v>
      </c>
      <c r="M326" s="50"/>
      <c r="N326" s="48"/>
      <c r="O326" s="48"/>
      <c r="P326" s="48"/>
      <c r="Q326" s="49"/>
    </row>
    <row r="327" spans="1:17" ht="15" customHeight="1" x14ac:dyDescent="0.25">
      <c r="A327" s="213">
        <v>6624</v>
      </c>
      <c r="B327" s="213">
        <v>192</v>
      </c>
      <c r="C327" s="214" t="s">
        <v>168</v>
      </c>
      <c r="D327" s="214" t="s">
        <v>199</v>
      </c>
      <c r="E327" s="214">
        <v>19</v>
      </c>
      <c r="F327" s="214" t="s">
        <v>283</v>
      </c>
      <c r="G327" s="213">
        <v>194</v>
      </c>
      <c r="H327" s="214" t="s">
        <v>48</v>
      </c>
      <c r="I327" s="215" t="s">
        <v>15</v>
      </c>
      <c r="J327" s="216">
        <v>3.3999999999999998E-3</v>
      </c>
      <c r="K327" s="217" t="s">
        <v>283</v>
      </c>
      <c r="L327" s="218">
        <v>0.1</v>
      </c>
      <c r="M327" s="50"/>
      <c r="N327" s="48"/>
      <c r="O327" s="48"/>
      <c r="P327" s="48"/>
      <c r="Q327" s="49"/>
    </row>
    <row r="328" spans="1:17" ht="15" customHeight="1" x14ac:dyDescent="0.25">
      <c r="A328" s="213">
        <v>6624</v>
      </c>
      <c r="B328" s="213">
        <v>192</v>
      </c>
      <c r="C328" s="214" t="s">
        <v>168</v>
      </c>
      <c r="D328" s="214" t="s">
        <v>199</v>
      </c>
      <c r="E328" s="214">
        <v>19</v>
      </c>
      <c r="F328" s="214" t="s">
        <v>272</v>
      </c>
      <c r="G328" s="213">
        <v>4155</v>
      </c>
      <c r="H328" s="214" t="s">
        <v>276</v>
      </c>
      <c r="I328" s="215" t="s">
        <v>29</v>
      </c>
      <c r="J328" s="216">
        <v>0.1449</v>
      </c>
      <c r="K328" s="217" t="s">
        <v>272</v>
      </c>
      <c r="L328" s="218">
        <v>0.1</v>
      </c>
      <c r="M328" s="50"/>
      <c r="N328" s="48"/>
      <c r="O328" s="48"/>
      <c r="P328" s="48"/>
      <c r="Q328" s="49"/>
    </row>
    <row r="329" spans="1:17" ht="15" customHeight="1" x14ac:dyDescent="0.25">
      <c r="A329" s="213">
        <v>6624</v>
      </c>
      <c r="B329" s="213">
        <v>192</v>
      </c>
      <c r="C329" s="214" t="s">
        <v>168</v>
      </c>
      <c r="D329" s="214" t="s">
        <v>199</v>
      </c>
      <c r="E329" s="214">
        <v>19</v>
      </c>
      <c r="F329" s="214" t="s">
        <v>285</v>
      </c>
      <c r="G329" s="213">
        <v>3635</v>
      </c>
      <c r="H329" s="214" t="s">
        <v>83</v>
      </c>
      <c r="I329" s="215" t="s">
        <v>51</v>
      </c>
      <c r="J329" s="216">
        <v>5.8999999999999997E-2</v>
      </c>
      <c r="K329" s="217" t="s">
        <v>285</v>
      </c>
      <c r="L329" s="218">
        <v>0.1</v>
      </c>
      <c r="M329" s="50"/>
    </row>
    <row r="330" spans="1:17" ht="15" customHeight="1" x14ac:dyDescent="0.25">
      <c r="A330" s="213">
        <v>8015</v>
      </c>
      <c r="B330" s="213"/>
      <c r="C330" s="214" t="s">
        <v>175</v>
      </c>
      <c r="D330" s="214" t="s">
        <v>365</v>
      </c>
      <c r="E330" s="214" t="s">
        <v>184</v>
      </c>
      <c r="F330" s="214" t="s">
        <v>288</v>
      </c>
      <c r="G330" s="213">
        <v>2680</v>
      </c>
      <c r="H330" s="214" t="s">
        <v>119</v>
      </c>
      <c r="I330" s="215" t="s">
        <v>15</v>
      </c>
      <c r="J330" s="216">
        <v>17.100000000000001</v>
      </c>
      <c r="K330" s="217" t="s">
        <v>118</v>
      </c>
      <c r="L330" s="218">
        <v>0.15</v>
      </c>
      <c r="M330" s="50"/>
    </row>
    <row r="331" spans="1:17" ht="15" customHeight="1" x14ac:dyDescent="0.25">
      <c r="A331" s="213">
        <v>8015</v>
      </c>
      <c r="B331" s="213"/>
      <c r="C331" s="214" t="s">
        <v>175</v>
      </c>
      <c r="D331" s="214" t="s">
        <v>365</v>
      </c>
      <c r="E331" s="214" t="s">
        <v>184</v>
      </c>
      <c r="F331" s="214" t="s">
        <v>345</v>
      </c>
      <c r="G331" s="213">
        <v>5816</v>
      </c>
      <c r="H331" s="214" t="s">
        <v>126</v>
      </c>
      <c r="I331" s="215" t="s">
        <v>15</v>
      </c>
      <c r="J331" s="216">
        <v>0.9</v>
      </c>
      <c r="K331" s="217" t="s">
        <v>120</v>
      </c>
      <c r="L331" s="218">
        <v>0.15</v>
      </c>
      <c r="M331" s="50"/>
    </row>
    <row r="332" spans="1:17" ht="15" customHeight="1" x14ac:dyDescent="0.25">
      <c r="A332" s="213">
        <v>8015</v>
      </c>
      <c r="B332" s="213"/>
      <c r="C332" s="214" t="s">
        <v>175</v>
      </c>
      <c r="D332" s="214" t="s">
        <v>365</v>
      </c>
      <c r="E332" s="214" t="s">
        <v>184</v>
      </c>
      <c r="F332" s="214" t="s">
        <v>342</v>
      </c>
      <c r="G332" s="213">
        <v>5977</v>
      </c>
      <c r="H332" s="214" t="s">
        <v>81</v>
      </c>
      <c r="I332" s="215" t="s">
        <v>51</v>
      </c>
      <c r="J332" s="216">
        <v>1.667</v>
      </c>
      <c r="K332" s="217" t="s">
        <v>343</v>
      </c>
      <c r="L332" s="218">
        <v>0.15</v>
      </c>
      <c r="M332" s="50"/>
    </row>
    <row r="333" spans="1:17" ht="15" customHeight="1" x14ac:dyDescent="0.25">
      <c r="A333" s="213">
        <v>8015</v>
      </c>
      <c r="B333" s="213"/>
      <c r="C333" s="214" t="s">
        <v>175</v>
      </c>
      <c r="D333" s="214" t="s">
        <v>365</v>
      </c>
      <c r="E333" s="214" t="s">
        <v>184</v>
      </c>
      <c r="F333" s="214" t="s">
        <v>291</v>
      </c>
      <c r="G333" s="213">
        <v>2267</v>
      </c>
      <c r="H333" s="214" t="s">
        <v>131</v>
      </c>
      <c r="I333" s="215" t="s">
        <v>51</v>
      </c>
      <c r="J333" s="216">
        <v>10</v>
      </c>
      <c r="K333" s="217" t="s">
        <v>130</v>
      </c>
      <c r="L333" s="218">
        <v>0.15</v>
      </c>
      <c r="M333" s="50"/>
    </row>
    <row r="334" spans="1:17" ht="15" customHeight="1" x14ac:dyDescent="0.25">
      <c r="A334" s="213">
        <v>8015</v>
      </c>
      <c r="B334" s="213"/>
      <c r="C334" s="214" t="s">
        <v>175</v>
      </c>
      <c r="D334" s="214" t="s">
        <v>365</v>
      </c>
      <c r="E334" s="214" t="s">
        <v>184</v>
      </c>
      <c r="F334" s="214" t="s">
        <v>285</v>
      </c>
      <c r="G334" s="213">
        <v>3635</v>
      </c>
      <c r="H334" s="214" t="s">
        <v>83</v>
      </c>
      <c r="I334" s="215" t="s">
        <v>51</v>
      </c>
      <c r="J334" s="216">
        <v>4.2000000000000003E-2</v>
      </c>
      <c r="K334" s="217" t="s">
        <v>335</v>
      </c>
      <c r="L334" s="218">
        <v>0.15</v>
      </c>
      <c r="M334" s="50"/>
    </row>
    <row r="335" spans="1:17" ht="15" customHeight="1" x14ac:dyDescent="0.25">
      <c r="A335" s="213">
        <v>8015</v>
      </c>
      <c r="B335" s="213"/>
      <c r="C335" s="214" t="s">
        <v>175</v>
      </c>
      <c r="D335" s="214" t="s">
        <v>365</v>
      </c>
      <c r="E335" s="214" t="s">
        <v>184</v>
      </c>
      <c r="F335" s="214" t="s">
        <v>138</v>
      </c>
      <c r="G335" s="213">
        <v>3043</v>
      </c>
      <c r="H335" s="214" t="s">
        <v>138</v>
      </c>
      <c r="I335" s="215" t="s">
        <v>139</v>
      </c>
      <c r="J335" s="216">
        <v>5.0000000000000001E-3</v>
      </c>
      <c r="K335" s="217" t="s">
        <v>137</v>
      </c>
      <c r="L335" s="218">
        <v>0.15</v>
      </c>
      <c r="M335" s="50"/>
    </row>
    <row r="336" spans="1:17" ht="15" customHeight="1" x14ac:dyDescent="0.25">
      <c r="A336" s="213">
        <v>8017</v>
      </c>
      <c r="B336" s="213">
        <v>817</v>
      </c>
      <c r="C336" s="214" t="s">
        <v>191</v>
      </c>
      <c r="D336" s="214" t="s">
        <v>366</v>
      </c>
      <c r="E336" s="214" t="s">
        <v>189</v>
      </c>
      <c r="F336" s="214" t="s">
        <v>288</v>
      </c>
      <c r="G336" s="213">
        <v>2680</v>
      </c>
      <c r="H336" s="214" t="s">
        <v>119</v>
      </c>
      <c r="I336" s="215" t="s">
        <v>15</v>
      </c>
      <c r="J336" s="216">
        <v>22</v>
      </c>
      <c r="K336" s="217" t="s">
        <v>118</v>
      </c>
      <c r="L336" s="218">
        <v>0.15</v>
      </c>
      <c r="M336" s="50"/>
      <c r="N336" s="48"/>
      <c r="O336" s="48"/>
      <c r="P336" s="48"/>
      <c r="Q336" s="49"/>
    </row>
    <row r="337" spans="1:17" ht="15" customHeight="1" x14ac:dyDescent="0.25">
      <c r="A337" s="213">
        <v>8017</v>
      </c>
      <c r="B337" s="213">
        <v>817</v>
      </c>
      <c r="C337" s="214" t="s">
        <v>191</v>
      </c>
      <c r="D337" s="214" t="s">
        <v>366</v>
      </c>
      <c r="E337" s="214" t="s">
        <v>189</v>
      </c>
      <c r="F337" s="214" t="s">
        <v>342</v>
      </c>
      <c r="G337" s="213">
        <v>5977</v>
      </c>
      <c r="H337" s="214" t="s">
        <v>81</v>
      </c>
      <c r="I337" s="215" t="s">
        <v>51</v>
      </c>
      <c r="J337" s="216">
        <v>1.087</v>
      </c>
      <c r="K337" s="217" t="s">
        <v>343</v>
      </c>
      <c r="L337" s="218">
        <v>0.15</v>
      </c>
      <c r="M337" s="50"/>
      <c r="N337" s="48"/>
      <c r="O337" s="48"/>
      <c r="P337" s="48"/>
      <c r="Q337" s="49"/>
    </row>
    <row r="338" spans="1:17" ht="15" hidden="1" customHeight="1" x14ac:dyDescent="0.25">
      <c r="A338" s="213">
        <v>8017</v>
      </c>
      <c r="B338" s="213">
        <v>817</v>
      </c>
      <c r="C338" s="214" t="s">
        <v>191</v>
      </c>
      <c r="D338" s="214" t="s">
        <v>366</v>
      </c>
      <c r="E338" s="214" t="s">
        <v>189</v>
      </c>
      <c r="F338" s="214" t="s">
        <v>291</v>
      </c>
      <c r="G338" s="213">
        <v>2267</v>
      </c>
      <c r="H338" s="214" t="s">
        <v>131</v>
      </c>
      <c r="I338" s="215" t="s">
        <v>51</v>
      </c>
      <c r="J338" s="216">
        <v>8.6959999999999997</v>
      </c>
      <c r="K338" s="217" t="s">
        <v>130</v>
      </c>
      <c r="L338" s="218">
        <v>0.15</v>
      </c>
      <c r="M338" s="50"/>
      <c r="N338" s="48"/>
      <c r="O338" s="48"/>
      <c r="P338" s="48"/>
      <c r="Q338" s="49"/>
    </row>
    <row r="339" spans="1:17" ht="15" customHeight="1" x14ac:dyDescent="0.25">
      <c r="A339" s="213">
        <v>8017</v>
      </c>
      <c r="B339" s="213">
        <v>817</v>
      </c>
      <c r="C339" s="214" t="s">
        <v>191</v>
      </c>
      <c r="D339" s="214" t="s">
        <v>366</v>
      </c>
      <c r="E339" s="214" t="s">
        <v>189</v>
      </c>
      <c r="F339" s="214" t="s">
        <v>285</v>
      </c>
      <c r="G339" s="213">
        <v>3635</v>
      </c>
      <c r="H339" s="214" t="s">
        <v>83</v>
      </c>
      <c r="I339" s="215" t="s">
        <v>51</v>
      </c>
      <c r="J339" s="216">
        <v>2.7E-2</v>
      </c>
      <c r="K339" s="217" t="s">
        <v>335</v>
      </c>
      <c r="L339" s="218">
        <v>0.15</v>
      </c>
      <c r="M339" s="50"/>
      <c r="N339" s="48"/>
      <c r="O339" s="48"/>
      <c r="P339" s="48"/>
      <c r="Q339" s="49"/>
    </row>
    <row r="340" spans="1:17" ht="15" customHeight="1" x14ac:dyDescent="0.25">
      <c r="A340" s="213">
        <v>8017</v>
      </c>
      <c r="B340" s="213">
        <v>817</v>
      </c>
      <c r="C340" s="214" t="s">
        <v>191</v>
      </c>
      <c r="D340" s="214" t="s">
        <v>366</v>
      </c>
      <c r="E340" s="214" t="s">
        <v>189</v>
      </c>
      <c r="F340" s="214" t="s">
        <v>138</v>
      </c>
      <c r="G340" s="213">
        <v>3043</v>
      </c>
      <c r="H340" s="214" t="s">
        <v>138</v>
      </c>
      <c r="I340" s="215" t="s">
        <v>139</v>
      </c>
      <c r="J340" s="216">
        <v>5.0000000000000001E-3</v>
      </c>
      <c r="K340" s="217" t="s">
        <v>137</v>
      </c>
      <c r="L340" s="218">
        <v>0.15</v>
      </c>
      <c r="M340" s="50"/>
      <c r="N340" s="48"/>
      <c r="O340" s="48"/>
      <c r="P340" s="48"/>
      <c r="Q340" s="49"/>
    </row>
    <row r="341" spans="1:17" ht="15" customHeight="1" x14ac:dyDescent="0.25">
      <c r="A341" s="44"/>
      <c r="B341" s="44"/>
      <c r="C341" s="44"/>
      <c r="D341" s="45"/>
      <c r="E341" s="44"/>
      <c r="F341" s="44"/>
      <c r="G341" s="44"/>
      <c r="H341" s="44"/>
      <c r="I341" s="46"/>
      <c r="J341" s="47"/>
      <c r="K341" s="48"/>
      <c r="L341" s="48"/>
      <c r="M341" s="50"/>
      <c r="N341" s="48"/>
      <c r="O341" s="48"/>
      <c r="P341" s="48"/>
      <c r="Q341" s="49"/>
    </row>
    <row r="342" spans="1:17" ht="15" customHeight="1" x14ac:dyDescent="0.25">
      <c r="A342" s="44"/>
      <c r="B342" s="44"/>
      <c r="C342" s="44"/>
      <c r="D342" s="45"/>
      <c r="E342" s="44"/>
      <c r="F342" s="44"/>
      <c r="G342" s="44"/>
      <c r="H342" s="44"/>
      <c r="I342" s="46"/>
      <c r="J342" s="47"/>
      <c r="K342" s="48"/>
      <c r="L342" s="48"/>
      <c r="M342" s="50"/>
      <c r="N342" s="48"/>
      <c r="O342" s="48"/>
      <c r="P342" s="48"/>
      <c r="Q342" s="49"/>
    </row>
    <row r="343" spans="1:17" ht="15" customHeight="1" x14ac:dyDescent="0.25">
      <c r="A343" s="44"/>
      <c r="B343" s="44"/>
      <c r="C343" s="44"/>
      <c r="D343" s="45"/>
      <c r="E343" s="44"/>
      <c r="F343" s="44"/>
      <c r="G343" s="44"/>
      <c r="H343" s="44"/>
      <c r="I343" s="46"/>
      <c r="J343" s="47"/>
      <c r="K343" s="48"/>
      <c r="L343" s="48"/>
      <c r="M343" s="50"/>
      <c r="N343" s="48"/>
      <c r="O343" s="48"/>
      <c r="P343" s="48"/>
      <c r="Q343" s="49"/>
    </row>
    <row r="344" spans="1:17" ht="15" customHeight="1" x14ac:dyDescent="0.25">
      <c r="A344" s="44"/>
      <c r="B344" s="44"/>
      <c r="C344" s="44"/>
      <c r="D344" s="45"/>
      <c r="E344" s="44"/>
      <c r="F344" s="44"/>
      <c r="G344" s="44"/>
      <c r="H344" s="44"/>
      <c r="I344" s="46"/>
      <c r="J344" s="47"/>
      <c r="K344" s="48"/>
      <c r="L344" s="48"/>
      <c r="M344" s="50"/>
      <c r="N344" s="48"/>
      <c r="O344" s="48"/>
      <c r="P344" s="48"/>
      <c r="Q344" s="49"/>
    </row>
    <row r="345" spans="1:17" ht="15" customHeight="1" x14ac:dyDescent="0.25">
      <c r="A345" s="44"/>
      <c r="B345" s="44"/>
      <c r="C345" s="44"/>
      <c r="D345" s="45"/>
      <c r="E345" s="44"/>
      <c r="F345" s="44"/>
      <c r="G345" s="44"/>
      <c r="H345" s="44"/>
      <c r="I345" s="46"/>
      <c r="J345" s="47"/>
      <c r="K345" s="48"/>
      <c r="L345" s="48"/>
      <c r="M345" s="50"/>
      <c r="N345" s="48"/>
      <c r="O345" s="48"/>
      <c r="P345" s="48"/>
      <c r="Q345" s="49"/>
    </row>
    <row r="346" spans="1:17" ht="15" customHeight="1" x14ac:dyDescent="0.25">
      <c r="A346" s="44"/>
      <c r="B346" s="44"/>
      <c r="C346" s="44"/>
      <c r="D346" s="45"/>
      <c r="E346" s="44"/>
      <c r="F346" s="44"/>
      <c r="G346" s="44"/>
      <c r="H346" s="44"/>
      <c r="I346" s="46"/>
      <c r="J346" s="47"/>
      <c r="K346" s="48"/>
      <c r="L346" s="48"/>
      <c r="M346" s="50"/>
      <c r="N346" s="48"/>
      <c r="O346" s="48"/>
      <c r="P346" s="48"/>
      <c r="Q346" s="49"/>
    </row>
    <row r="347" spans="1:17" ht="15" customHeight="1" x14ac:dyDescent="0.25">
      <c r="A347" s="44"/>
      <c r="B347" s="44"/>
      <c r="C347" s="44"/>
      <c r="D347" s="45"/>
      <c r="E347" s="44"/>
      <c r="F347" s="44"/>
      <c r="G347" s="44"/>
      <c r="H347" s="44"/>
      <c r="I347" s="46"/>
      <c r="J347" s="47"/>
      <c r="K347" s="48"/>
      <c r="L347" s="48"/>
      <c r="M347" s="50"/>
      <c r="N347" s="48"/>
      <c r="O347" s="48"/>
      <c r="P347" s="48"/>
      <c r="Q347" s="49"/>
    </row>
    <row r="348" spans="1:17" ht="15" customHeight="1" x14ac:dyDescent="0.25">
      <c r="A348" s="44"/>
      <c r="B348" s="44"/>
      <c r="C348" s="44"/>
      <c r="D348" s="45"/>
      <c r="E348" s="44"/>
      <c r="F348" s="44"/>
      <c r="G348" s="44"/>
      <c r="H348" s="44"/>
      <c r="I348" s="46"/>
      <c r="J348" s="47"/>
      <c r="K348" s="48"/>
      <c r="L348" s="48"/>
      <c r="M348" s="50"/>
      <c r="N348" s="48"/>
      <c r="O348" s="48"/>
      <c r="P348" s="48"/>
      <c r="Q348" s="49"/>
    </row>
    <row r="349" spans="1:17" ht="15" customHeight="1" x14ac:dyDescent="0.25">
      <c r="A349" s="166"/>
      <c r="B349" s="166"/>
      <c r="C349" s="166"/>
      <c r="D349" s="167"/>
      <c r="E349" s="166"/>
      <c r="F349" s="166"/>
      <c r="G349" s="166"/>
      <c r="H349" s="166"/>
      <c r="I349" s="168"/>
      <c r="J349" s="169"/>
      <c r="K349" s="170"/>
      <c r="L349" s="170"/>
      <c r="M349" s="174"/>
    </row>
    <row r="350" spans="1:17" ht="15" customHeight="1" x14ac:dyDescent="0.25">
      <c r="A350" s="166"/>
      <c r="B350" s="166"/>
      <c r="C350" s="166"/>
      <c r="D350" s="167"/>
      <c r="E350" s="166"/>
      <c r="F350" s="166"/>
      <c r="G350" s="166"/>
      <c r="H350" s="166"/>
      <c r="I350" s="168"/>
      <c r="J350" s="169"/>
      <c r="K350" s="170"/>
      <c r="L350" s="170"/>
      <c r="M350" s="174"/>
    </row>
    <row r="351" spans="1:17" ht="15" customHeight="1" x14ac:dyDescent="0.25">
      <c r="A351" s="166"/>
      <c r="B351" s="166"/>
      <c r="C351" s="166"/>
      <c r="D351" s="167"/>
      <c r="E351" s="166"/>
      <c r="F351" s="166"/>
      <c r="G351" s="166"/>
      <c r="H351" s="166"/>
      <c r="I351" s="168"/>
      <c r="J351" s="169"/>
      <c r="K351" s="170"/>
      <c r="L351" s="170"/>
      <c r="M351" s="174"/>
    </row>
    <row r="352" spans="1:17" ht="15" customHeight="1" x14ac:dyDescent="0.25">
      <c r="A352" s="166"/>
      <c r="B352" s="166"/>
      <c r="C352" s="166"/>
      <c r="D352" s="167"/>
      <c r="E352" s="166"/>
      <c r="F352" s="166"/>
      <c r="G352" s="166"/>
      <c r="H352" s="166"/>
      <c r="I352" s="168"/>
      <c r="J352" s="169"/>
      <c r="K352" s="170"/>
      <c r="L352" s="170"/>
      <c r="M352" s="174"/>
    </row>
    <row r="353" spans="1:13" ht="15" customHeight="1" x14ac:dyDescent="0.25">
      <c r="A353" s="166"/>
      <c r="B353" s="166"/>
      <c r="C353" s="166"/>
      <c r="D353" s="167"/>
      <c r="E353" s="166"/>
      <c r="F353" s="166"/>
      <c r="G353" s="166"/>
      <c r="H353" s="166"/>
      <c r="I353" s="168"/>
      <c r="J353" s="169"/>
      <c r="K353" s="170"/>
      <c r="L353" s="170"/>
      <c r="M353" s="174"/>
    </row>
    <row r="354" spans="1:13" ht="15" customHeight="1" x14ac:dyDescent="0.25"/>
    <row r="355" spans="1:13" ht="15" customHeight="1" x14ac:dyDescent="0.25"/>
    <row r="356" spans="1:13" ht="15" customHeight="1" x14ac:dyDescent="0.25"/>
  </sheetData>
  <mergeCells count="1">
    <mergeCell ref="A1:L1"/>
  </mergeCells>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11"/>
  <sheetViews>
    <sheetView tabSelected="1" zoomScale="130" zoomScaleNormal="130" workbookViewId="0">
      <selection activeCell="J1" sqref="J1"/>
    </sheetView>
  </sheetViews>
  <sheetFormatPr defaultColWidth="8.7109375" defaultRowHeight="15" x14ac:dyDescent="0.25"/>
  <cols>
    <col min="1" max="1" width="10" customWidth="1"/>
    <col min="2" max="2" width="14" customWidth="1"/>
    <col min="3" max="3" width="39.7109375" customWidth="1"/>
    <col min="4" max="4" width="6" customWidth="1"/>
    <col min="5" max="5" width="8.5703125" style="51" customWidth="1"/>
    <col min="6" max="6" width="8.85546875" style="51" customWidth="1"/>
    <col min="7" max="7" width="11.140625" style="51" customWidth="1"/>
    <col min="8" max="8" width="8.85546875" style="52" customWidth="1"/>
    <col min="9" max="9" width="7.7109375" style="51" hidden="1" customWidth="1"/>
    <col min="10" max="10" width="16.140625" style="143" customWidth="1"/>
    <col min="11" max="11" width="18" style="148" customWidth="1"/>
  </cols>
  <sheetData>
    <row r="1" spans="1:11" ht="19.5" customHeight="1" x14ac:dyDescent="0.35">
      <c r="A1" s="322" t="s">
        <v>0</v>
      </c>
      <c r="B1" s="323"/>
      <c r="C1" s="323"/>
      <c r="D1" s="323"/>
      <c r="E1" s="323"/>
      <c r="F1" s="323"/>
      <c r="G1" s="323"/>
      <c r="H1" s="323"/>
      <c r="I1" s="53" t="s">
        <v>1</v>
      </c>
      <c r="J1" s="54">
        <f ca="1">TODAY()</f>
        <v>46258</v>
      </c>
    </row>
    <row r="2" spans="1:11" s="55" customFormat="1" ht="37.5" customHeight="1" x14ac:dyDescent="0.25">
      <c r="A2" s="12" t="s">
        <v>2</v>
      </c>
      <c r="B2" s="12" t="s">
        <v>3</v>
      </c>
      <c r="C2" s="12" t="s">
        <v>4</v>
      </c>
      <c r="D2" s="12" t="s">
        <v>5</v>
      </c>
      <c r="E2" s="15" t="s">
        <v>6</v>
      </c>
      <c r="F2" s="15" t="s">
        <v>7</v>
      </c>
      <c r="G2" s="15" t="s">
        <v>8</v>
      </c>
      <c r="H2" s="15" t="s">
        <v>9</v>
      </c>
      <c r="I2" s="15" t="s">
        <v>10</v>
      </c>
      <c r="J2" s="141" t="s">
        <v>11</v>
      </c>
      <c r="K2" s="256" t="s">
        <v>12</v>
      </c>
    </row>
    <row r="3" spans="1:11" ht="15" customHeight="1" x14ac:dyDescent="0.25">
      <c r="A3" s="25">
        <v>31</v>
      </c>
      <c r="B3" s="25" t="s">
        <v>13</v>
      </c>
      <c r="C3" s="26" t="s">
        <v>14</v>
      </c>
      <c r="D3" s="25" t="s">
        <v>15</v>
      </c>
      <c r="E3" s="27">
        <v>71.5</v>
      </c>
      <c r="F3" s="27">
        <v>0</v>
      </c>
      <c r="G3" s="27">
        <v>0</v>
      </c>
      <c r="H3" s="28">
        <f t="shared" ref="H3:H10" si="0">E3+F3-G3</f>
        <v>71.5</v>
      </c>
      <c r="I3" s="27"/>
      <c r="J3" s="142" t="str">
        <f>IFERROR(IF(AVERAGEIF(TableBOM[Item ID],A3,TableBOM[Per 1000 Units])=0,"-",ROUND((H3+I3)/(AVERAGEIF(TableBOM[Item ID],A3,TableBOM[Per 1000 Units])/1000),0)),"-")</f>
        <v>-</v>
      </c>
    </row>
    <row r="4" spans="1:11" ht="15" customHeight="1" x14ac:dyDescent="0.25">
      <c r="A4" s="25">
        <v>2799</v>
      </c>
      <c r="B4" s="25" t="s">
        <v>13</v>
      </c>
      <c r="C4" s="26" t="s">
        <v>16</v>
      </c>
      <c r="D4" s="25" t="s">
        <v>15</v>
      </c>
      <c r="E4" s="27">
        <v>88</v>
      </c>
      <c r="F4" s="27">
        <v>0</v>
      </c>
      <c r="G4" s="27">
        <v>0</v>
      </c>
      <c r="H4" s="28">
        <f t="shared" si="0"/>
        <v>88</v>
      </c>
      <c r="I4" s="27"/>
      <c r="J4" s="142">
        <f>IFERROR(IF(AVERAGEIF(TableBOM[Item ID],A4,TableBOM[Per 1000 Units])=0,"-",ROUND((H4+I4)/(AVERAGEIF(TableBOM[Item ID],A4,TableBOM[Per 1000 Units])/1000),0)),"-")</f>
        <v>34936</v>
      </c>
    </row>
    <row r="5" spans="1:11" s="56" customFormat="1" ht="15" customHeight="1" x14ac:dyDescent="0.25">
      <c r="A5" s="25">
        <v>19</v>
      </c>
      <c r="B5" s="25" t="s">
        <v>13</v>
      </c>
      <c r="C5" s="26" t="s">
        <v>17</v>
      </c>
      <c r="D5" s="25" t="s">
        <v>15</v>
      </c>
      <c r="E5" s="27">
        <v>425</v>
      </c>
      <c r="F5" s="27">
        <v>0</v>
      </c>
      <c r="G5" s="27">
        <v>0</v>
      </c>
      <c r="H5" s="28">
        <f t="shared" si="0"/>
        <v>425</v>
      </c>
      <c r="I5" s="27"/>
      <c r="J5" s="142">
        <f>IFERROR(IF(AVERAGEIF(TableBOM[Item ID],A5,TableBOM[Per 1000 Units])=0,"-",ROUND((H5+I5)/(AVERAGEIF(TableBOM[Item ID],A5,TableBOM[Per 1000 Units])/1000),0)),"-")</f>
        <v>126225</v>
      </c>
      <c r="K5" s="149"/>
    </row>
    <row r="6" spans="1:11" ht="15" customHeight="1" x14ac:dyDescent="0.25">
      <c r="A6" s="25">
        <v>4179</v>
      </c>
      <c r="B6" s="25" t="s">
        <v>13</v>
      </c>
      <c r="C6" s="26" t="s">
        <v>18</v>
      </c>
      <c r="D6" s="25" t="s">
        <v>15</v>
      </c>
      <c r="E6" s="27">
        <v>132</v>
      </c>
      <c r="F6" s="27">
        <v>0</v>
      </c>
      <c r="G6" s="27">
        <v>0</v>
      </c>
      <c r="H6" s="28">
        <f t="shared" si="0"/>
        <v>132</v>
      </c>
      <c r="I6" s="27"/>
      <c r="J6" s="142">
        <f>IFERROR(IF(AVERAGEIF(TableBOM[Item ID],A6,TableBOM[Per 1000 Units])=0,"-",ROUND((H6+I6)/(AVERAGEIF(TableBOM[Item ID],A6,TableBOM[Per 1000 Units])/1000),0)),"-")</f>
        <v>33528</v>
      </c>
    </row>
    <row r="7" spans="1:11" ht="15" customHeight="1" x14ac:dyDescent="0.25">
      <c r="A7" s="25">
        <v>6</v>
      </c>
      <c r="B7" s="25" t="s">
        <v>13</v>
      </c>
      <c r="C7" s="26" t="s">
        <v>19</v>
      </c>
      <c r="D7" s="25" t="s">
        <v>15</v>
      </c>
      <c r="E7" s="27">
        <v>398</v>
      </c>
      <c r="F7" s="27">
        <v>0</v>
      </c>
      <c r="G7" s="27">
        <v>373</v>
      </c>
      <c r="H7" s="28">
        <f t="shared" si="0"/>
        <v>25</v>
      </c>
      <c r="I7" s="27"/>
      <c r="J7" s="142">
        <f>IFERROR(IF(AVERAGEIF(TableBOM[Item ID],A7,TableBOM[Per 1000 Units])=0,"-",ROUND((H7+I7)/(AVERAGEIF(TableBOM[Item ID],A7,TableBOM[Per 1000 Units])/1000),0)),"-")</f>
        <v>4221</v>
      </c>
    </row>
    <row r="8" spans="1:11" ht="15" customHeight="1" x14ac:dyDescent="0.25">
      <c r="A8" s="25">
        <v>406</v>
      </c>
      <c r="B8" s="25" t="s">
        <v>13</v>
      </c>
      <c r="C8" s="26" t="s">
        <v>20</v>
      </c>
      <c r="D8" s="25" t="s">
        <v>15</v>
      </c>
      <c r="E8" s="27">
        <v>111</v>
      </c>
      <c r="F8" s="27">
        <v>1777</v>
      </c>
      <c r="G8" s="27">
        <v>1813</v>
      </c>
      <c r="H8" s="28">
        <f t="shared" si="0"/>
        <v>75</v>
      </c>
      <c r="I8" s="27">
        <v>30</v>
      </c>
      <c r="J8" s="142">
        <f>IFERROR(IF(AVERAGEIF(TableBOM[Item ID],A8,TableBOM[Per 1000 Units])=0,"-",ROUND((H8+I8)/(AVERAGEIF(TableBOM[Item ID],A8,TableBOM[Per 1000 Units])/1000),0)),"-")</f>
        <v>13125</v>
      </c>
    </row>
    <row r="9" spans="1:11" ht="15" customHeight="1" x14ac:dyDescent="0.25">
      <c r="A9" s="25">
        <v>3935</v>
      </c>
      <c r="B9" s="25" t="s">
        <v>13</v>
      </c>
      <c r="C9" s="26" t="s">
        <v>21</v>
      </c>
      <c r="D9" s="25" t="s">
        <v>15</v>
      </c>
      <c r="E9" s="27">
        <v>444</v>
      </c>
      <c r="F9" s="27">
        <v>0</v>
      </c>
      <c r="G9" s="27">
        <v>19</v>
      </c>
      <c r="H9" s="28">
        <f t="shared" si="0"/>
        <v>425</v>
      </c>
      <c r="I9" s="27"/>
      <c r="J9" s="142">
        <f>IFERROR(IF(AVERAGEIF(TableBOM[Item ID],A9,TableBOM[Per 1000 Units])=0,"-",ROUND((H9+I9)/(AVERAGEIF(TableBOM[Item ID],A9,TableBOM[Per 1000 Units])/1000),0)),"-")</f>
        <v>39123</v>
      </c>
    </row>
    <row r="10" spans="1:11" ht="15" customHeight="1" x14ac:dyDescent="0.25">
      <c r="A10" s="25">
        <v>3503</v>
      </c>
      <c r="B10" s="25" t="s">
        <v>13</v>
      </c>
      <c r="C10" s="26" t="s">
        <v>22</v>
      </c>
      <c r="D10" s="25" t="s">
        <v>15</v>
      </c>
      <c r="E10" s="27">
        <v>328</v>
      </c>
      <c r="F10" s="27">
        <v>0</v>
      </c>
      <c r="G10" s="27">
        <v>0</v>
      </c>
      <c r="H10" s="28">
        <f t="shared" si="0"/>
        <v>328</v>
      </c>
      <c r="I10" s="27"/>
      <c r="J10" s="142">
        <f>IFERROR(IF(AVERAGEIF(TableBOM[Item ID],A10,TableBOM[Per 1000 Units])=0,"-",ROUND((H10+I10)/(AVERAGEIF(TableBOM[Item ID],A10,TableBOM[Per 1000 Units])/1000),0)),"-")</f>
        <v>25585</v>
      </c>
    </row>
    <row r="11" spans="1:11" ht="15" customHeight="1" x14ac:dyDescent="0.25"/>
    <row r="12" spans="1:11" ht="18.75" customHeight="1" x14ac:dyDescent="0.35">
      <c r="A12" s="57" t="s">
        <v>23</v>
      </c>
      <c r="B12" s="58"/>
      <c r="C12" s="58"/>
      <c r="D12" s="58"/>
      <c r="E12" s="58"/>
      <c r="F12" s="58"/>
      <c r="G12" s="58"/>
      <c r="H12" s="53" t="s">
        <v>1</v>
      </c>
      <c r="I12" s="58"/>
      <c r="J12" s="54">
        <f ca="1">TODAY()</f>
        <v>46258</v>
      </c>
    </row>
    <row r="13" spans="1:11" ht="36" customHeight="1" x14ac:dyDescent="0.25">
      <c r="A13" s="12" t="s">
        <v>2</v>
      </c>
      <c r="B13" s="12" t="s">
        <v>3</v>
      </c>
      <c r="C13" s="12" t="s">
        <v>4</v>
      </c>
      <c r="D13" s="12" t="s">
        <v>5</v>
      </c>
      <c r="E13" s="12" t="s">
        <v>6</v>
      </c>
      <c r="F13" s="12" t="s">
        <v>7</v>
      </c>
      <c r="G13" s="12" t="s">
        <v>8</v>
      </c>
      <c r="H13" s="12" t="s">
        <v>9</v>
      </c>
      <c r="I13" s="12" t="s">
        <v>10</v>
      </c>
      <c r="J13" s="144" t="s">
        <v>24</v>
      </c>
    </row>
    <row r="14" spans="1:11" ht="15" hidden="1" customHeight="1" x14ac:dyDescent="0.25">
      <c r="A14" s="257">
        <v>184</v>
      </c>
      <c r="B14" s="257" t="s">
        <v>25</v>
      </c>
      <c r="C14" s="258" t="s">
        <v>26</v>
      </c>
      <c r="D14" s="257" t="s">
        <v>15</v>
      </c>
      <c r="E14" s="259">
        <v>0</v>
      </c>
      <c r="F14" s="259">
        <v>0</v>
      </c>
      <c r="G14" s="259">
        <v>0</v>
      </c>
      <c r="H14" s="260">
        <f t="shared" ref="H14:H45" si="1">E14+F14-G14</f>
        <v>0</v>
      </c>
      <c r="I14" s="259"/>
      <c r="J14" s="261" t="str">
        <f>IFERROR(IF(AVERAGEIF(TableBOM[Item ID],A14,TableBOM[Per 1000 Units])=0,"-",ROUND((H14+I14)/(AVERAGEIF(TableBOM[Item ID],A14,TableBOM[Per 1000 Units])/1000),0)),"-")</f>
        <v>-</v>
      </c>
      <c r="K14" s="262" t="s">
        <v>27</v>
      </c>
    </row>
    <row r="15" spans="1:11" ht="15" customHeight="1" x14ac:dyDescent="0.25">
      <c r="A15" s="127">
        <v>185</v>
      </c>
      <c r="B15" s="127" t="s">
        <v>25</v>
      </c>
      <c r="C15" s="128" t="s">
        <v>28</v>
      </c>
      <c r="D15" s="127" t="s">
        <v>29</v>
      </c>
      <c r="E15" s="129">
        <v>100</v>
      </c>
      <c r="F15" s="129">
        <v>0</v>
      </c>
      <c r="G15" s="129">
        <v>50</v>
      </c>
      <c r="H15" s="130">
        <f t="shared" si="1"/>
        <v>50</v>
      </c>
      <c r="I15" s="129"/>
      <c r="J15" s="146" t="str">
        <f>IFERROR(IF(AVERAGEIF(TableBOM[Item ID],A15,TableBOM[Per 1000 Units])=0,"-",ROUND((H15+I15)/(AVERAGEIF(TableBOM[Item ID],A15,TableBOM[Per 1000 Units])/1000),0)),"-")</f>
        <v>-</v>
      </c>
    </row>
    <row r="16" spans="1:11" ht="15" customHeight="1" x14ac:dyDescent="0.25">
      <c r="A16" s="127">
        <v>188</v>
      </c>
      <c r="B16" s="127" t="s">
        <v>25</v>
      </c>
      <c r="C16" s="128" t="s">
        <v>30</v>
      </c>
      <c r="D16" s="127" t="s">
        <v>15</v>
      </c>
      <c r="E16" s="129">
        <v>91</v>
      </c>
      <c r="F16" s="129">
        <v>0</v>
      </c>
      <c r="G16" s="129">
        <v>0</v>
      </c>
      <c r="H16" s="130">
        <f t="shared" si="1"/>
        <v>91</v>
      </c>
      <c r="I16" s="129">
        <v>0</v>
      </c>
      <c r="J16" s="146" t="str">
        <f>IFERROR(IF(AVERAGEIF(TableBOM[Item ID],A16,TableBOM[Per 1000 Units])=0,"-",ROUND((H16+I16)/(AVERAGEIF(TableBOM[Item ID],A16,TableBOM[Per 1000 Units])/1000),0)),"-")</f>
        <v>-</v>
      </c>
    </row>
    <row r="17" spans="1:16" ht="15" hidden="1" customHeight="1" x14ac:dyDescent="0.25">
      <c r="A17" s="257">
        <v>1065</v>
      </c>
      <c r="B17" s="257" t="s">
        <v>25</v>
      </c>
      <c r="C17" s="258" t="s">
        <v>31</v>
      </c>
      <c r="D17" s="257" t="s">
        <v>15</v>
      </c>
      <c r="E17" s="259">
        <v>0</v>
      </c>
      <c r="F17" s="259">
        <v>0</v>
      </c>
      <c r="G17" s="259">
        <v>0</v>
      </c>
      <c r="H17" s="260">
        <f t="shared" si="1"/>
        <v>0</v>
      </c>
      <c r="I17" s="259"/>
      <c r="J17" s="261" t="str">
        <f>IFERROR(IF(AVERAGEIF(TableBOM[Item ID],A17,TableBOM[Per 1000 Units])=0,"-",ROUND((H17+I17)/(AVERAGEIF(TableBOM[Item ID],A17,TableBOM[Per 1000 Units])/1000),0)),"-")</f>
        <v>-</v>
      </c>
      <c r="K17" s="262" t="s">
        <v>27</v>
      </c>
    </row>
    <row r="18" spans="1:16" ht="15" customHeight="1" x14ac:dyDescent="0.25">
      <c r="A18" s="127">
        <v>4155</v>
      </c>
      <c r="B18" s="127" t="s">
        <v>25</v>
      </c>
      <c r="C18" s="128" t="s">
        <v>32</v>
      </c>
      <c r="D18" s="127" t="s">
        <v>15</v>
      </c>
      <c r="E18" s="129">
        <v>100</v>
      </c>
      <c r="F18" s="129">
        <v>100</v>
      </c>
      <c r="G18" s="129">
        <v>100</v>
      </c>
      <c r="H18" s="130">
        <f t="shared" si="1"/>
        <v>100</v>
      </c>
      <c r="I18" s="129"/>
      <c r="J18" s="146">
        <f>IFERROR(IF(AVERAGEIF(TableBOM[Item ID],A18,TableBOM[Per 1000 Units])=0,"-",ROUND((H18+I18)/(AVERAGEIF(TableBOM[Item ID],A18,TableBOM[Per 1000 Units])/1000),0)),"-")</f>
        <v>384304</v>
      </c>
    </row>
    <row r="19" spans="1:16" ht="15" hidden="1" customHeight="1" x14ac:dyDescent="0.25">
      <c r="A19" s="257">
        <v>170</v>
      </c>
      <c r="B19" s="257" t="s">
        <v>33</v>
      </c>
      <c r="C19" s="258" t="s">
        <v>34</v>
      </c>
      <c r="D19" s="257" t="s">
        <v>15</v>
      </c>
      <c r="E19" s="259">
        <v>0</v>
      </c>
      <c r="F19" s="259">
        <v>0</v>
      </c>
      <c r="G19" s="259">
        <v>0</v>
      </c>
      <c r="H19" s="260">
        <f t="shared" si="1"/>
        <v>0</v>
      </c>
      <c r="I19" s="259"/>
      <c r="J19" s="261" t="str">
        <f>IFERROR(IF(AVERAGEIF(TableBOM[Item ID],A19,TableBOM[Per 1000 Units])=0,"-",ROUND((H19+I19)/(AVERAGEIF(TableBOM[Item ID],A19,TableBOM[Per 1000 Units])/1000),0)),"-")</f>
        <v>-</v>
      </c>
      <c r="K19" s="262" t="s">
        <v>27</v>
      </c>
    </row>
    <row r="20" spans="1:16" ht="15" customHeight="1" x14ac:dyDescent="0.25">
      <c r="A20" s="127">
        <v>175</v>
      </c>
      <c r="B20" s="127" t="s">
        <v>33</v>
      </c>
      <c r="C20" s="128" t="s">
        <v>35</v>
      </c>
      <c r="D20" s="127" t="s">
        <v>15</v>
      </c>
      <c r="E20" s="129">
        <v>30</v>
      </c>
      <c r="F20" s="129">
        <v>0</v>
      </c>
      <c r="G20" s="129">
        <v>0</v>
      </c>
      <c r="H20" s="130">
        <f t="shared" si="1"/>
        <v>30</v>
      </c>
      <c r="I20" s="129">
        <v>0</v>
      </c>
      <c r="J20" s="146" t="str">
        <f>IFERROR(IF(AVERAGEIF(TableBOM[Item ID],A20,TableBOM[Per 1000 Units])=0,"-",ROUND((H20+I20)/(AVERAGEIF(TableBOM[Item ID],A20,TableBOM[Per 1000 Units])/1000),0)),"-")</f>
        <v>-</v>
      </c>
    </row>
    <row r="21" spans="1:16" ht="15" customHeight="1" x14ac:dyDescent="0.25">
      <c r="A21" s="127">
        <v>192</v>
      </c>
      <c r="B21" s="127" t="s">
        <v>33</v>
      </c>
      <c r="C21" s="128" t="s">
        <v>36</v>
      </c>
      <c r="D21" s="127" t="s">
        <v>15</v>
      </c>
      <c r="E21" s="129">
        <v>50</v>
      </c>
      <c r="F21" s="129">
        <v>0</v>
      </c>
      <c r="G21" s="129">
        <v>0</v>
      </c>
      <c r="H21" s="130">
        <f t="shared" si="1"/>
        <v>50</v>
      </c>
      <c r="I21" s="129">
        <v>0</v>
      </c>
      <c r="J21" s="146" t="str">
        <f>IFERROR(IF(AVERAGEIF(TableBOM[Item ID],A21,TableBOM[Per 1000 Units])=0,"-",ROUND((H21+I21)/(AVERAGEIF(TableBOM[Item ID],A21,TableBOM[Per 1000 Units])/1000),0)),"-")</f>
        <v>-</v>
      </c>
    </row>
    <row r="22" spans="1:16" ht="15" customHeight="1" x14ac:dyDescent="0.25">
      <c r="A22" s="127">
        <v>3595</v>
      </c>
      <c r="B22" s="127" t="s">
        <v>33</v>
      </c>
      <c r="C22" s="128" t="s">
        <v>37</v>
      </c>
      <c r="D22" s="127" t="s">
        <v>15</v>
      </c>
      <c r="E22" s="129">
        <v>150</v>
      </c>
      <c r="F22" s="129">
        <v>210</v>
      </c>
      <c r="G22" s="129">
        <v>210</v>
      </c>
      <c r="H22" s="130">
        <f t="shared" si="1"/>
        <v>150</v>
      </c>
      <c r="I22" s="129"/>
      <c r="J22" s="146">
        <f>IFERROR(IF(AVERAGEIF(TableBOM[Item ID],A22,TableBOM[Per 1000 Units])=0,"-",ROUND((H22+I22)/(AVERAGEIF(TableBOM[Item ID],A22,TableBOM[Per 1000 Units])/1000),0)),"-")</f>
        <v>276441</v>
      </c>
    </row>
    <row r="23" spans="1:16" ht="15" customHeight="1" x14ac:dyDescent="0.25">
      <c r="A23" s="127">
        <v>3869</v>
      </c>
      <c r="B23" s="127" t="s">
        <v>33</v>
      </c>
      <c r="C23" s="128" t="s">
        <v>38</v>
      </c>
      <c r="D23" s="127" t="s">
        <v>15</v>
      </c>
      <c r="E23" s="129">
        <v>60</v>
      </c>
      <c r="F23" s="129">
        <v>0</v>
      </c>
      <c r="G23" s="129">
        <v>0</v>
      </c>
      <c r="H23" s="130">
        <f t="shared" si="1"/>
        <v>60</v>
      </c>
      <c r="I23" s="129">
        <v>0</v>
      </c>
      <c r="J23" s="146" t="str">
        <f>IFERROR(IF(AVERAGEIF(TableBOM[Item ID],A23,TableBOM[Per 1000 Units])=0,"-",ROUND((H23+I23)/(AVERAGEIF(TableBOM[Item ID],A23,TableBOM[Per 1000 Units])/1000),0)),"-")</f>
        <v>-</v>
      </c>
    </row>
    <row r="24" spans="1:16" ht="15" hidden="1" customHeight="1" x14ac:dyDescent="0.25">
      <c r="A24" s="257">
        <v>4156</v>
      </c>
      <c r="B24" s="257" t="s">
        <v>33</v>
      </c>
      <c r="C24" s="258" t="s">
        <v>39</v>
      </c>
      <c r="D24" s="257" t="s">
        <v>15</v>
      </c>
      <c r="E24" s="259">
        <v>0</v>
      </c>
      <c r="F24" s="259">
        <v>0</v>
      </c>
      <c r="G24" s="259">
        <v>0</v>
      </c>
      <c r="H24" s="260">
        <f t="shared" si="1"/>
        <v>0</v>
      </c>
      <c r="I24" s="259"/>
      <c r="J24" s="261">
        <f>IFERROR(IF(AVERAGEIF(TableBOM[Item ID],A24,TableBOM[Per 1000 Units])=0,"-",ROUND((H24+I24)/(AVERAGEIF(TableBOM[Item ID],A24,TableBOM[Per 1000 Units])/1000),0)),"-")</f>
        <v>0</v>
      </c>
      <c r="K24" s="262" t="s">
        <v>27</v>
      </c>
    </row>
    <row r="25" spans="1:16" ht="15" customHeight="1" x14ac:dyDescent="0.25">
      <c r="A25" s="127">
        <v>4157</v>
      </c>
      <c r="B25" s="127" t="s">
        <v>33</v>
      </c>
      <c r="C25" s="128" t="s">
        <v>40</v>
      </c>
      <c r="D25" s="127" t="s">
        <v>15</v>
      </c>
      <c r="E25" s="129">
        <v>240</v>
      </c>
      <c r="F25" s="129">
        <v>0</v>
      </c>
      <c r="G25" s="129">
        <v>0</v>
      </c>
      <c r="H25" s="130">
        <f t="shared" si="1"/>
        <v>240</v>
      </c>
      <c r="I25" s="129">
        <v>0</v>
      </c>
      <c r="J25" s="146" t="str">
        <f>IFERROR(IF(AVERAGEIF(TableBOM[Item ID],A25,TableBOM[Per 1000 Units])=0,"-",ROUND((H25+I25)/(AVERAGEIF(TableBOM[Item ID],A25,TableBOM[Per 1000 Units])/1000),0)),"-")</f>
        <v>-</v>
      </c>
    </row>
    <row r="26" spans="1:16" ht="15" customHeight="1" x14ac:dyDescent="0.25">
      <c r="A26" s="127">
        <v>5895</v>
      </c>
      <c r="B26" s="127" t="s">
        <v>33</v>
      </c>
      <c r="C26" s="128" t="s">
        <v>41</v>
      </c>
      <c r="D26" s="127" t="s">
        <v>15</v>
      </c>
      <c r="E26" s="129">
        <v>50</v>
      </c>
      <c r="F26" s="129">
        <v>0</v>
      </c>
      <c r="G26" s="129">
        <v>0</v>
      </c>
      <c r="H26" s="130">
        <f t="shared" si="1"/>
        <v>50</v>
      </c>
      <c r="I26" s="129">
        <v>0</v>
      </c>
      <c r="J26" s="146" t="str">
        <f>IFERROR(IF(AVERAGEIF(TableBOM[Item ID],A26,TableBOM[Per 1000 Units])=0,"-",ROUND((H26+I26)/(AVERAGEIF(TableBOM[Item ID],A26,TableBOM[Per 1000 Units])/1000),0)),"-")</f>
        <v>-</v>
      </c>
    </row>
    <row r="27" spans="1:16" ht="15" customHeight="1" x14ac:dyDescent="0.25">
      <c r="A27" s="127">
        <v>5974</v>
      </c>
      <c r="B27" s="127" t="s">
        <v>33</v>
      </c>
      <c r="C27" s="128" t="s">
        <v>42</v>
      </c>
      <c r="D27" s="127" t="s">
        <v>29</v>
      </c>
      <c r="E27" s="129">
        <v>50</v>
      </c>
      <c r="F27" s="129">
        <v>0</v>
      </c>
      <c r="G27" s="129">
        <v>0</v>
      </c>
      <c r="H27" s="130">
        <f t="shared" si="1"/>
        <v>50</v>
      </c>
      <c r="I27" s="129">
        <v>0</v>
      </c>
      <c r="J27" s="146" t="str">
        <f>IFERROR(IF(AVERAGEIF(TableBOM[Item ID],A27,TableBOM[Per 1000 Units])=0,"-",ROUND((H27+I27)/(AVERAGEIF(TableBOM[Item ID],A27,TableBOM[Per 1000 Units])/1000),0)),"-")</f>
        <v>-</v>
      </c>
      <c r="K27" s="150"/>
      <c r="L27" s="131"/>
      <c r="M27" s="131"/>
      <c r="N27" s="131"/>
      <c r="O27" s="131"/>
      <c r="P27" s="131"/>
    </row>
    <row r="28" spans="1:16" ht="15" customHeight="1" x14ac:dyDescent="0.25">
      <c r="A28" s="127">
        <v>177</v>
      </c>
      <c r="B28" s="127" t="s">
        <v>33</v>
      </c>
      <c r="C28" s="128" t="s">
        <v>43</v>
      </c>
      <c r="D28" s="127" t="s">
        <v>15</v>
      </c>
      <c r="E28" s="129">
        <v>450</v>
      </c>
      <c r="F28" s="129">
        <v>0</v>
      </c>
      <c r="G28" s="129">
        <v>0</v>
      </c>
      <c r="H28" s="130">
        <f t="shared" si="1"/>
        <v>450</v>
      </c>
      <c r="I28" s="129"/>
      <c r="J28" s="146" t="str">
        <f>IFERROR(IF(AVERAGEIF(TableBOM[Item ID],A28,TableBOM[Per 1000 Units])=0,"-",ROUND((H28+I28)/(AVERAGEIF(TableBOM[Item ID],A28,TableBOM[Per 1000 Units])/1000),0)),"-")</f>
        <v>-</v>
      </c>
      <c r="K28" s="150"/>
      <c r="L28" s="131"/>
      <c r="M28" s="131"/>
      <c r="N28" s="131"/>
      <c r="O28" s="131"/>
      <c r="P28" s="131"/>
    </row>
    <row r="29" spans="1:16" ht="15" customHeight="1" x14ac:dyDescent="0.25">
      <c r="A29" s="127">
        <v>6132</v>
      </c>
      <c r="B29" s="127" t="s">
        <v>33</v>
      </c>
      <c r="C29" s="128" t="s">
        <v>44</v>
      </c>
      <c r="D29" s="127" t="s">
        <v>15</v>
      </c>
      <c r="E29" s="129">
        <v>60</v>
      </c>
      <c r="F29" s="129">
        <v>0</v>
      </c>
      <c r="G29" s="129">
        <v>0</v>
      </c>
      <c r="H29" s="130">
        <f t="shared" si="1"/>
        <v>60</v>
      </c>
      <c r="I29" s="129"/>
      <c r="J29" s="146" t="str">
        <f>IFERROR(IF(AVERAGEIF(TableBOM[Item ID],A29,TableBOM[Per 1000 Units])=0,"-",ROUND((H29+I29)/(AVERAGEIF(TableBOM[Item ID],A29,TableBOM[Per 1000 Units])/1000),0)),"-")</f>
        <v>-</v>
      </c>
      <c r="K29" s="151"/>
      <c r="L29" s="132"/>
      <c r="M29" s="132"/>
      <c r="N29" s="132"/>
      <c r="O29" s="132"/>
      <c r="P29" s="132"/>
    </row>
    <row r="30" spans="1:16" ht="15" customHeight="1" x14ac:dyDescent="0.25">
      <c r="A30" s="127">
        <v>186</v>
      </c>
      <c r="B30" s="127" t="s">
        <v>45</v>
      </c>
      <c r="C30" s="128" t="s">
        <v>46</v>
      </c>
      <c r="D30" s="127" t="s">
        <v>15</v>
      </c>
      <c r="E30" s="129">
        <v>45</v>
      </c>
      <c r="F30" s="129">
        <v>990</v>
      </c>
      <c r="G30" s="129">
        <v>525</v>
      </c>
      <c r="H30" s="130">
        <f t="shared" si="1"/>
        <v>510</v>
      </c>
      <c r="I30" s="129"/>
      <c r="J30" s="146">
        <f>IFERROR(IF(AVERAGEIF(TableBOM[Item ID],A30,TableBOM[Per 1000 Units])=0,"-",ROUND((H30+I30)/(AVERAGEIF(TableBOM[Item ID],A30,TableBOM[Per 1000 Units])/1000),0)),"-")</f>
        <v>1387029</v>
      </c>
      <c r="K30" s="150"/>
      <c r="L30" s="131"/>
      <c r="M30" s="131"/>
      <c r="N30" s="131"/>
      <c r="O30" s="131"/>
      <c r="P30" s="131"/>
    </row>
    <row r="31" spans="1:16" ht="15" customHeight="1" x14ac:dyDescent="0.25">
      <c r="A31" s="127">
        <v>194</v>
      </c>
      <c r="B31" s="127" t="s">
        <v>47</v>
      </c>
      <c r="C31" s="128" t="s">
        <v>48</v>
      </c>
      <c r="D31" s="127" t="s">
        <v>15</v>
      </c>
      <c r="E31" s="129">
        <v>20</v>
      </c>
      <c r="F31" s="129">
        <v>20</v>
      </c>
      <c r="G31" s="129">
        <v>7.5</v>
      </c>
      <c r="H31" s="130">
        <f t="shared" si="1"/>
        <v>32.5</v>
      </c>
      <c r="I31" s="129"/>
      <c r="J31" s="146">
        <f>IFERROR(IF(AVERAGEIF(TableBOM[Item ID],A31,TableBOM[Per 1000 Units])=0,"-",ROUND((H31+I31)/(AVERAGEIF(TableBOM[Item ID],A31,TableBOM[Per 1000 Units])/1000),0)),"-")</f>
        <v>4798202</v>
      </c>
      <c r="K31" s="150"/>
      <c r="L31" s="131"/>
      <c r="M31" s="131"/>
      <c r="N31" s="131"/>
      <c r="O31" s="131"/>
      <c r="P31" s="131"/>
    </row>
    <row r="32" spans="1:16" ht="15" hidden="1" customHeight="1" x14ac:dyDescent="0.25">
      <c r="A32" s="257">
        <v>69</v>
      </c>
      <c r="B32" s="257" t="s">
        <v>49</v>
      </c>
      <c r="C32" s="258" t="s">
        <v>50</v>
      </c>
      <c r="D32" s="257" t="s">
        <v>51</v>
      </c>
      <c r="E32" s="259">
        <v>0</v>
      </c>
      <c r="F32" s="259">
        <v>0</v>
      </c>
      <c r="G32" s="259">
        <v>0</v>
      </c>
      <c r="H32" s="260">
        <f t="shared" si="1"/>
        <v>0</v>
      </c>
      <c r="I32" s="259"/>
      <c r="J32" s="261">
        <f>IFERROR(IF(AVERAGEIF(TableBOM[Item ID],A32,TableBOM[Per 1000 Units])=0,"-",ROUND((H32+I32)/(AVERAGEIF(TableBOM[Item ID],A32,TableBOM[Per 1000 Units])/1000),0)),"-")</f>
        <v>0</v>
      </c>
      <c r="K32" s="263" t="s">
        <v>27</v>
      </c>
      <c r="L32" s="131"/>
      <c r="M32" s="131"/>
      <c r="N32" s="131"/>
      <c r="O32" s="131"/>
      <c r="P32" s="131"/>
    </row>
    <row r="33" spans="1:16" ht="15" customHeight="1" x14ac:dyDescent="0.25">
      <c r="A33" s="127">
        <v>99</v>
      </c>
      <c r="B33" s="127" t="s">
        <v>49</v>
      </c>
      <c r="C33" s="128" t="s">
        <v>52</v>
      </c>
      <c r="D33" s="127" t="s">
        <v>53</v>
      </c>
      <c r="E33" s="129">
        <v>10000</v>
      </c>
      <c r="F33" s="129">
        <v>0</v>
      </c>
      <c r="G33" s="129">
        <v>0</v>
      </c>
      <c r="H33" s="130">
        <f t="shared" si="1"/>
        <v>10000</v>
      </c>
      <c r="I33" s="129"/>
      <c r="J33" s="146" t="str">
        <f>IFERROR(IF(AVERAGEIF(TableBOM[Item ID],A33,TableBOM[Per 1000 Units])=0,"-",ROUND((H33+I33)/(AVERAGEIF(TableBOM[Item ID],A33,TableBOM[Per 1000 Units])/1000),0)),"-")</f>
        <v>-</v>
      </c>
      <c r="K33" s="151"/>
      <c r="L33" s="132"/>
      <c r="M33" s="132"/>
      <c r="N33" s="132"/>
      <c r="O33" s="132"/>
      <c r="P33" s="132"/>
    </row>
    <row r="34" spans="1:16" ht="15" customHeight="1" x14ac:dyDescent="0.25">
      <c r="A34" s="127">
        <v>72</v>
      </c>
      <c r="B34" s="127" t="s">
        <v>49</v>
      </c>
      <c r="C34" s="128" t="s">
        <v>54</v>
      </c>
      <c r="D34" s="127" t="s">
        <v>53</v>
      </c>
      <c r="E34" s="129">
        <v>23741</v>
      </c>
      <c r="F34" s="129">
        <v>0</v>
      </c>
      <c r="G34" s="129">
        <v>0</v>
      </c>
      <c r="H34" s="130">
        <f t="shared" si="1"/>
        <v>23741</v>
      </c>
      <c r="I34" s="129"/>
      <c r="J34" s="146" t="str">
        <f>IFERROR(IF(AVERAGEIF(TableBOM[Item ID],A34,TableBOM[Per 1000 Units])=0,"-",ROUND((H34+I34)/(AVERAGEIF(TableBOM[Item ID],A34,TableBOM[Per 1000 Units])/1000),0)),"-")</f>
        <v>-</v>
      </c>
      <c r="K34" s="150"/>
      <c r="L34" s="131"/>
      <c r="M34" s="131"/>
      <c r="N34" s="131"/>
      <c r="O34" s="131"/>
      <c r="P34" s="131"/>
    </row>
    <row r="35" spans="1:16" ht="15" customHeight="1" x14ac:dyDescent="0.25">
      <c r="A35" s="127">
        <v>79</v>
      </c>
      <c r="B35" s="127" t="s">
        <v>49</v>
      </c>
      <c r="C35" s="128" t="s">
        <v>55</v>
      </c>
      <c r="D35" s="127" t="s">
        <v>53</v>
      </c>
      <c r="E35" s="129">
        <v>83600</v>
      </c>
      <c r="F35" s="129">
        <v>0</v>
      </c>
      <c r="G35" s="129">
        <v>0</v>
      </c>
      <c r="H35" s="130">
        <f t="shared" si="1"/>
        <v>83600</v>
      </c>
      <c r="I35" s="129"/>
      <c r="J35" s="146" t="str">
        <f>IFERROR(IF(AVERAGEIF(TableBOM[Item ID],A35,TableBOM[Per 1000 Units])=0,"-",ROUND((H35+I35)/(AVERAGEIF(TableBOM[Item ID],A35,TableBOM[Per 1000 Units])/1000),0)),"-")</f>
        <v>-</v>
      </c>
      <c r="K35" s="150"/>
      <c r="L35" s="131"/>
      <c r="M35" s="131"/>
      <c r="N35" s="131"/>
      <c r="O35" s="131"/>
      <c r="P35" s="131"/>
    </row>
    <row r="36" spans="1:16" ht="15" customHeight="1" x14ac:dyDescent="0.25">
      <c r="A36" s="127">
        <v>80</v>
      </c>
      <c r="B36" s="127" t="s">
        <v>49</v>
      </c>
      <c r="C36" s="128" t="s">
        <v>56</v>
      </c>
      <c r="D36" s="127" t="s">
        <v>51</v>
      </c>
      <c r="E36" s="129">
        <v>100000</v>
      </c>
      <c r="F36" s="129">
        <v>0</v>
      </c>
      <c r="G36" s="129">
        <v>0</v>
      </c>
      <c r="H36" s="130">
        <f t="shared" si="1"/>
        <v>100000</v>
      </c>
      <c r="I36" s="129">
        <v>0</v>
      </c>
      <c r="J36" s="146">
        <f>IFERROR(IF(AVERAGEIF(TableBOM[Item ID],A36,TableBOM[Per 1000 Units])=0,"-",ROUND((H36+I36)/(AVERAGEIF(TableBOM[Item ID],A36,TableBOM[Per 1000 Units])/1000),0)),"-")</f>
        <v>100000</v>
      </c>
      <c r="K36" s="151"/>
      <c r="L36" s="132"/>
      <c r="M36" s="132"/>
      <c r="N36" s="132"/>
      <c r="O36" s="132"/>
      <c r="P36" s="132"/>
    </row>
    <row r="37" spans="1:16" ht="15" customHeight="1" x14ac:dyDescent="0.25">
      <c r="A37" s="127">
        <v>81</v>
      </c>
      <c r="B37" s="127" t="s">
        <v>49</v>
      </c>
      <c r="C37" s="128" t="s">
        <v>57</v>
      </c>
      <c r="D37" s="127" t="s">
        <v>51</v>
      </c>
      <c r="E37" s="129">
        <v>553124</v>
      </c>
      <c r="F37" s="129">
        <v>0</v>
      </c>
      <c r="G37" s="129">
        <v>0</v>
      </c>
      <c r="H37" s="130">
        <f t="shared" si="1"/>
        <v>553124</v>
      </c>
      <c r="I37" s="129"/>
      <c r="J37" s="146">
        <f>IFERROR(IF(AVERAGEIF(TableBOM[Item ID],A37,TableBOM[Per 1000 Units])=0,"-",ROUND((H37+I37)/(AVERAGEIF(TableBOM[Item ID],A37,TableBOM[Per 1000 Units])/1000),0)),"-")</f>
        <v>553124</v>
      </c>
      <c r="K37" s="151"/>
      <c r="L37" s="132"/>
      <c r="M37" s="132"/>
      <c r="N37" s="132"/>
      <c r="O37" s="132"/>
      <c r="P37" s="132"/>
    </row>
    <row r="38" spans="1:16" ht="15" hidden="1" customHeight="1" x14ac:dyDescent="0.25">
      <c r="A38" s="257">
        <v>1800</v>
      </c>
      <c r="B38" s="257" t="s">
        <v>49</v>
      </c>
      <c r="C38" s="258" t="s">
        <v>58</v>
      </c>
      <c r="D38" s="257" t="s">
        <v>51</v>
      </c>
      <c r="E38" s="259">
        <v>0</v>
      </c>
      <c r="F38" s="259">
        <v>0</v>
      </c>
      <c r="G38" s="259">
        <v>0</v>
      </c>
      <c r="H38" s="260">
        <f t="shared" si="1"/>
        <v>0</v>
      </c>
      <c r="I38" s="259"/>
      <c r="J38" s="261" t="str">
        <f>IFERROR(IF(AVERAGEIF(TableBOM[Item ID],A38,TableBOM[Per 1000 Units])=0,"-",ROUND((H38+I38)/(AVERAGEIF(TableBOM[Item ID],A38,TableBOM[Per 1000 Units])/1000),0)),"-")</f>
        <v>-</v>
      </c>
      <c r="K38" s="264" t="s">
        <v>27</v>
      </c>
      <c r="L38" s="132"/>
      <c r="M38" s="132"/>
      <c r="N38" s="132"/>
      <c r="O38" s="132"/>
      <c r="P38" s="132"/>
    </row>
    <row r="39" spans="1:16" ht="15" customHeight="1" x14ac:dyDescent="0.25">
      <c r="A39" s="127">
        <v>3211</v>
      </c>
      <c r="B39" s="127" t="s">
        <v>49</v>
      </c>
      <c r="C39" s="128" t="s">
        <v>59</v>
      </c>
      <c r="D39" s="127" t="s">
        <v>51</v>
      </c>
      <c r="E39" s="129">
        <v>4000</v>
      </c>
      <c r="F39" s="129">
        <v>0</v>
      </c>
      <c r="G39" s="129">
        <v>0</v>
      </c>
      <c r="H39" s="130">
        <f t="shared" si="1"/>
        <v>4000</v>
      </c>
      <c r="I39" s="129"/>
      <c r="J39" s="146">
        <f>IFERROR(IF(AVERAGEIF(TableBOM[Item ID],A39,TableBOM[Per 1000 Units])=0,"-",ROUND((H39+I39)/(AVERAGEIF(TableBOM[Item ID],A39,TableBOM[Per 1000 Units])/1000),0)),"-")</f>
        <v>4000</v>
      </c>
    </row>
    <row r="40" spans="1:16" ht="15" customHeight="1" x14ac:dyDescent="0.25">
      <c r="A40" s="127">
        <v>4015</v>
      </c>
      <c r="B40" s="127" t="s">
        <v>49</v>
      </c>
      <c r="C40" s="128" t="s">
        <v>60</v>
      </c>
      <c r="D40" s="127" t="s">
        <v>51</v>
      </c>
      <c r="E40" s="129">
        <v>475000</v>
      </c>
      <c r="F40" s="129">
        <v>0</v>
      </c>
      <c r="G40" s="129">
        <v>0</v>
      </c>
      <c r="H40" s="130">
        <f t="shared" si="1"/>
        <v>475000</v>
      </c>
      <c r="I40" s="129"/>
      <c r="J40" s="146" t="str">
        <f>IFERROR(IF(AVERAGEIF(TableBOM[Item ID],A40,TableBOM[Per 1000 Units])=0,"-",ROUND((H40+I40)/(AVERAGEIF(TableBOM[Item ID],A40,TableBOM[Per 1000 Units])/1000),0)),"-")</f>
        <v>-</v>
      </c>
    </row>
    <row r="41" spans="1:16" ht="15" hidden="1" customHeight="1" x14ac:dyDescent="0.25">
      <c r="A41" s="257">
        <v>4044</v>
      </c>
      <c r="B41" s="257" t="s">
        <v>49</v>
      </c>
      <c r="C41" s="258" t="s">
        <v>61</v>
      </c>
      <c r="D41" s="257" t="s">
        <v>51</v>
      </c>
      <c r="E41" s="259">
        <v>0</v>
      </c>
      <c r="F41" s="259">
        <v>0</v>
      </c>
      <c r="G41" s="259">
        <v>0</v>
      </c>
      <c r="H41" s="260">
        <f t="shared" si="1"/>
        <v>0</v>
      </c>
      <c r="I41" s="259"/>
      <c r="J41" s="261" t="str">
        <f>IFERROR(IF(AVERAGEIF(TableBOM[Item ID],A41,TableBOM[Per 1000 Units])=0,"-",ROUND((H41+I41)/(AVERAGEIF(TableBOM[Item ID],A41,TableBOM[Per 1000 Units])/1000),0)),"-")</f>
        <v>-</v>
      </c>
      <c r="K41" s="262" t="s">
        <v>27</v>
      </c>
    </row>
    <row r="42" spans="1:16" ht="15" customHeight="1" x14ac:dyDescent="0.25">
      <c r="A42" s="127">
        <v>4088</v>
      </c>
      <c r="B42" s="127" t="s">
        <v>49</v>
      </c>
      <c r="C42" s="128" t="s">
        <v>62</v>
      </c>
      <c r="D42" s="127" t="s">
        <v>51</v>
      </c>
      <c r="E42" s="129">
        <v>60000</v>
      </c>
      <c r="F42" s="129">
        <v>0</v>
      </c>
      <c r="G42" s="129">
        <v>0</v>
      </c>
      <c r="H42" s="130">
        <f t="shared" si="1"/>
        <v>60000</v>
      </c>
      <c r="I42" s="129"/>
      <c r="J42" s="146" t="str">
        <f>IFERROR(IF(AVERAGEIF(TableBOM[Item ID],A42,TableBOM[Per 1000 Units])=0,"-",ROUND((H42+I42)/(AVERAGEIF(TableBOM[Item ID],A42,TableBOM[Per 1000 Units])/1000),0)),"-")</f>
        <v>-</v>
      </c>
    </row>
    <row r="43" spans="1:16" ht="15" customHeight="1" x14ac:dyDescent="0.25">
      <c r="A43" s="127">
        <v>4143</v>
      </c>
      <c r="B43" s="127" t="s">
        <v>49</v>
      </c>
      <c r="C43" s="128" t="s">
        <v>63</v>
      </c>
      <c r="D43" s="127" t="s">
        <v>51</v>
      </c>
      <c r="E43" s="129">
        <v>65000</v>
      </c>
      <c r="F43" s="129">
        <v>0</v>
      </c>
      <c r="G43" s="129">
        <v>0</v>
      </c>
      <c r="H43" s="130">
        <f t="shared" si="1"/>
        <v>65000</v>
      </c>
      <c r="I43" s="129">
        <v>0</v>
      </c>
      <c r="J43" s="146" t="str">
        <f>IFERROR(IF(AVERAGEIF(TableBOM[Item ID],A43,TableBOM[Per 1000 Units])=0,"-",ROUND((H43+I43)/(AVERAGEIF(TableBOM[Item ID],A43,TableBOM[Per 1000 Units])/1000),0)),"-")</f>
        <v>-</v>
      </c>
    </row>
    <row r="44" spans="1:16" ht="15" hidden="1" customHeight="1" x14ac:dyDescent="0.25">
      <c r="A44" s="257">
        <v>6971</v>
      </c>
      <c r="B44" s="257" t="s">
        <v>49</v>
      </c>
      <c r="C44" s="258" t="s">
        <v>64</v>
      </c>
      <c r="D44" s="257" t="s">
        <v>51</v>
      </c>
      <c r="E44" s="259">
        <v>0</v>
      </c>
      <c r="F44" s="259">
        <v>0</v>
      </c>
      <c r="G44" s="259">
        <v>0</v>
      </c>
      <c r="H44" s="260">
        <f t="shared" si="1"/>
        <v>0</v>
      </c>
      <c r="I44" s="259"/>
      <c r="J44" s="261">
        <f>IFERROR(IF(AVERAGEIF(TableBOM[Item ID],A44,TableBOM[Per 1000 Units])=0,"-",ROUND((H44+I44)/(AVERAGEIF(TableBOM[Item ID],A44,TableBOM[Per 1000 Units])/1000),0)),"-")</f>
        <v>0</v>
      </c>
      <c r="K44" s="263" t="s">
        <v>27</v>
      </c>
      <c r="L44" s="131"/>
      <c r="M44" s="131"/>
      <c r="N44" s="131"/>
      <c r="O44" s="131"/>
      <c r="P44" s="131"/>
    </row>
    <row r="45" spans="1:16" ht="15" customHeight="1" x14ac:dyDescent="0.25">
      <c r="A45" s="127">
        <v>7370</v>
      </c>
      <c r="B45" s="127" t="s">
        <v>49</v>
      </c>
      <c r="C45" s="128" t="s">
        <v>65</v>
      </c>
      <c r="D45" s="127" t="s">
        <v>51</v>
      </c>
      <c r="E45" s="129">
        <v>47000</v>
      </c>
      <c r="F45" s="129">
        <v>0</v>
      </c>
      <c r="G45" s="129">
        <v>0</v>
      </c>
      <c r="H45" s="130">
        <f t="shared" si="1"/>
        <v>47000</v>
      </c>
      <c r="I45" s="129">
        <v>0</v>
      </c>
      <c r="J45" s="146">
        <f>IFERROR(IF(AVERAGEIF(TableBOM[Item ID],A45,TableBOM[Per 1000 Units])=0,"-",ROUND((H45+I45)/(AVERAGEIF(TableBOM[Item ID],A45,TableBOM[Per 1000 Units])/1000),0)),"-")</f>
        <v>47000</v>
      </c>
      <c r="K45" s="151"/>
      <c r="L45" s="132"/>
      <c r="M45" s="132"/>
      <c r="N45" s="132"/>
      <c r="O45" s="132"/>
      <c r="P45" s="132"/>
    </row>
    <row r="46" spans="1:16" ht="15" customHeight="1" x14ac:dyDescent="0.25">
      <c r="A46" s="127">
        <v>68</v>
      </c>
      <c r="B46" s="127" t="s">
        <v>49</v>
      </c>
      <c r="C46" s="128" t="s">
        <v>66</v>
      </c>
      <c r="D46" s="127" t="s">
        <v>51</v>
      </c>
      <c r="E46" s="129">
        <v>193000</v>
      </c>
      <c r="F46" s="129">
        <v>200000</v>
      </c>
      <c r="G46" s="129">
        <v>193000</v>
      </c>
      <c r="H46" s="130">
        <f t="shared" ref="H46:H77" si="2">E46+F46-G46</f>
        <v>200000</v>
      </c>
      <c r="I46" s="129"/>
      <c r="J46" s="146">
        <f>IFERROR(IF(AVERAGEIF(TableBOM[Item ID],A46,TableBOM[Per 1000 Units])=0,"-",ROUND((H46+I46)/(AVERAGEIF(TableBOM[Item ID],A46,TableBOM[Per 1000 Units])/1000),0)),"-")</f>
        <v>200000</v>
      </c>
      <c r="K46" s="150"/>
      <c r="L46" s="131"/>
      <c r="M46" s="131"/>
      <c r="N46" s="131"/>
      <c r="O46" s="131"/>
      <c r="P46" s="131"/>
    </row>
    <row r="47" spans="1:16" ht="15" customHeight="1" x14ac:dyDescent="0.25">
      <c r="A47" s="127">
        <v>102</v>
      </c>
      <c r="B47" s="127" t="s">
        <v>49</v>
      </c>
      <c r="C47" s="128" t="s">
        <v>67</v>
      </c>
      <c r="D47" s="127" t="s">
        <v>53</v>
      </c>
      <c r="E47" s="129">
        <v>30000</v>
      </c>
      <c r="F47" s="129">
        <v>0</v>
      </c>
      <c r="G47" s="129">
        <v>0</v>
      </c>
      <c r="H47" s="130">
        <f t="shared" si="2"/>
        <v>30000</v>
      </c>
      <c r="I47" s="129"/>
      <c r="J47" s="146" t="str">
        <f>IFERROR(IF(AVERAGEIF(TableBOM[Item ID],A47,TableBOM[Per 1000 Units])=0,"-",ROUND((H47+I47)/(AVERAGEIF(TableBOM[Item ID],A47,TableBOM[Per 1000 Units])/1000),0)),"-")</f>
        <v>-</v>
      </c>
      <c r="K47" s="150"/>
      <c r="L47" s="131"/>
      <c r="M47" s="131"/>
      <c r="N47" s="131"/>
      <c r="O47" s="131"/>
      <c r="P47" s="131"/>
    </row>
    <row r="48" spans="1:16" ht="15" customHeight="1" x14ac:dyDescent="0.25">
      <c r="A48" s="127">
        <v>1073</v>
      </c>
      <c r="B48" s="127" t="s">
        <v>49</v>
      </c>
      <c r="C48" s="128" t="s">
        <v>68</v>
      </c>
      <c r="D48" s="127" t="s">
        <v>51</v>
      </c>
      <c r="E48" s="129">
        <v>120000</v>
      </c>
      <c r="F48" s="129">
        <v>0</v>
      </c>
      <c r="G48" s="129">
        <v>0</v>
      </c>
      <c r="H48" s="130">
        <f t="shared" si="2"/>
        <v>120000</v>
      </c>
      <c r="I48" s="129"/>
      <c r="J48" s="146">
        <f>IFERROR(IF(AVERAGEIF(TableBOM[Item ID],A48,TableBOM[Per 1000 Units])=0,"-",ROUND((H48+I48)/(AVERAGEIF(TableBOM[Item ID],A48,TableBOM[Per 1000 Units])/1000),0)),"-")</f>
        <v>120000</v>
      </c>
      <c r="K48" s="150"/>
      <c r="L48" s="131"/>
      <c r="M48" s="131"/>
      <c r="N48" s="131"/>
      <c r="O48" s="131"/>
      <c r="P48" s="131"/>
    </row>
    <row r="49" spans="1:16" ht="15" customHeight="1" x14ac:dyDescent="0.25">
      <c r="A49" s="127">
        <v>1285</v>
      </c>
      <c r="B49" s="127" t="s">
        <v>49</v>
      </c>
      <c r="C49" s="128" t="s">
        <v>69</v>
      </c>
      <c r="D49" s="127" t="s">
        <v>51</v>
      </c>
      <c r="E49" s="129">
        <v>208000</v>
      </c>
      <c r="F49" s="129">
        <v>0</v>
      </c>
      <c r="G49" s="129">
        <v>0</v>
      </c>
      <c r="H49" s="130">
        <f t="shared" si="2"/>
        <v>208000</v>
      </c>
      <c r="I49" s="129"/>
      <c r="J49" s="146">
        <f>IFERROR(IF(AVERAGEIF(TableBOM[Item ID],A49,TableBOM[Per 1000 Units])=0,"-",ROUND((H49+I49)/(AVERAGEIF(TableBOM[Item ID],A49,TableBOM[Per 1000 Units])/1000),0)),"-")</f>
        <v>208000</v>
      </c>
      <c r="K49" s="151"/>
      <c r="L49" s="132"/>
      <c r="M49" s="132"/>
      <c r="N49" s="132"/>
      <c r="O49" s="132"/>
      <c r="P49" s="132"/>
    </row>
    <row r="50" spans="1:16" ht="15" customHeight="1" x14ac:dyDescent="0.25">
      <c r="A50" s="127">
        <v>3522</v>
      </c>
      <c r="B50" s="127" t="s">
        <v>49</v>
      </c>
      <c r="C50" s="128" t="s">
        <v>70</v>
      </c>
      <c r="D50" s="127" t="s">
        <v>51</v>
      </c>
      <c r="E50" s="129">
        <v>75000</v>
      </c>
      <c r="F50" s="129">
        <v>0</v>
      </c>
      <c r="G50" s="129">
        <v>0</v>
      </c>
      <c r="H50" s="130">
        <f t="shared" si="2"/>
        <v>75000</v>
      </c>
      <c r="I50" s="129">
        <v>0</v>
      </c>
      <c r="J50" s="146">
        <f>IFERROR(IF(AVERAGEIF(TableBOM[Item ID],A50,TableBOM[Per 1000 Units])=0,"-",ROUND((H50+I50)/(AVERAGEIF(TableBOM[Item ID],A50,TableBOM[Per 1000 Units])/1000),0)),"-")</f>
        <v>75000</v>
      </c>
      <c r="K50" s="151"/>
      <c r="L50" s="132"/>
      <c r="M50" s="132"/>
      <c r="N50" s="132"/>
      <c r="O50" s="132"/>
      <c r="P50" s="132"/>
    </row>
    <row r="51" spans="1:16" ht="15" hidden="1" customHeight="1" x14ac:dyDescent="0.25">
      <c r="A51" s="257">
        <v>3866</v>
      </c>
      <c r="B51" s="257" t="s">
        <v>49</v>
      </c>
      <c r="C51" s="258" t="s">
        <v>71</v>
      </c>
      <c r="D51" s="257" t="s">
        <v>51</v>
      </c>
      <c r="E51" s="259">
        <v>0</v>
      </c>
      <c r="F51" s="259">
        <v>0</v>
      </c>
      <c r="G51" s="259">
        <v>0</v>
      </c>
      <c r="H51" s="260">
        <f t="shared" si="2"/>
        <v>0</v>
      </c>
      <c r="I51" s="259"/>
      <c r="J51" s="261" t="str">
        <f>IFERROR(IF(AVERAGEIF(TableBOM[Item ID],A51,TableBOM[Per 1000 Units])=0,"-",ROUND((H51+I51)/(AVERAGEIF(TableBOM[Item ID],A51,TableBOM[Per 1000 Units])/1000),0)),"-")</f>
        <v>-</v>
      </c>
      <c r="K51" s="264" t="s">
        <v>27</v>
      </c>
      <c r="L51" s="132"/>
      <c r="M51" s="132"/>
      <c r="N51" s="132"/>
      <c r="O51" s="132"/>
      <c r="P51" s="132"/>
    </row>
    <row r="52" spans="1:16" ht="15" customHeight="1" x14ac:dyDescent="0.25">
      <c r="A52" s="137">
        <v>578</v>
      </c>
      <c r="B52" s="137" t="s">
        <v>49</v>
      </c>
      <c r="C52" s="138" t="s">
        <v>72</v>
      </c>
      <c r="D52" s="137" t="s">
        <v>51</v>
      </c>
      <c r="E52" s="139">
        <v>50000</v>
      </c>
      <c r="F52" s="139">
        <v>0</v>
      </c>
      <c r="G52" s="139">
        <v>45000</v>
      </c>
      <c r="H52" s="140">
        <f t="shared" si="2"/>
        <v>5000</v>
      </c>
      <c r="I52" s="139"/>
      <c r="J52" s="145">
        <f>IFERROR(IF(AVERAGEIF(TableBOM[Item ID],A52,TableBOM[Per 1000 Units])=0,"-",ROUND((H52+I52)/(AVERAGEIF(TableBOM[Item ID],A52,TableBOM[Per 1000 Units])/1000),0)),"-")</f>
        <v>5000</v>
      </c>
      <c r="K52" s="150"/>
      <c r="L52" s="131"/>
      <c r="M52" s="131"/>
      <c r="N52" s="131"/>
      <c r="O52" s="131"/>
      <c r="P52" s="131"/>
    </row>
    <row r="53" spans="1:16" ht="15" hidden="1" customHeight="1" x14ac:dyDescent="0.25">
      <c r="A53" s="257">
        <v>36</v>
      </c>
      <c r="B53" s="257" t="s">
        <v>73</v>
      </c>
      <c r="C53" s="258" t="s">
        <v>74</v>
      </c>
      <c r="D53" s="257" t="s">
        <v>51</v>
      </c>
      <c r="E53" s="259">
        <v>0</v>
      </c>
      <c r="F53" s="259">
        <v>0</v>
      </c>
      <c r="G53" s="259">
        <v>0</v>
      </c>
      <c r="H53" s="260">
        <f t="shared" si="2"/>
        <v>0</v>
      </c>
      <c r="I53" s="259"/>
      <c r="J53" s="261">
        <f>IFERROR(IF(AVERAGEIF(TableBOM[Item ID],A53,TableBOM[Per 1000 Units])=0,"-",ROUND((H53+I53)/(AVERAGEIF(TableBOM[Item ID],A53,TableBOM[Per 1000 Units])/1000),0)),"-")</f>
        <v>0</v>
      </c>
      <c r="K53" s="263" t="s">
        <v>27</v>
      </c>
      <c r="L53" s="131"/>
      <c r="M53" s="131"/>
      <c r="N53" s="131"/>
      <c r="O53" s="131"/>
      <c r="P53" s="131"/>
    </row>
    <row r="54" spans="1:16" ht="15" hidden="1" customHeight="1" x14ac:dyDescent="0.25">
      <c r="A54" s="257">
        <v>200</v>
      </c>
      <c r="B54" s="257" t="s">
        <v>73</v>
      </c>
      <c r="C54" s="258" t="s">
        <v>75</v>
      </c>
      <c r="D54" s="257" t="s">
        <v>51</v>
      </c>
      <c r="E54" s="259">
        <v>0</v>
      </c>
      <c r="F54" s="259">
        <v>0</v>
      </c>
      <c r="G54" s="259">
        <v>0</v>
      </c>
      <c r="H54" s="260">
        <f t="shared" si="2"/>
        <v>0</v>
      </c>
      <c r="I54" s="259"/>
      <c r="J54" s="261">
        <f>IFERROR(IF(AVERAGEIF(TableBOM[Item ID],A54,TableBOM[Per 1000 Units])=0,"-",ROUND((H54+I54)/(AVERAGEIF(TableBOM[Item ID],A54,TableBOM[Per 1000 Units])/1000),0)),"-")</f>
        <v>0</v>
      </c>
      <c r="K54" s="263" t="s">
        <v>27</v>
      </c>
      <c r="L54" s="131"/>
      <c r="M54" s="131"/>
      <c r="N54" s="131"/>
      <c r="O54" s="131"/>
      <c r="P54" s="131"/>
    </row>
    <row r="55" spans="1:16" ht="15" hidden="1" customHeight="1" x14ac:dyDescent="0.25">
      <c r="A55" s="257">
        <v>39</v>
      </c>
      <c r="B55" s="257" t="s">
        <v>73</v>
      </c>
      <c r="C55" s="258" t="s">
        <v>76</v>
      </c>
      <c r="D55" s="257" t="s">
        <v>51</v>
      </c>
      <c r="E55" s="259">
        <v>0</v>
      </c>
      <c r="F55" s="259">
        <v>0</v>
      </c>
      <c r="G55" s="259">
        <v>0</v>
      </c>
      <c r="H55" s="260">
        <f t="shared" si="2"/>
        <v>0</v>
      </c>
      <c r="I55" s="259"/>
      <c r="J55" s="261">
        <f>IFERROR(IF(AVERAGEIF(TableBOM[Item ID],A55,TableBOM[Per 1000 Units])=0,"-",ROUND((H55+I55)/(AVERAGEIF(TableBOM[Item ID],A55,TableBOM[Per 1000 Units])/1000),0)),"-")</f>
        <v>0</v>
      </c>
      <c r="K55" s="264" t="s">
        <v>27</v>
      </c>
      <c r="L55" s="132"/>
      <c r="M55" s="132"/>
      <c r="N55" s="132"/>
      <c r="O55" s="132"/>
      <c r="P55" s="132"/>
    </row>
    <row r="56" spans="1:16" ht="15" customHeight="1" x14ac:dyDescent="0.25">
      <c r="A56" s="127">
        <v>3619</v>
      </c>
      <c r="B56" s="127" t="s">
        <v>73</v>
      </c>
      <c r="C56" s="128" t="s">
        <v>77</v>
      </c>
      <c r="D56" s="127" t="s">
        <v>51</v>
      </c>
      <c r="E56" s="129">
        <v>280</v>
      </c>
      <c r="F56" s="129">
        <v>0</v>
      </c>
      <c r="G56" s="129">
        <v>0</v>
      </c>
      <c r="H56" s="130">
        <f t="shared" si="2"/>
        <v>280</v>
      </c>
      <c r="I56" s="129"/>
      <c r="J56" s="146">
        <f>IFERROR(IF(AVERAGEIF(TableBOM[Item ID],A56,TableBOM[Per 1000 Units])=0,"-",ROUND((H56+I56)/(AVERAGEIF(TableBOM[Item ID],A56,TableBOM[Per 1000 Units])/1000),0)),"-")</f>
        <v>140955</v>
      </c>
      <c r="K56" s="150"/>
      <c r="L56" s="131"/>
      <c r="M56" s="131"/>
      <c r="N56" s="131"/>
      <c r="O56" s="131"/>
      <c r="P56" s="131"/>
    </row>
    <row r="57" spans="1:16" ht="15" customHeight="1" x14ac:dyDescent="0.25">
      <c r="A57" s="127">
        <v>3598</v>
      </c>
      <c r="B57" s="127" t="s">
        <v>73</v>
      </c>
      <c r="C57" s="128" t="s">
        <v>78</v>
      </c>
      <c r="D57" s="127" t="s">
        <v>51</v>
      </c>
      <c r="E57" s="129">
        <v>500</v>
      </c>
      <c r="F57" s="129">
        <v>508</v>
      </c>
      <c r="G57" s="129">
        <v>500</v>
      </c>
      <c r="H57" s="130">
        <f t="shared" si="2"/>
        <v>508</v>
      </c>
      <c r="I57" s="129"/>
      <c r="J57" s="146">
        <f>IFERROR(IF(AVERAGEIF(TableBOM[Item ID],A57,TableBOM[Per 1000 Units])=0,"-",ROUND((H57+I57)/(AVERAGEIF(TableBOM[Item ID],A57,TableBOM[Per 1000 Units])/1000),0)),"-")</f>
        <v>151500</v>
      </c>
      <c r="K57" s="150"/>
      <c r="L57" s="131"/>
      <c r="M57" s="131"/>
      <c r="N57" s="131"/>
      <c r="O57" s="131"/>
      <c r="P57" s="131"/>
    </row>
    <row r="58" spans="1:16" ht="15" customHeight="1" x14ac:dyDescent="0.25">
      <c r="A58" s="127">
        <v>45</v>
      </c>
      <c r="B58" s="127" t="s">
        <v>73</v>
      </c>
      <c r="C58" s="128" t="s">
        <v>79</v>
      </c>
      <c r="D58" s="127" t="s">
        <v>51</v>
      </c>
      <c r="E58" s="129">
        <v>460</v>
      </c>
      <c r="F58" s="129">
        <v>0</v>
      </c>
      <c r="G58" s="129">
        <v>0</v>
      </c>
      <c r="H58" s="130">
        <f t="shared" si="2"/>
        <v>460</v>
      </c>
      <c r="I58" s="129"/>
      <c r="J58" s="146">
        <f>IFERROR(IF(AVERAGEIF(TableBOM[Item ID],A58,TableBOM[Per 1000 Units])=0,"-",ROUND((H58+I58)/(AVERAGEIF(TableBOM[Item ID],A58,TableBOM[Per 1000 Units])/1000),0)),"-")</f>
        <v>69002</v>
      </c>
      <c r="K58" s="150"/>
      <c r="L58" s="131"/>
      <c r="M58" s="131"/>
      <c r="N58" s="131"/>
      <c r="O58" s="131"/>
      <c r="P58" s="131"/>
    </row>
    <row r="59" spans="1:16" ht="15" customHeight="1" x14ac:dyDescent="0.25">
      <c r="A59" s="127">
        <v>3988</v>
      </c>
      <c r="B59" s="127" t="s">
        <v>73</v>
      </c>
      <c r="C59" s="128" t="s">
        <v>80</v>
      </c>
      <c r="D59" s="127" t="s">
        <v>51</v>
      </c>
      <c r="E59" s="129">
        <v>349</v>
      </c>
      <c r="F59" s="129">
        <v>0</v>
      </c>
      <c r="G59" s="129">
        <v>0</v>
      </c>
      <c r="H59" s="130">
        <f t="shared" si="2"/>
        <v>349</v>
      </c>
      <c r="I59" s="129"/>
      <c r="J59" s="146">
        <f>IFERROR(IF(AVERAGEIF(TableBOM[Item ID],A59,TableBOM[Per 1000 Units])=0,"-",ROUND((H59+I59)/(AVERAGEIF(TableBOM[Item ID],A59,TableBOM[Per 1000 Units])/1000),0)),"-")</f>
        <v>60229</v>
      </c>
      <c r="K59" s="151"/>
      <c r="L59" s="132"/>
      <c r="M59" s="132"/>
      <c r="N59" s="132"/>
      <c r="O59" s="132"/>
      <c r="P59" s="132"/>
    </row>
    <row r="60" spans="1:16" ht="15" customHeight="1" x14ac:dyDescent="0.25">
      <c r="A60" s="127">
        <v>5977</v>
      </c>
      <c r="B60" s="127" t="s">
        <v>73</v>
      </c>
      <c r="C60" s="128" t="s">
        <v>81</v>
      </c>
      <c r="D60" s="127" t="s">
        <v>51</v>
      </c>
      <c r="E60" s="129">
        <v>61</v>
      </c>
      <c r="F60" s="129">
        <v>272</v>
      </c>
      <c r="G60" s="129">
        <v>121</v>
      </c>
      <c r="H60" s="130">
        <f t="shared" si="2"/>
        <v>212</v>
      </c>
      <c r="I60" s="129"/>
      <c r="J60" s="146">
        <f>IFERROR(IF(AVERAGEIF(TableBOM[Item ID],A60,TableBOM[Per 1000 Units])=0,"-",ROUND((H60+I60)/(AVERAGEIF(TableBOM[Item ID],A60,TableBOM[Per 1000 Units])/1000),0)),"-")</f>
        <v>153958</v>
      </c>
      <c r="K60" s="151"/>
      <c r="L60" s="132"/>
      <c r="M60" s="132"/>
      <c r="N60" s="132"/>
      <c r="O60" s="132"/>
      <c r="P60" s="132"/>
    </row>
    <row r="61" spans="1:16" ht="15" customHeight="1" x14ac:dyDescent="0.25">
      <c r="A61" s="127">
        <v>3635</v>
      </c>
      <c r="B61" s="127" t="s">
        <v>82</v>
      </c>
      <c r="C61" s="128" t="s">
        <v>83</v>
      </c>
      <c r="D61" s="127" t="s">
        <v>51</v>
      </c>
      <c r="E61" s="129">
        <v>463</v>
      </c>
      <c r="F61" s="129">
        <v>0</v>
      </c>
      <c r="G61" s="129">
        <v>70</v>
      </c>
      <c r="H61" s="130">
        <f t="shared" si="2"/>
        <v>393</v>
      </c>
      <c r="I61" s="129"/>
      <c r="J61" s="146">
        <f>IFERROR(IF(AVERAGEIF(TableBOM[Item ID],A61,TableBOM[Per 1000 Units])=0,"-",ROUND((H61+I61)/(AVERAGEIF(TableBOM[Item ID],A61,TableBOM[Per 1000 Units])/1000),0)),"-")</f>
        <v>1125932</v>
      </c>
      <c r="K61" s="151"/>
      <c r="L61" s="132"/>
      <c r="M61" s="132"/>
      <c r="N61" s="132"/>
      <c r="O61" s="132"/>
      <c r="P61" s="132"/>
    </row>
    <row r="62" spans="1:16" ht="15" customHeight="1" x14ac:dyDescent="0.25">
      <c r="A62" s="127">
        <v>190</v>
      </c>
      <c r="B62" s="127" t="s">
        <v>84</v>
      </c>
      <c r="C62" s="128" t="s">
        <v>85</v>
      </c>
      <c r="D62" s="127" t="s">
        <v>29</v>
      </c>
      <c r="E62" s="129">
        <v>175</v>
      </c>
      <c r="F62" s="129">
        <v>100</v>
      </c>
      <c r="G62" s="129">
        <v>50</v>
      </c>
      <c r="H62" s="130">
        <f t="shared" si="2"/>
        <v>225</v>
      </c>
      <c r="I62" s="129"/>
      <c r="J62" s="146">
        <f>IFERROR(IF(AVERAGEIF(TableBOM[Item ID],A62,TableBOM[Per 1000 Units])=0,"-",ROUND((H62+I62)/(AVERAGEIF(TableBOM[Item ID],A62,TableBOM[Per 1000 Units])/1000),0)),"-")</f>
        <v>3750000</v>
      </c>
      <c r="K62" s="151"/>
      <c r="L62" s="132"/>
      <c r="M62" s="132"/>
      <c r="N62" s="132"/>
      <c r="O62" s="132"/>
      <c r="P62" s="132"/>
    </row>
    <row r="63" spans="1:16" ht="15" customHeight="1" x14ac:dyDescent="0.25">
      <c r="A63" s="127">
        <v>191</v>
      </c>
      <c r="B63" s="127" t="s">
        <v>84</v>
      </c>
      <c r="C63" s="128" t="s">
        <v>86</v>
      </c>
      <c r="D63" s="127" t="s">
        <v>29</v>
      </c>
      <c r="E63" s="129">
        <v>75</v>
      </c>
      <c r="F63" s="129">
        <v>100</v>
      </c>
      <c r="G63" s="129">
        <v>75</v>
      </c>
      <c r="H63" s="130">
        <f t="shared" si="2"/>
        <v>100</v>
      </c>
      <c r="I63" s="129">
        <v>0</v>
      </c>
      <c r="J63" s="146">
        <f>IFERROR(IF(AVERAGEIF(TableBOM[Item ID],A62,TableBOM[Per 1000 Units])=0,"-",ROUND((H63+I63)/(AVERAGEIF(TableBOM[Item ID],A62,TableBOM[Per 1000 Units])/1000),0)),"-")</f>
        <v>1666667</v>
      </c>
      <c r="K63" s="150"/>
      <c r="L63" s="131"/>
      <c r="M63" s="131"/>
      <c r="N63" s="131"/>
      <c r="O63" s="131"/>
      <c r="P63" s="131"/>
    </row>
    <row r="64" spans="1:16" ht="15" customHeight="1" x14ac:dyDescent="0.25">
      <c r="A64" s="127">
        <v>104</v>
      </c>
      <c r="B64" s="127" t="s">
        <v>87</v>
      </c>
      <c r="C64" s="128" t="s">
        <v>88</v>
      </c>
      <c r="D64" s="127" t="s">
        <v>15</v>
      </c>
      <c r="E64" s="129">
        <v>2</v>
      </c>
      <c r="F64" s="129">
        <v>0</v>
      </c>
      <c r="G64" s="129">
        <v>0</v>
      </c>
      <c r="H64" s="130">
        <f t="shared" si="2"/>
        <v>2</v>
      </c>
      <c r="I64" s="129"/>
      <c r="J64" s="146" t="str">
        <f>IFERROR(IF(AVERAGEIF(TableBOM[Item ID],A64,TableBOM[Per 1000 Units])=0,"-",ROUND((H64+I64)/(AVERAGEIF(TableBOM[Item ID],A64,TableBOM[Per 1000 Units])/1000),0)),"-")</f>
        <v>-</v>
      </c>
      <c r="K64" s="151"/>
      <c r="L64" s="132"/>
      <c r="M64" s="132"/>
      <c r="N64" s="132"/>
      <c r="O64" s="132"/>
      <c r="P64" s="132"/>
    </row>
    <row r="65" spans="1:16" ht="15" customHeight="1" x14ac:dyDescent="0.25">
      <c r="A65" s="127">
        <v>105</v>
      </c>
      <c r="B65" s="127" t="s">
        <v>87</v>
      </c>
      <c r="C65" s="128" t="s">
        <v>89</v>
      </c>
      <c r="D65" s="127" t="s">
        <v>15</v>
      </c>
      <c r="E65" s="129">
        <v>1</v>
      </c>
      <c r="F65" s="129">
        <v>0</v>
      </c>
      <c r="G65" s="129">
        <v>0</v>
      </c>
      <c r="H65" s="130">
        <f t="shared" si="2"/>
        <v>1</v>
      </c>
      <c r="I65" s="129"/>
      <c r="J65" s="146" t="str">
        <f>IFERROR(IF(AVERAGEIF(TableBOM[Item ID],A65,TableBOM[Per 1000 Units])=0,"-",ROUND((H65+I65)/(AVERAGEIF(TableBOM[Item ID],A65,TableBOM[Per 1000 Units])/1000),0)),"-")</f>
        <v>-</v>
      </c>
      <c r="K65" s="151"/>
      <c r="L65" s="132"/>
      <c r="M65" s="132"/>
      <c r="N65" s="132"/>
      <c r="O65" s="132"/>
      <c r="P65" s="132"/>
    </row>
    <row r="66" spans="1:16" ht="15" customHeight="1" x14ac:dyDescent="0.25">
      <c r="A66" s="127">
        <v>110</v>
      </c>
      <c r="B66" s="127" t="s">
        <v>87</v>
      </c>
      <c r="C66" s="128" t="s">
        <v>90</v>
      </c>
      <c r="D66" s="127" t="s">
        <v>15</v>
      </c>
      <c r="E66" s="129">
        <v>2</v>
      </c>
      <c r="F66" s="129">
        <v>0</v>
      </c>
      <c r="G66" s="129">
        <v>0</v>
      </c>
      <c r="H66" s="130">
        <f t="shared" si="2"/>
        <v>2</v>
      </c>
      <c r="I66" s="129"/>
      <c r="J66" s="146" t="str">
        <f>IFERROR(IF(AVERAGEIF(TableBOM[Item ID],A66,TableBOM[Per 1000 Units])=0,"-",ROUND((H66+I66)/(AVERAGEIF(TableBOM[Item ID],A66,TableBOM[Per 1000 Units])/1000),0)),"-")</f>
        <v>-</v>
      </c>
      <c r="K66" s="150"/>
      <c r="L66" s="131"/>
      <c r="M66" s="131"/>
      <c r="N66" s="131"/>
      <c r="O66" s="131"/>
      <c r="P66" s="131"/>
    </row>
    <row r="67" spans="1:16" ht="15" customHeight="1" x14ac:dyDescent="0.25">
      <c r="A67" s="257">
        <v>124</v>
      </c>
      <c r="B67" s="257" t="s">
        <v>87</v>
      </c>
      <c r="C67" s="258" t="s">
        <v>91</v>
      </c>
      <c r="D67" s="257" t="s">
        <v>15</v>
      </c>
      <c r="E67" s="259">
        <v>0</v>
      </c>
      <c r="F67" s="259">
        <v>0</v>
      </c>
      <c r="G67" s="259">
        <v>0</v>
      </c>
      <c r="H67" s="260">
        <f t="shared" si="2"/>
        <v>0</v>
      </c>
      <c r="I67" s="259"/>
      <c r="J67" s="261" t="str">
        <f>IFERROR(IF(AVERAGEIF(TableBOM[Item ID],A67,TableBOM[Per 1000 Units])=0,"-",ROUND((H67+I67)/(AVERAGEIF(TableBOM[Item ID],A67,TableBOM[Per 1000 Units])/1000),0)),"-")</f>
        <v>-</v>
      </c>
      <c r="K67" s="264" t="s">
        <v>27</v>
      </c>
      <c r="L67" s="132"/>
      <c r="M67" s="132"/>
      <c r="N67" s="132"/>
      <c r="O67" s="132"/>
      <c r="P67" s="132"/>
    </row>
    <row r="68" spans="1:16" ht="15" customHeight="1" x14ac:dyDescent="0.25">
      <c r="A68" s="127">
        <v>127</v>
      </c>
      <c r="B68" s="127" t="s">
        <v>87</v>
      </c>
      <c r="C68" s="128" t="s">
        <v>92</v>
      </c>
      <c r="D68" s="127" t="s">
        <v>15</v>
      </c>
      <c r="E68" s="129">
        <v>2</v>
      </c>
      <c r="F68" s="129">
        <v>0</v>
      </c>
      <c r="G68" s="129">
        <v>0</v>
      </c>
      <c r="H68" s="130">
        <f t="shared" si="2"/>
        <v>2</v>
      </c>
      <c r="I68" s="129"/>
      <c r="J68" s="146" t="str">
        <f>IFERROR(IF(AVERAGEIF(TableBOM[Item ID],A68,TableBOM[Per 1000 Units])=0,"-",ROUND((H68+I68)/(AVERAGEIF(TableBOM[Item ID],A68,TableBOM[Per 1000 Units])/1000),0)),"-")</f>
        <v>-</v>
      </c>
      <c r="K68" s="151"/>
      <c r="L68" s="132"/>
      <c r="M68" s="132"/>
      <c r="N68" s="132"/>
      <c r="O68" s="132"/>
      <c r="P68" s="132"/>
    </row>
    <row r="69" spans="1:16" ht="15" customHeight="1" x14ac:dyDescent="0.25">
      <c r="A69" s="127">
        <v>129</v>
      </c>
      <c r="B69" s="127" t="s">
        <v>87</v>
      </c>
      <c r="C69" s="128" t="s">
        <v>93</v>
      </c>
      <c r="D69" s="127" t="s">
        <v>15</v>
      </c>
      <c r="E69" s="129">
        <v>2</v>
      </c>
      <c r="F69" s="129">
        <v>0</v>
      </c>
      <c r="G69" s="129">
        <v>0</v>
      </c>
      <c r="H69" s="130">
        <f t="shared" si="2"/>
        <v>2</v>
      </c>
      <c r="I69" s="129"/>
      <c r="J69" s="146" t="str">
        <f>IFERROR(IF(AVERAGEIF(TableBOM[Item ID],A69,TableBOM[Per 1000 Units])=0,"-",ROUND((H69+I69)/(AVERAGEIF(TableBOM[Item ID],A69,TableBOM[Per 1000 Units])/1000),0)),"-")</f>
        <v>-</v>
      </c>
      <c r="K69" s="151"/>
      <c r="L69" s="132"/>
      <c r="M69" s="132"/>
      <c r="N69" s="132"/>
      <c r="O69" s="132"/>
      <c r="P69" s="132"/>
    </row>
    <row r="70" spans="1:16" ht="15" customHeight="1" x14ac:dyDescent="0.25">
      <c r="A70" s="127">
        <v>130</v>
      </c>
      <c r="B70" s="127" t="s">
        <v>87</v>
      </c>
      <c r="C70" s="128" t="s">
        <v>94</v>
      </c>
      <c r="D70" s="127" t="s">
        <v>15</v>
      </c>
      <c r="E70" s="129">
        <v>1</v>
      </c>
      <c r="F70" s="129">
        <v>0</v>
      </c>
      <c r="G70" s="129">
        <v>0</v>
      </c>
      <c r="H70" s="130">
        <f t="shared" si="2"/>
        <v>1</v>
      </c>
      <c r="I70" s="129"/>
      <c r="J70" s="146" t="str">
        <f>IFERROR(IF(AVERAGEIF(TableBOM[Item ID],A70,TableBOM[Per 1000 Units])=0,"-",ROUND((H70+I70)/(AVERAGEIF(TableBOM[Item ID],A70,TableBOM[Per 1000 Units])/1000),0)),"-")</f>
        <v>-</v>
      </c>
      <c r="K70" s="150"/>
      <c r="L70" s="131"/>
      <c r="M70" s="131"/>
      <c r="N70" s="131"/>
      <c r="O70" s="131"/>
      <c r="P70" s="131"/>
    </row>
    <row r="71" spans="1:16" ht="15" customHeight="1" x14ac:dyDescent="0.25">
      <c r="A71" s="234">
        <v>1928</v>
      </c>
      <c r="B71" s="234" t="s">
        <v>87</v>
      </c>
      <c r="C71" s="235" t="s">
        <v>95</v>
      </c>
      <c r="D71" s="234" t="s">
        <v>15</v>
      </c>
      <c r="E71" s="236">
        <v>0</v>
      </c>
      <c r="F71" s="236">
        <v>1</v>
      </c>
      <c r="G71" s="236">
        <v>1</v>
      </c>
      <c r="H71" s="237">
        <f t="shared" si="2"/>
        <v>0</v>
      </c>
      <c r="I71" s="236"/>
      <c r="J71" s="238" t="str">
        <f>IFERROR(IF(AVERAGEIF(TableBOM[Item ID],A71,TableBOM[Per 1000 Units])=0,"-",ROUND((H71+I71)/(AVERAGEIF(TableBOM[Item ID],A71,TableBOM[Per 1000 Units])/1000),0)),"-")</f>
        <v>-</v>
      </c>
      <c r="K71" s="219"/>
      <c r="L71" s="132"/>
      <c r="M71" s="132"/>
      <c r="N71" s="132"/>
      <c r="O71" s="132"/>
      <c r="P71" s="132"/>
    </row>
    <row r="72" spans="1:16" ht="15" customHeight="1" x14ac:dyDescent="0.25">
      <c r="A72" s="257">
        <v>2284</v>
      </c>
      <c r="B72" s="257" t="s">
        <v>87</v>
      </c>
      <c r="C72" s="258" t="s">
        <v>96</v>
      </c>
      <c r="D72" s="257" t="s">
        <v>15</v>
      </c>
      <c r="E72" s="259">
        <v>0</v>
      </c>
      <c r="F72" s="259">
        <v>0</v>
      </c>
      <c r="G72" s="259">
        <v>0</v>
      </c>
      <c r="H72" s="260">
        <f t="shared" si="2"/>
        <v>0</v>
      </c>
      <c r="I72" s="259"/>
      <c r="J72" s="261" t="str">
        <f>IFERROR(IF(AVERAGEIF(TableBOM[Item ID],A72,TableBOM[Per 1000 Units])=0,"-",ROUND((H72+I72)/(AVERAGEIF(TableBOM[Item ID],A72,TableBOM[Per 1000 Units])/1000),0)),"-")</f>
        <v>-</v>
      </c>
      <c r="K72" s="263" t="s">
        <v>27</v>
      </c>
      <c r="L72" s="131"/>
      <c r="M72" s="131"/>
      <c r="N72" s="131"/>
      <c r="O72" s="131"/>
      <c r="P72" s="131"/>
    </row>
    <row r="73" spans="1:16" ht="15" customHeight="1" x14ac:dyDescent="0.25">
      <c r="A73" s="257">
        <v>3642</v>
      </c>
      <c r="B73" s="257" t="s">
        <v>87</v>
      </c>
      <c r="C73" s="258" t="s">
        <v>97</v>
      </c>
      <c r="D73" s="257" t="s">
        <v>15</v>
      </c>
      <c r="E73" s="259">
        <v>0</v>
      </c>
      <c r="F73" s="259">
        <v>0</v>
      </c>
      <c r="G73" s="259">
        <v>0</v>
      </c>
      <c r="H73" s="260">
        <f t="shared" si="2"/>
        <v>0</v>
      </c>
      <c r="I73" s="259"/>
      <c r="J73" s="261" t="str">
        <f>IFERROR(IF(AVERAGEIF(TableBOM[Item ID],A73,TableBOM[Per 1000 Units])=0,"-",ROUND((H73+I73)/(AVERAGEIF(TableBOM[Item ID],A73,TableBOM[Per 1000 Units])/1000),0)),"-")</f>
        <v>-</v>
      </c>
      <c r="K73" s="264" t="s">
        <v>27</v>
      </c>
      <c r="L73" s="132"/>
      <c r="M73" s="132"/>
      <c r="N73" s="132"/>
      <c r="O73" s="132"/>
      <c r="P73" s="132"/>
    </row>
    <row r="74" spans="1:16" ht="15" customHeight="1" x14ac:dyDescent="0.25">
      <c r="A74" s="127">
        <v>3734</v>
      </c>
      <c r="B74" s="127" t="s">
        <v>87</v>
      </c>
      <c r="C74" s="128" t="s">
        <v>98</v>
      </c>
      <c r="D74" s="127" t="s">
        <v>15</v>
      </c>
      <c r="E74" s="129">
        <v>1</v>
      </c>
      <c r="F74" s="129">
        <v>0</v>
      </c>
      <c r="G74" s="129">
        <v>0</v>
      </c>
      <c r="H74" s="130">
        <f t="shared" si="2"/>
        <v>1</v>
      </c>
      <c r="I74" s="129"/>
      <c r="J74" s="146" t="str">
        <f>IFERROR(IF(AVERAGEIF(TableBOM[Item ID],A74,TableBOM[Per 1000 Units])=0,"-",ROUND((H74+I74)/(AVERAGEIF(TableBOM[Item ID],A74,TableBOM[Per 1000 Units])/1000),0)),"-")</f>
        <v>-</v>
      </c>
      <c r="K74" s="151"/>
      <c r="L74" s="132"/>
      <c r="M74" s="132"/>
      <c r="N74" s="132"/>
      <c r="O74" s="132"/>
      <c r="P74" s="132"/>
    </row>
    <row r="75" spans="1:16" ht="15" customHeight="1" x14ac:dyDescent="0.25">
      <c r="A75" s="127">
        <v>3736</v>
      </c>
      <c r="B75" s="127" t="s">
        <v>87</v>
      </c>
      <c r="C75" s="128" t="s">
        <v>99</v>
      </c>
      <c r="D75" s="127" t="s">
        <v>15</v>
      </c>
      <c r="E75" s="129">
        <v>3.6</v>
      </c>
      <c r="F75" s="129">
        <v>0</v>
      </c>
      <c r="G75" s="129">
        <v>1.2</v>
      </c>
      <c r="H75" s="130">
        <f t="shared" si="2"/>
        <v>2.4000000000000004</v>
      </c>
      <c r="I75" s="129"/>
      <c r="J75" s="146" t="str">
        <f>IFERROR(IF(AVERAGEIF(TableBOM[Item ID],A75,TableBOM[Per 1000 Units])=0,"-",ROUND((H75+I75)/(AVERAGEIF(TableBOM[Item ID],A75,TableBOM[Per 1000 Units])/1000),0)),"-")</f>
        <v>-</v>
      </c>
      <c r="K75" s="150"/>
      <c r="L75" s="131"/>
      <c r="M75" s="131"/>
      <c r="N75" s="131"/>
      <c r="O75" s="131"/>
      <c r="P75" s="131"/>
    </row>
    <row r="76" spans="1:16" ht="15" customHeight="1" x14ac:dyDescent="0.25">
      <c r="A76" s="127">
        <v>3754</v>
      </c>
      <c r="B76" s="127" t="s">
        <v>87</v>
      </c>
      <c r="C76" s="128" t="s">
        <v>100</v>
      </c>
      <c r="D76" s="127" t="s">
        <v>15</v>
      </c>
      <c r="E76" s="129">
        <v>3</v>
      </c>
      <c r="F76" s="129">
        <v>0</v>
      </c>
      <c r="G76" s="129">
        <v>0</v>
      </c>
      <c r="H76" s="130">
        <f t="shared" si="2"/>
        <v>3</v>
      </c>
      <c r="I76" s="129"/>
      <c r="J76" s="146">
        <f>IFERROR(IF(AVERAGEIF(TableBOM[Item ID],A76,TableBOM[Per 1000 Units])=0,"-",ROUND((H76+I76)/(AVERAGEIF(TableBOM[Item ID],A76,TableBOM[Per 1000 Units])/1000),0)),"-")</f>
        <v>120000</v>
      </c>
      <c r="K76" s="150"/>
      <c r="L76" s="131"/>
      <c r="M76" s="131"/>
      <c r="N76" s="131"/>
      <c r="O76" s="131"/>
      <c r="P76" s="131"/>
    </row>
    <row r="77" spans="1:16" ht="15" customHeight="1" x14ac:dyDescent="0.25">
      <c r="A77" s="257">
        <v>3755</v>
      </c>
      <c r="B77" s="257" t="s">
        <v>87</v>
      </c>
      <c r="C77" s="258" t="s">
        <v>101</v>
      </c>
      <c r="D77" s="257" t="s">
        <v>15</v>
      </c>
      <c r="E77" s="259">
        <v>0</v>
      </c>
      <c r="F77" s="259">
        <v>0</v>
      </c>
      <c r="G77" s="259">
        <v>0</v>
      </c>
      <c r="H77" s="260">
        <f t="shared" si="2"/>
        <v>0</v>
      </c>
      <c r="I77" s="259"/>
      <c r="J77" s="261" t="str">
        <f>IFERROR(IF(AVERAGEIF(TableBOM[Item ID],A77,TableBOM[Per 1000 Units])=0,"-",ROUND((H77+I77)/(AVERAGEIF(TableBOM[Item ID],A77,TableBOM[Per 1000 Units])/1000),0)),"-")</f>
        <v>-</v>
      </c>
      <c r="K77" s="263" t="s">
        <v>27</v>
      </c>
      <c r="L77" s="131"/>
      <c r="M77" s="131"/>
      <c r="N77" s="131"/>
      <c r="O77" s="131"/>
      <c r="P77" s="131"/>
    </row>
    <row r="78" spans="1:16" ht="15" customHeight="1" x14ac:dyDescent="0.25">
      <c r="A78" s="127">
        <v>3800</v>
      </c>
      <c r="B78" s="127" t="s">
        <v>87</v>
      </c>
      <c r="C78" s="128" t="s">
        <v>102</v>
      </c>
      <c r="D78" s="127" t="s">
        <v>15</v>
      </c>
      <c r="E78" s="129">
        <v>1</v>
      </c>
      <c r="F78" s="129">
        <v>0</v>
      </c>
      <c r="G78" s="129">
        <v>0</v>
      </c>
      <c r="H78" s="130">
        <f t="shared" ref="H78:H109" si="3">E78+F78-G78</f>
        <v>1</v>
      </c>
      <c r="I78" s="129"/>
      <c r="J78" s="146" t="str">
        <f>IFERROR(IF(AVERAGEIF(TableBOM[Item ID],A78,TableBOM[Per 1000 Units])=0,"-",ROUND((H78+I78)/(AVERAGEIF(TableBOM[Item ID],A78,TableBOM[Per 1000 Units])/1000),0)),"-")</f>
        <v>-</v>
      </c>
      <c r="K78" s="151"/>
      <c r="L78" s="132"/>
      <c r="M78" s="132"/>
      <c r="N78" s="132"/>
      <c r="O78" s="132"/>
      <c r="P78" s="132"/>
    </row>
    <row r="79" spans="1:16" ht="15" customHeight="1" x14ac:dyDescent="0.25">
      <c r="A79" s="137">
        <v>3857</v>
      </c>
      <c r="B79" s="137" t="s">
        <v>87</v>
      </c>
      <c r="C79" s="138" t="s">
        <v>103</v>
      </c>
      <c r="D79" s="137" t="s">
        <v>15</v>
      </c>
      <c r="E79" s="139">
        <v>0</v>
      </c>
      <c r="F79" s="139">
        <v>2</v>
      </c>
      <c r="G79" s="139">
        <v>1</v>
      </c>
      <c r="H79" s="140">
        <f t="shared" si="3"/>
        <v>1</v>
      </c>
      <c r="I79" s="139"/>
      <c r="J79" s="145">
        <f>IFERROR(IF(AVERAGEIF(TableBOM[Item ID],A79,TableBOM[Per 1000 Units])=0,"-",ROUND((H79+I79)/(AVERAGEIF(TableBOM[Item ID],A79,TableBOM[Per 1000 Units])/1000),0)),"-")</f>
        <v>3030</v>
      </c>
    </row>
    <row r="80" spans="1:16" ht="15" customHeight="1" x14ac:dyDescent="0.25">
      <c r="A80" s="137">
        <v>3858</v>
      </c>
      <c r="B80" s="137" t="s">
        <v>87</v>
      </c>
      <c r="C80" s="138" t="s">
        <v>104</v>
      </c>
      <c r="D80" s="137" t="s">
        <v>15</v>
      </c>
      <c r="E80" s="139">
        <v>0</v>
      </c>
      <c r="F80" s="139">
        <v>5</v>
      </c>
      <c r="G80" s="139">
        <v>4</v>
      </c>
      <c r="H80" s="140">
        <f t="shared" si="3"/>
        <v>1</v>
      </c>
      <c r="I80" s="139"/>
      <c r="J80" s="145" t="str">
        <f>IFERROR(IF(AVERAGEIF(TableBOM[Item ID],A80,TableBOM[Per 1000 Units])=0,"-",ROUND((H80+I80)/(AVERAGEIF(TableBOM[Item ID],A80,TableBOM[Per 1000 Units])/1000),0)),"-")</f>
        <v>-</v>
      </c>
    </row>
    <row r="81" spans="1:11" ht="15" customHeight="1" x14ac:dyDescent="0.25">
      <c r="A81" s="127">
        <v>3955</v>
      </c>
      <c r="B81" s="127" t="s">
        <v>87</v>
      </c>
      <c r="C81" s="128" t="s">
        <v>105</v>
      </c>
      <c r="D81" s="127" t="s">
        <v>15</v>
      </c>
      <c r="E81" s="129">
        <v>1</v>
      </c>
      <c r="F81" s="129">
        <v>0</v>
      </c>
      <c r="G81" s="129">
        <v>0</v>
      </c>
      <c r="H81" s="130">
        <f t="shared" si="3"/>
        <v>1</v>
      </c>
      <c r="I81" s="129"/>
      <c r="J81" s="146">
        <f>IFERROR(IF(AVERAGEIF(TableBOM[Item ID],A81,TableBOM[Per 1000 Units])=0,"-",ROUND((H81+I81)/(AVERAGEIF(TableBOM[Item ID],A81,TableBOM[Per 1000 Units])/1000),0)),"-")</f>
        <v>40000</v>
      </c>
    </row>
    <row r="82" spans="1:11" ht="15" customHeight="1" x14ac:dyDescent="0.25">
      <c r="A82" s="127">
        <v>3968</v>
      </c>
      <c r="B82" s="127" t="s">
        <v>87</v>
      </c>
      <c r="C82" s="128" t="s">
        <v>106</v>
      </c>
      <c r="D82" s="127" t="s">
        <v>15</v>
      </c>
      <c r="E82" s="129">
        <v>4</v>
      </c>
      <c r="F82" s="129">
        <v>0</v>
      </c>
      <c r="G82" s="129">
        <v>1</v>
      </c>
      <c r="H82" s="130">
        <f t="shared" si="3"/>
        <v>3</v>
      </c>
      <c r="I82" s="129"/>
      <c r="J82" s="146" t="str">
        <f>IFERROR(IF(AVERAGEIF(TableBOM[Item ID],A82,TableBOM[Per 1000 Units])=0,"-",ROUND((H82+I82)/(AVERAGEIF(TableBOM[Item ID],A82,TableBOM[Per 1000 Units])/1000),0)),"-")</f>
        <v>-</v>
      </c>
    </row>
    <row r="83" spans="1:11" ht="15" customHeight="1" x14ac:dyDescent="0.25">
      <c r="A83" s="127">
        <v>4216</v>
      </c>
      <c r="B83" s="127" t="s">
        <v>87</v>
      </c>
      <c r="C83" s="128" t="s">
        <v>107</v>
      </c>
      <c r="D83" s="127" t="s">
        <v>15</v>
      </c>
      <c r="E83" s="129">
        <v>1</v>
      </c>
      <c r="F83" s="129">
        <v>0</v>
      </c>
      <c r="G83" s="129">
        <v>0</v>
      </c>
      <c r="H83" s="130">
        <f t="shared" si="3"/>
        <v>1</v>
      </c>
      <c r="I83" s="129"/>
      <c r="J83" s="146" t="str">
        <f>IFERROR(IF(AVERAGEIF(TableBOM[Item ID],A83,TableBOM[Per 1000 Units])=0,"-",ROUND((H83+I83)/(AVERAGEIF(TableBOM[Item ID],A83,TableBOM[Per 1000 Units])/1000),0)),"-")</f>
        <v>-</v>
      </c>
    </row>
    <row r="84" spans="1:11" ht="15" customHeight="1" x14ac:dyDescent="0.25">
      <c r="A84" s="127">
        <v>4306</v>
      </c>
      <c r="B84" s="127" t="s">
        <v>87</v>
      </c>
      <c r="C84" s="128" t="s">
        <v>108</v>
      </c>
      <c r="D84" s="127" t="s">
        <v>15</v>
      </c>
      <c r="E84" s="129">
        <v>3</v>
      </c>
      <c r="F84" s="129">
        <v>0</v>
      </c>
      <c r="G84" s="129">
        <v>0</v>
      </c>
      <c r="H84" s="130">
        <f t="shared" si="3"/>
        <v>3</v>
      </c>
      <c r="I84" s="129"/>
      <c r="J84" s="146" t="str">
        <f>IFERROR(IF(AVERAGEIF(TableBOM[Item ID],A84,TableBOM[Per 1000 Units])=0,"-",ROUND((H84+I84)/(AVERAGEIF(TableBOM[Item ID],A84,TableBOM[Per 1000 Units])/1000),0)),"-")</f>
        <v>-</v>
      </c>
    </row>
    <row r="85" spans="1:11" ht="15" customHeight="1" x14ac:dyDescent="0.25">
      <c r="A85" s="127">
        <v>5107</v>
      </c>
      <c r="B85" s="127" t="s">
        <v>87</v>
      </c>
      <c r="C85" s="128" t="s">
        <v>109</v>
      </c>
      <c r="D85" s="127" t="s">
        <v>15</v>
      </c>
      <c r="E85" s="129">
        <v>4</v>
      </c>
      <c r="F85" s="129">
        <v>0</v>
      </c>
      <c r="G85" s="129">
        <v>3</v>
      </c>
      <c r="H85" s="130">
        <f t="shared" si="3"/>
        <v>1</v>
      </c>
      <c r="I85" s="129"/>
      <c r="J85" s="146" t="str">
        <f>IFERROR(IF(AVERAGEIF(TableBOM[Item ID],A85,TableBOM[Per 1000 Units])=0,"-",ROUND((H85+I85)/(AVERAGEIF(TableBOM[Item ID],A85,TableBOM[Per 1000 Units])/1000),0)),"-")</f>
        <v>-</v>
      </c>
    </row>
    <row r="86" spans="1:11" ht="15" customHeight="1" x14ac:dyDescent="0.25">
      <c r="A86" s="257">
        <v>6038</v>
      </c>
      <c r="B86" s="257" t="s">
        <v>87</v>
      </c>
      <c r="C86" s="258" t="s">
        <v>110</v>
      </c>
      <c r="D86" s="257" t="s">
        <v>15</v>
      </c>
      <c r="E86" s="259">
        <v>0</v>
      </c>
      <c r="F86" s="259">
        <v>0</v>
      </c>
      <c r="G86" s="259">
        <v>0</v>
      </c>
      <c r="H86" s="260">
        <f t="shared" si="3"/>
        <v>0</v>
      </c>
      <c r="I86" s="259"/>
      <c r="J86" s="261" t="str">
        <f>IFERROR(IF(AVERAGEIF(TableBOM[Item ID],A86,TableBOM[Per 1000 Units])=0,"-",ROUND((H86+I86)/(AVERAGEIF(TableBOM[Item ID],A86,TableBOM[Per 1000 Units])/1000),0)),"-")</f>
        <v>-</v>
      </c>
      <c r="K86" s="262" t="s">
        <v>27</v>
      </c>
    </row>
    <row r="87" spans="1:11" ht="15" customHeight="1" x14ac:dyDescent="0.25">
      <c r="A87" s="127">
        <v>6040</v>
      </c>
      <c r="B87" s="127" t="s">
        <v>87</v>
      </c>
      <c r="C87" s="128" t="s">
        <v>111</v>
      </c>
      <c r="D87" s="127" t="s">
        <v>15</v>
      </c>
      <c r="E87" s="129">
        <v>2</v>
      </c>
      <c r="F87" s="129">
        <v>0</v>
      </c>
      <c r="G87" s="129">
        <v>1</v>
      </c>
      <c r="H87" s="130">
        <f t="shared" si="3"/>
        <v>1</v>
      </c>
      <c r="I87" s="129"/>
      <c r="J87" s="146" t="str">
        <f>IFERROR(IF(AVERAGEIF(TableBOM[Item ID],A87,TableBOM[Per 1000 Units])=0,"-",ROUND((H87+I87)/(AVERAGEIF(TableBOM[Item ID],A87,TableBOM[Per 1000 Units])/1000),0)),"-")</f>
        <v>-</v>
      </c>
    </row>
    <row r="88" spans="1:11" ht="15" customHeight="1" x14ac:dyDescent="0.25">
      <c r="A88" s="257">
        <v>6935</v>
      </c>
      <c r="B88" s="257" t="s">
        <v>87</v>
      </c>
      <c r="C88" s="258" t="s">
        <v>112</v>
      </c>
      <c r="D88" s="257" t="s">
        <v>15</v>
      </c>
      <c r="E88" s="259">
        <v>0</v>
      </c>
      <c r="F88" s="259">
        <v>0</v>
      </c>
      <c r="G88" s="259">
        <v>0</v>
      </c>
      <c r="H88" s="260">
        <f t="shared" si="3"/>
        <v>0</v>
      </c>
      <c r="I88" s="259"/>
      <c r="J88" s="261">
        <f>IFERROR(IF(AVERAGEIF(TableBOM[Item ID],A88,TableBOM[Per 1000 Units])=0,"-",ROUND((H88+I88)/(AVERAGEIF(TableBOM[Item ID],A88,TableBOM[Per 1000 Units])/1000),0)),"-")</f>
        <v>0</v>
      </c>
      <c r="K88" s="262" t="s">
        <v>27</v>
      </c>
    </row>
    <row r="89" spans="1:11" ht="15" customHeight="1" x14ac:dyDescent="0.25">
      <c r="A89" s="257">
        <v>7094</v>
      </c>
      <c r="B89" s="257" t="s">
        <v>87</v>
      </c>
      <c r="C89" s="258" t="s">
        <v>113</v>
      </c>
      <c r="D89" s="257" t="s">
        <v>15</v>
      </c>
      <c r="E89" s="259">
        <v>0</v>
      </c>
      <c r="F89" s="259">
        <v>0</v>
      </c>
      <c r="G89" s="259">
        <v>0</v>
      </c>
      <c r="H89" s="260">
        <f t="shared" si="3"/>
        <v>0</v>
      </c>
      <c r="I89" s="259"/>
      <c r="J89" s="261" t="str">
        <f>IFERROR(IF(AVERAGEIF(TableBOM[Item ID],A89,TableBOM[Per 1000 Units])=0,"-",ROUND((H89+I89)/(AVERAGEIF(TableBOM[Item ID],A89,TableBOM[Per 1000 Units])/1000),0)),"-")</f>
        <v>-</v>
      </c>
      <c r="K89" s="262" t="s">
        <v>27</v>
      </c>
    </row>
    <row r="90" spans="1:11" ht="15" customHeight="1" x14ac:dyDescent="0.25">
      <c r="A90" s="257">
        <v>7095</v>
      </c>
      <c r="B90" s="257" t="s">
        <v>87</v>
      </c>
      <c r="C90" s="258" t="s">
        <v>114</v>
      </c>
      <c r="D90" s="257" t="s">
        <v>15</v>
      </c>
      <c r="E90" s="259">
        <v>0</v>
      </c>
      <c r="F90" s="259">
        <v>0</v>
      </c>
      <c r="G90" s="259">
        <v>0</v>
      </c>
      <c r="H90" s="260">
        <f t="shared" si="3"/>
        <v>0</v>
      </c>
      <c r="I90" s="259"/>
      <c r="J90" s="261" t="str">
        <f>IFERROR(IF(AVERAGEIF(TableBOM[Item ID],A90,TableBOM[Per 1000 Units])=0,"-",ROUND((H90+I90)/(AVERAGEIF(TableBOM[Item ID],A90,TableBOM[Per 1000 Units])/1000),0)),"-")</f>
        <v>-</v>
      </c>
      <c r="K90" s="262" t="s">
        <v>27</v>
      </c>
    </row>
    <row r="91" spans="1:11" ht="15" customHeight="1" x14ac:dyDescent="0.25">
      <c r="A91" s="257">
        <v>7152</v>
      </c>
      <c r="B91" s="257" t="s">
        <v>87</v>
      </c>
      <c r="C91" s="258" t="s">
        <v>115</v>
      </c>
      <c r="D91" s="257" t="s">
        <v>15</v>
      </c>
      <c r="E91" s="259">
        <v>0</v>
      </c>
      <c r="F91" s="259">
        <v>0</v>
      </c>
      <c r="G91" s="259">
        <v>0</v>
      </c>
      <c r="H91" s="260">
        <f t="shared" si="3"/>
        <v>0</v>
      </c>
      <c r="I91" s="259"/>
      <c r="J91" s="261" t="str">
        <f>IFERROR(IF(AVERAGEIF(TableBOM[Item ID],A91,TableBOM[Per 1000 Units])=0,"-",ROUND((H91+I91)/(AVERAGEIF(TableBOM[Item ID],A91,TableBOM[Per 1000 Units])/1000),0)),"-")</f>
        <v>-</v>
      </c>
      <c r="K91" s="265" t="s">
        <v>27</v>
      </c>
    </row>
    <row r="92" spans="1:11" ht="15" customHeight="1" x14ac:dyDescent="0.25">
      <c r="A92" s="25">
        <v>7398</v>
      </c>
      <c r="B92" s="25" t="s">
        <v>87</v>
      </c>
      <c r="C92" s="26" t="s">
        <v>116</v>
      </c>
      <c r="D92" s="25" t="s">
        <v>15</v>
      </c>
      <c r="E92" s="27">
        <v>2</v>
      </c>
      <c r="F92" s="27">
        <v>0</v>
      </c>
      <c r="G92" s="27">
        <v>1</v>
      </c>
      <c r="H92" s="28">
        <f t="shared" si="3"/>
        <v>1</v>
      </c>
      <c r="I92" s="27"/>
      <c r="J92" s="142" t="str">
        <f>IFERROR(IF(AVERAGEIF(TableBOM[Item ID],A92,TableBOM[Per 1000 Units])=0,"-",ROUND((H92+I92)/(AVERAGEIF(TableBOM[Item ID],A92,TableBOM[Per 1000 Units])/1000),0)),"-")</f>
        <v>-</v>
      </c>
    </row>
    <row r="93" spans="1:11" ht="15" customHeight="1" x14ac:dyDescent="0.25"/>
    <row r="94" spans="1:11" ht="18.75" customHeight="1" x14ac:dyDescent="0.35">
      <c r="A94" s="57" t="s">
        <v>117</v>
      </c>
      <c r="B94" s="58"/>
      <c r="C94" s="58"/>
      <c r="D94" s="58"/>
      <c r="E94" s="58"/>
      <c r="F94" s="58"/>
      <c r="G94" s="58"/>
      <c r="H94" s="58"/>
      <c r="I94" s="58"/>
      <c r="J94" s="147" t="str">
        <f>IFERROR(IF(AVERAGEIF(TableBOM[Item ID],A94,TableBOM[Per 1000 Units])=0,"-",ROUND((H94+I94)/(AVERAGEIF(TableBOM[Item ID],A94,TableBOM[Per 1000 Units])/1000),0)),"-")</f>
        <v>-</v>
      </c>
    </row>
    <row r="95" spans="1:11" ht="36" customHeight="1" x14ac:dyDescent="0.25">
      <c r="A95" s="12" t="s">
        <v>2</v>
      </c>
      <c r="B95" s="12" t="s">
        <v>3</v>
      </c>
      <c r="C95" s="12" t="s">
        <v>4</v>
      </c>
      <c r="D95" s="12" t="s">
        <v>5</v>
      </c>
      <c r="E95" s="12" t="s">
        <v>6</v>
      </c>
      <c r="F95" s="12" t="s">
        <v>7</v>
      </c>
      <c r="G95" s="12" t="s">
        <v>8</v>
      </c>
      <c r="H95" s="12" t="s">
        <v>9</v>
      </c>
      <c r="I95" s="12" t="s">
        <v>10</v>
      </c>
      <c r="J95" s="144" t="s">
        <v>24</v>
      </c>
    </row>
    <row r="96" spans="1:11" ht="15" customHeight="1" x14ac:dyDescent="0.25">
      <c r="A96" s="25">
        <v>2680</v>
      </c>
      <c r="B96" s="25" t="s">
        <v>118</v>
      </c>
      <c r="C96" s="26" t="s">
        <v>119</v>
      </c>
      <c r="D96" s="25" t="s">
        <v>15</v>
      </c>
      <c r="E96" s="27">
        <v>1550</v>
      </c>
      <c r="F96" s="27">
        <v>2650</v>
      </c>
      <c r="G96" s="27">
        <v>2700</v>
      </c>
      <c r="H96" s="28">
        <f t="shared" ref="H96:H111" si="4">E96+F96-G96</f>
        <v>1500</v>
      </c>
      <c r="I96" s="27">
        <v>0</v>
      </c>
      <c r="J96" s="142">
        <f>IFERROR(IF(AVERAGEIF(TableBOM[Item ID],A96,TableBOM[Per 1000 Units])=0,"-",ROUND((H96+I96)/(AVERAGEIF(TableBOM[Item ID],A96,TableBOM[Per 1000 Units])/1000),0)),"-")</f>
        <v>64613</v>
      </c>
    </row>
    <row r="97" spans="1:11" ht="15" customHeight="1" x14ac:dyDescent="0.25">
      <c r="A97" s="25">
        <v>3492</v>
      </c>
      <c r="B97" s="25" t="s">
        <v>120</v>
      </c>
      <c r="C97" s="26" t="s">
        <v>121</v>
      </c>
      <c r="D97" s="25" t="s">
        <v>15</v>
      </c>
      <c r="E97" s="27">
        <v>75</v>
      </c>
      <c r="F97" s="27">
        <v>0</v>
      </c>
      <c r="G97" s="27">
        <v>0</v>
      </c>
      <c r="H97" s="28">
        <f t="shared" si="4"/>
        <v>75</v>
      </c>
      <c r="I97" s="27">
        <v>0</v>
      </c>
      <c r="J97" s="142" t="str">
        <f>IFERROR(IF(AVERAGEIF(TableBOM[Item ID],A97,TableBOM[Per 1000 Units])=0,"-",ROUND((H97+I97)/(AVERAGEIF(TableBOM[Item ID],A97,TableBOM[Per 1000 Units])/1000),0)),"-")</f>
        <v>-</v>
      </c>
    </row>
    <row r="98" spans="1:11" ht="15" customHeight="1" x14ac:dyDescent="0.25">
      <c r="A98" s="25">
        <v>4002</v>
      </c>
      <c r="B98" s="25" t="s">
        <v>120</v>
      </c>
      <c r="C98" s="26" t="s">
        <v>122</v>
      </c>
      <c r="D98" s="25" t="s">
        <v>15</v>
      </c>
      <c r="E98" s="27">
        <v>125</v>
      </c>
      <c r="F98" s="27">
        <v>0</v>
      </c>
      <c r="G98" s="27">
        <v>0</v>
      </c>
      <c r="H98" s="28">
        <f t="shared" si="4"/>
        <v>125</v>
      </c>
      <c r="I98" s="27">
        <v>0</v>
      </c>
      <c r="J98" s="142">
        <f>IFERROR(IF(AVERAGEIF(TableBOM[Item ID],A98,TableBOM[Per 1000 Units])=0,"-",ROUND((H98+I98)/(AVERAGEIF(TableBOM[Item ID],A98,TableBOM[Per 1000 Units])/1000),0)),"-")</f>
        <v>116279</v>
      </c>
    </row>
    <row r="99" spans="1:11" s="158" customFormat="1" ht="15" hidden="1" customHeight="1" x14ac:dyDescent="0.25">
      <c r="A99" s="257">
        <v>4070</v>
      </c>
      <c r="B99" s="257" t="s">
        <v>120</v>
      </c>
      <c r="C99" s="258" t="s">
        <v>123</v>
      </c>
      <c r="D99" s="257" t="s">
        <v>15</v>
      </c>
      <c r="E99" s="259">
        <v>0</v>
      </c>
      <c r="F99" s="259">
        <v>0</v>
      </c>
      <c r="G99" s="259">
        <v>0</v>
      </c>
      <c r="H99" s="260">
        <f t="shared" si="4"/>
        <v>0</v>
      </c>
      <c r="I99" s="259">
        <v>0</v>
      </c>
      <c r="J99" s="261" t="str">
        <f>IFERROR(IF(AVERAGEIF(TableBOM[Item ID],A99,TableBOM[Per 1000 Units])=0,"-",ROUND((H99+I99)/(AVERAGEIF(TableBOM[Item ID],A99,TableBOM[Per 1000 Units])/1000),0)),"-")</f>
        <v>-</v>
      </c>
      <c r="K99" s="262" t="s">
        <v>27</v>
      </c>
    </row>
    <row r="100" spans="1:11" ht="15" customHeight="1" x14ac:dyDescent="0.25">
      <c r="A100" s="25">
        <v>4310</v>
      </c>
      <c r="B100" s="25" t="s">
        <v>120</v>
      </c>
      <c r="C100" s="26" t="s">
        <v>124</v>
      </c>
      <c r="D100" s="25" t="s">
        <v>15</v>
      </c>
      <c r="E100" s="27">
        <v>36.229999999999997</v>
      </c>
      <c r="F100" s="27">
        <v>0</v>
      </c>
      <c r="G100" s="27">
        <v>0</v>
      </c>
      <c r="H100" s="28">
        <f t="shared" si="4"/>
        <v>36.229999999999997</v>
      </c>
      <c r="I100" s="27">
        <v>0</v>
      </c>
      <c r="J100" s="142" t="str">
        <f>IFERROR(IF(AVERAGEIF(TableBOM[Item ID],A100,TableBOM[Per 1000 Units])=0,"-",ROUND((H100+I100)/(AVERAGEIF(TableBOM[Item ID],A100,TableBOM[Per 1000 Units])/1000),0)),"-")</f>
        <v>-</v>
      </c>
    </row>
    <row r="101" spans="1:11" ht="15" customHeight="1" x14ac:dyDescent="0.25">
      <c r="A101" s="25">
        <v>5625</v>
      </c>
      <c r="B101" s="25" t="s">
        <v>120</v>
      </c>
      <c r="C101" s="26" t="s">
        <v>125</v>
      </c>
      <c r="D101" s="25" t="s">
        <v>15</v>
      </c>
      <c r="E101" s="27">
        <v>48.5</v>
      </c>
      <c r="F101" s="27">
        <v>0</v>
      </c>
      <c r="G101" s="27">
        <v>0</v>
      </c>
      <c r="H101" s="28">
        <f t="shared" si="4"/>
        <v>48.5</v>
      </c>
      <c r="I101" s="27">
        <v>0</v>
      </c>
      <c r="J101" s="142" t="str">
        <f>IFERROR(IF(AVERAGEIF(TableBOM[Item ID],A101,TableBOM[Per 1000 Units])=0,"-",ROUND((H101+I101)/(AVERAGEIF(TableBOM[Item ID],A101,TableBOM[Per 1000 Units])/1000),0)),"-")</f>
        <v>-</v>
      </c>
    </row>
    <row r="102" spans="1:11" s="158" customFormat="1" ht="15" customHeight="1" x14ac:dyDescent="0.25">
      <c r="A102" s="152">
        <v>5816</v>
      </c>
      <c r="B102" s="152" t="s">
        <v>120</v>
      </c>
      <c r="C102" s="153" t="s">
        <v>126</v>
      </c>
      <c r="D102" s="152" t="s">
        <v>15</v>
      </c>
      <c r="E102" s="154">
        <v>25</v>
      </c>
      <c r="F102" s="154">
        <v>0</v>
      </c>
      <c r="G102" s="154">
        <v>0</v>
      </c>
      <c r="H102" s="155">
        <f t="shared" si="4"/>
        <v>25</v>
      </c>
      <c r="I102" s="154">
        <v>0</v>
      </c>
      <c r="J102" s="156">
        <f>IFERROR(IF(AVERAGEIF(TableBOM[Item ID],A102,TableBOM[Per 1000 Units])=0,"-",ROUND((H102+I102)/(AVERAGEIF(TableBOM[Item ID],A102,TableBOM[Per 1000 Units])/1000),0)),"-")</f>
        <v>23256</v>
      </c>
      <c r="K102" s="157"/>
    </row>
    <row r="103" spans="1:11" ht="15" customHeight="1" x14ac:dyDescent="0.25">
      <c r="A103" s="25">
        <v>6135</v>
      </c>
      <c r="B103" s="25" t="s">
        <v>120</v>
      </c>
      <c r="C103" s="26" t="s">
        <v>127</v>
      </c>
      <c r="D103" s="25" t="s">
        <v>15</v>
      </c>
      <c r="E103" s="27">
        <v>200</v>
      </c>
      <c r="F103" s="27">
        <v>0</v>
      </c>
      <c r="G103" s="27">
        <v>0</v>
      </c>
      <c r="H103" s="28">
        <f t="shared" si="4"/>
        <v>200</v>
      </c>
      <c r="I103" s="27">
        <v>0</v>
      </c>
      <c r="J103" s="142" t="str">
        <f>IFERROR(IF(AVERAGEIF(TableBOM[Item ID],A103,TableBOM[Per 1000 Units])=0,"-",ROUND((H103+I103)/(AVERAGEIF(TableBOM[Item ID],A103,TableBOM[Per 1000 Units])/1000),0)),"-")</f>
        <v>-</v>
      </c>
    </row>
    <row r="104" spans="1:11" ht="15" customHeight="1" x14ac:dyDescent="0.25">
      <c r="A104" s="25">
        <v>7133</v>
      </c>
      <c r="B104" s="25" t="s">
        <v>120</v>
      </c>
      <c r="C104" s="26" t="s">
        <v>128</v>
      </c>
      <c r="D104" s="25" t="s">
        <v>15</v>
      </c>
      <c r="E104" s="27">
        <v>20</v>
      </c>
      <c r="F104" s="27">
        <v>0</v>
      </c>
      <c r="G104" s="27">
        <v>0</v>
      </c>
      <c r="H104" s="28">
        <f t="shared" si="4"/>
        <v>20</v>
      </c>
      <c r="I104" s="27">
        <v>0</v>
      </c>
      <c r="J104" s="142" t="str">
        <f>IFERROR(IF(AVERAGEIF(TableBOM[Item ID],A104,TableBOM[Per 1000 Units])=0,"-",ROUND((H104+I104)/(AVERAGEIF(TableBOM[Item ID],A104,TableBOM[Per 1000 Units])/1000),0)),"-")</f>
        <v>-</v>
      </c>
    </row>
    <row r="105" spans="1:11" ht="15" customHeight="1" x14ac:dyDescent="0.25">
      <c r="A105" s="25">
        <v>7412</v>
      </c>
      <c r="B105" s="25" t="s">
        <v>120</v>
      </c>
      <c r="C105" s="26" t="s">
        <v>129</v>
      </c>
      <c r="D105" s="25" t="s">
        <v>15</v>
      </c>
      <c r="E105" s="27">
        <v>25</v>
      </c>
      <c r="F105" s="27">
        <v>0</v>
      </c>
      <c r="G105" s="27">
        <v>0</v>
      </c>
      <c r="H105" s="28">
        <f t="shared" si="4"/>
        <v>25</v>
      </c>
      <c r="I105" s="27">
        <v>0</v>
      </c>
      <c r="J105" s="142">
        <f>IFERROR(IF(AVERAGEIF(TableBOM[Item ID],A105,TableBOM[Per 1000 Units])=0,"-",ROUND((H105+I105)/(AVERAGEIF(TableBOM[Item ID],A105,TableBOM[Per 1000 Units])/1000),0)),"-")</f>
        <v>38760</v>
      </c>
    </row>
    <row r="106" spans="1:11" ht="15" customHeight="1" x14ac:dyDescent="0.25">
      <c r="A106" s="25">
        <v>2267</v>
      </c>
      <c r="B106" s="25" t="s">
        <v>130</v>
      </c>
      <c r="C106" s="26" t="s">
        <v>131</v>
      </c>
      <c r="D106" s="25" t="s">
        <v>51</v>
      </c>
      <c r="E106" s="27">
        <v>50</v>
      </c>
      <c r="F106" s="27">
        <v>157</v>
      </c>
      <c r="G106" s="27">
        <v>25</v>
      </c>
      <c r="H106" s="28">
        <f t="shared" si="4"/>
        <v>182</v>
      </c>
      <c r="I106" s="27"/>
      <c r="J106" s="142">
        <f>IFERROR(IF(AVERAGEIF(TableBOM[Item ID],A106,TableBOM[Per 1000 Units])=0,"-",ROUND((H106+I106)/(AVERAGEIF(TableBOM[Item ID],A106,TableBOM[Per 1000 Units])/1000),0)),"-")</f>
        <v>20420</v>
      </c>
    </row>
    <row r="107" spans="1:11" ht="15" customHeight="1" x14ac:dyDescent="0.25">
      <c r="A107" s="25">
        <v>3006</v>
      </c>
      <c r="B107" s="25" t="s">
        <v>130</v>
      </c>
      <c r="C107" s="26" t="s">
        <v>132</v>
      </c>
      <c r="D107" s="25" t="s">
        <v>51</v>
      </c>
      <c r="E107" s="27">
        <v>150</v>
      </c>
      <c r="F107" s="27">
        <v>82</v>
      </c>
      <c r="G107" s="27">
        <v>0</v>
      </c>
      <c r="H107" s="28">
        <f t="shared" si="4"/>
        <v>232</v>
      </c>
      <c r="I107" s="27"/>
      <c r="J107" s="142">
        <f>IFERROR(IF(AVERAGEIF(TableBOM[Item ID],A107,TableBOM[Per 1000 Units])=0,"-",ROUND((H107+I107)/(AVERAGEIF(TableBOM[Item ID],A107,TableBOM[Per 1000 Units])/1000),0)),"-")</f>
        <v>23386</v>
      </c>
    </row>
    <row r="108" spans="1:11" ht="15" customHeight="1" x14ac:dyDescent="0.25">
      <c r="A108" s="25">
        <v>3752</v>
      </c>
      <c r="B108" s="25" t="s">
        <v>133</v>
      </c>
      <c r="C108" s="26" t="s">
        <v>134</v>
      </c>
      <c r="D108" s="25" t="s">
        <v>15</v>
      </c>
      <c r="E108" s="27">
        <v>56</v>
      </c>
      <c r="F108" s="27">
        <v>0</v>
      </c>
      <c r="G108" s="27">
        <v>0</v>
      </c>
      <c r="H108" s="28">
        <f t="shared" si="4"/>
        <v>56</v>
      </c>
      <c r="I108" s="27"/>
      <c r="J108" s="142" t="str">
        <f>IFERROR(IF(AVERAGEIF(TableBOM[Item ID],A108,TableBOM[Per 1000 Units])=0,"-",ROUND((H108+I108)/(AVERAGEIF(TableBOM[Item ID],A108,TableBOM[Per 1000 Units])/1000),0)),"-")</f>
        <v>-</v>
      </c>
    </row>
    <row r="109" spans="1:11" ht="15" customHeight="1" x14ac:dyDescent="0.25">
      <c r="A109" s="25">
        <v>4248</v>
      </c>
      <c r="B109" s="25" t="s">
        <v>133</v>
      </c>
      <c r="C109" s="26" t="s">
        <v>135</v>
      </c>
      <c r="D109" s="25" t="s">
        <v>15</v>
      </c>
      <c r="E109" s="27">
        <v>250</v>
      </c>
      <c r="F109" s="27">
        <v>0</v>
      </c>
      <c r="G109" s="27">
        <v>0</v>
      </c>
      <c r="H109" s="28">
        <f t="shared" si="4"/>
        <v>250</v>
      </c>
      <c r="I109" s="27"/>
      <c r="J109" s="142" t="str">
        <f>IFERROR(IF(AVERAGEIF(TableBOM[Item ID],A109,TableBOM[Per 1000 Units])=0,"-",ROUND((H109+I109)/(AVERAGEIF(TableBOM[Item ID],A109,TableBOM[Per 1000 Units])/1000),0)),"-")</f>
        <v>-</v>
      </c>
    </row>
    <row r="110" spans="1:11" ht="15" customHeight="1" x14ac:dyDescent="0.25">
      <c r="A110" s="25">
        <v>6042</v>
      </c>
      <c r="B110" s="25" t="s">
        <v>133</v>
      </c>
      <c r="C110" s="26" t="s">
        <v>136</v>
      </c>
      <c r="D110" s="25" t="s">
        <v>15</v>
      </c>
      <c r="E110" s="27">
        <v>25</v>
      </c>
      <c r="F110" s="27">
        <v>0</v>
      </c>
      <c r="G110" s="27">
        <v>0</v>
      </c>
      <c r="H110" s="28">
        <f t="shared" si="4"/>
        <v>25</v>
      </c>
      <c r="I110" s="27"/>
      <c r="J110" s="142" t="str">
        <f>IFERROR(IF(AVERAGEIF(TableBOM[Item ID],A110,TableBOM[Per 1000 Units])=0,"-",ROUND((H110+I110)/(AVERAGEIF(TableBOM[Item ID],A110,TableBOM[Per 1000 Units])/1000),0)),"-")</f>
        <v>-</v>
      </c>
    </row>
    <row r="111" spans="1:11" ht="15" customHeight="1" x14ac:dyDescent="0.25">
      <c r="A111" s="257">
        <v>3043</v>
      </c>
      <c r="B111" s="257" t="s">
        <v>137</v>
      </c>
      <c r="C111" s="258" t="s">
        <v>138</v>
      </c>
      <c r="D111" s="257" t="s">
        <v>139</v>
      </c>
      <c r="E111" s="259">
        <v>0</v>
      </c>
      <c r="F111" s="259">
        <v>0</v>
      </c>
      <c r="G111" s="259">
        <v>0</v>
      </c>
      <c r="H111" s="260">
        <f t="shared" si="4"/>
        <v>0</v>
      </c>
      <c r="I111" s="259"/>
      <c r="J111" s="261">
        <f>IFERROR(IF(AVERAGEIF(TableBOM[Item ID],A111,TableBOM[Per 1000 Units])=0,"-",ROUND((H111+I111)/(AVERAGEIF(TableBOM[Item ID],A111,TableBOM[Per 1000 Units])/1000),0)),"-")</f>
        <v>0</v>
      </c>
      <c r="K111" s="265" t="s">
        <v>27</v>
      </c>
    </row>
  </sheetData>
  <mergeCells count="1">
    <mergeCell ref="A1:H1"/>
  </mergeCells>
  <conditionalFormatting sqref="J3:J11 J13:J82">
    <cfRule type="containsText" dxfId="2" priority="2" operator="containsText" text="BOM Missing">
      <formula>NOT(ISERROR(SEARCH("BOM Missing",J3)))</formula>
    </cfRule>
  </conditionalFormatting>
  <conditionalFormatting sqref="K3:K12">
    <cfRule type="cellIs" dxfId="1" priority="3" operator="equal">
      <formula>"CRITICAL - ORDER NOW"</formula>
    </cfRule>
    <cfRule type="cellIs" dxfId="0" priority="4" operator="equal">
      <formula>"Healthy"</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7"/>
  <sheetViews>
    <sheetView zoomScaleNormal="100" workbookViewId="0">
      <pane ySplit="2" topLeftCell="A3" activePane="bottomLeft" state="frozen"/>
      <selection activeCell="D1" sqref="D1"/>
      <selection pane="bottomLeft" activeCell="A44" sqref="A44"/>
    </sheetView>
  </sheetViews>
  <sheetFormatPr defaultColWidth="8.7109375" defaultRowHeight="15" x14ac:dyDescent="0.25"/>
  <cols>
    <col min="1" max="1" width="10" customWidth="1"/>
    <col min="2" max="2" width="36.85546875" customWidth="1"/>
    <col min="3" max="3" width="37.7109375" customWidth="1"/>
    <col min="4" max="4" width="40" customWidth="1"/>
    <col min="5" max="5" width="10" customWidth="1"/>
    <col min="6" max="6" width="11.42578125" customWidth="1"/>
    <col min="7" max="7" width="8" customWidth="1"/>
    <col min="8" max="19" width="12" customWidth="1"/>
  </cols>
  <sheetData>
    <row r="1" spans="1:19" ht="20.25" customHeight="1" x14ac:dyDescent="0.25">
      <c r="A1" s="59" t="s">
        <v>367</v>
      </c>
      <c r="B1" s="59"/>
      <c r="C1" s="59"/>
      <c r="D1" s="59"/>
      <c r="E1" s="59"/>
      <c r="F1" s="59"/>
      <c r="G1" s="59"/>
      <c r="H1" s="59"/>
      <c r="I1" s="59"/>
      <c r="J1" s="59"/>
      <c r="K1" s="59"/>
      <c r="L1" s="59"/>
      <c r="M1" s="59"/>
      <c r="N1" s="59"/>
      <c r="O1" s="59"/>
      <c r="P1" s="59"/>
      <c r="Q1" s="59"/>
      <c r="R1" s="59"/>
      <c r="S1" s="59"/>
    </row>
    <row r="2" spans="1:19" ht="15" customHeight="1" x14ac:dyDescent="0.25">
      <c r="A2" s="29" t="s">
        <v>251</v>
      </c>
      <c r="B2" s="29" t="s">
        <v>324</v>
      </c>
      <c r="C2" s="29" t="s">
        <v>157</v>
      </c>
      <c r="D2" s="29" t="s">
        <v>158</v>
      </c>
      <c r="E2" s="29" t="s">
        <v>368</v>
      </c>
      <c r="F2" s="29" t="s">
        <v>369</v>
      </c>
      <c r="G2" s="29" t="s">
        <v>45</v>
      </c>
      <c r="H2" s="29" t="s">
        <v>370</v>
      </c>
      <c r="I2" s="60" t="s">
        <v>371</v>
      </c>
      <c r="J2" s="60" t="s">
        <v>372</v>
      </c>
      <c r="K2" s="60" t="s">
        <v>373</v>
      </c>
      <c r="L2" s="60" t="s">
        <v>374</v>
      </c>
      <c r="M2" s="60" t="s">
        <v>375</v>
      </c>
      <c r="N2" s="60" t="s">
        <v>376</v>
      </c>
      <c r="O2" s="60" t="s">
        <v>377</v>
      </c>
      <c r="P2" s="60" t="s">
        <v>378</v>
      </c>
      <c r="Q2" s="60" t="s">
        <v>379</v>
      </c>
      <c r="R2" s="60" t="s">
        <v>379</v>
      </c>
      <c r="S2" s="60" t="s">
        <v>379</v>
      </c>
    </row>
    <row r="3" spans="1:19" ht="15" customHeight="1" x14ac:dyDescent="0.25">
      <c r="A3" s="44">
        <v>9004</v>
      </c>
      <c r="B3" s="44">
        <v>904</v>
      </c>
      <c r="C3" s="44" t="s">
        <v>195</v>
      </c>
      <c r="D3" s="45" t="s">
        <v>196</v>
      </c>
      <c r="E3" s="44">
        <v>12.5</v>
      </c>
      <c r="F3" s="44">
        <v>0</v>
      </c>
      <c r="G3" s="44" t="s">
        <v>380</v>
      </c>
      <c r="H3" s="44">
        <v>0</v>
      </c>
      <c r="I3" s="61"/>
      <c r="J3" s="48" t="str">
        <f>IF(I3="","",IFERROR(SUMPRODUCT((TableBOM[Product ID]=A3)*(TableBOM[Material Category]="SLUG")*TableBOM[Per 1000 Units]*(1+TableBOM[Scrap %]))*I3/1000,0))</f>
        <v/>
      </c>
      <c r="K3" s="48" t="str">
        <f>IF(I3="","",IFERROR(SUMPRODUCT((TableBOM[Product ID]=A3)*(TableBOM[Material Category]="BASE COAT")*TableBOM[Per 1000 Units]*(1+TableBOM[Scrap %]))*I3/1000,0))</f>
        <v/>
      </c>
      <c r="L3" s="48" t="str">
        <f>IF(I3="","",IFERROR(SUMPRODUCT((TableBOM[Product ID]=A3)*(TableBOM[Material Category]="LACQUER")*TableBOM[Per 1000 Units]*(1+TableBOM[Scrap %]))*I3/1000,0))</f>
        <v/>
      </c>
      <c r="M3" s="48" t="str">
        <f>IF(I3="","",IFERROR(SUMPRODUCT((TableBOM[Product ID]=A3)*(TableBOM[Material Category]="LATEX")*TableBOM[Per 1000 Units]*(1+TableBOM[Scrap %]))*I3/1000,0))</f>
        <v/>
      </c>
      <c r="N3" s="48" t="str">
        <f>IF(I3="","",IFERROR(SUMPRODUCT((TableBOM[Product ID]=A3)*(TableBOM[Material Category]="ZINC")*TableBOM[Per 1000 Units]*(1+TableBOM[Scrap %]))*I3/1000,0))</f>
        <v/>
      </c>
      <c r="O3" s="48" t="str">
        <f>IF(I3="","",IFERROR(SUMPRODUCT((TableBOM[Product ID]=A3)*(TableBOM[Material Category]="CAP")*TableBOM[Per 1000 Units]*(1+TableBOM[Scrap %]))*I3/1000,0))</f>
        <v/>
      </c>
      <c r="P3" s="48" t="str">
        <f>IF(I3="","",IFERROR(SUMPRODUCT((TableBOM[Product ID]=A3)*(TableBOM[Material Category]="CARTON")*TableBOM[Per 1000 Units]*(1+TableBOM[Scrap %]))*I3/1000,0))</f>
        <v/>
      </c>
      <c r="Q3" s="48"/>
      <c r="R3" s="48"/>
      <c r="S3" s="48"/>
    </row>
    <row r="4" spans="1:19" ht="15" customHeight="1" x14ac:dyDescent="0.25">
      <c r="A4" s="44">
        <v>6561</v>
      </c>
      <c r="B4" s="44">
        <v>190</v>
      </c>
      <c r="C4" s="44" t="s">
        <v>197</v>
      </c>
      <c r="D4" s="45" t="s">
        <v>198</v>
      </c>
      <c r="E4" s="44">
        <v>16</v>
      </c>
      <c r="F4" s="44">
        <v>100</v>
      </c>
      <c r="G4" s="44" t="s">
        <v>380</v>
      </c>
      <c r="H4" s="44">
        <v>588</v>
      </c>
      <c r="I4" s="61"/>
      <c r="J4" s="48" t="str">
        <f>IF(I4="","",IFERROR(SUMPRODUCT((TableBOM[Product ID]=A4)*(TableBOM[Material Category]="SLUG")*TableBOM[Per 1000 Units]*(1+TableBOM[Scrap %]))*I4/1000,0))</f>
        <v/>
      </c>
      <c r="K4" s="48" t="str">
        <f>IF(I4="","",IFERROR(SUMPRODUCT((TableBOM[Product ID]=A4)*(TableBOM[Material Category]="BASE COAT")*TableBOM[Per 1000 Units]*(1+TableBOM[Scrap %]))*I4/1000,0))</f>
        <v/>
      </c>
      <c r="L4" s="48" t="str">
        <f>IF(I4="","",IFERROR(SUMPRODUCT((TableBOM[Product ID]=A4)*(TableBOM[Material Category]="LACQUER")*TableBOM[Per 1000 Units]*(1+TableBOM[Scrap %]))*I4/1000,0))</f>
        <v/>
      </c>
      <c r="M4" s="48" t="str">
        <f>IF(I4="","",IFERROR(SUMPRODUCT((TableBOM[Product ID]=A4)*(TableBOM[Material Category]="LATEX")*TableBOM[Per 1000 Units]*(1+TableBOM[Scrap %]))*I4/1000,0))</f>
        <v/>
      </c>
      <c r="N4" s="48" t="str">
        <f>IF(I4="","",IFERROR(SUMPRODUCT((TableBOM[Product ID]=A4)*(TableBOM[Material Category]="ZINC")*TableBOM[Per 1000 Units]*(1+TableBOM[Scrap %]))*I4/1000,0))</f>
        <v/>
      </c>
      <c r="O4" s="48" t="str">
        <f>IF(I4="","",IFERROR(SUMPRODUCT((TableBOM[Product ID]=A4)*(TableBOM[Material Category]="CAP")*TableBOM[Per 1000 Units]*(1+TableBOM[Scrap %]))*I4/1000,0))</f>
        <v/>
      </c>
      <c r="P4" s="48" t="str">
        <f>IF(I4="","",IFERROR(SUMPRODUCT((TableBOM[Product ID]=A4)*(TableBOM[Material Category]="CARTON")*TableBOM[Per 1000 Units]*(1+TableBOM[Scrap %]))*I4/1000,0))</f>
        <v/>
      </c>
      <c r="Q4" s="48"/>
      <c r="R4" s="48"/>
      <c r="S4" s="48"/>
    </row>
    <row r="5" spans="1:19" ht="15" customHeight="1" x14ac:dyDescent="0.25">
      <c r="A5" s="44">
        <v>1085</v>
      </c>
      <c r="B5" s="44">
        <v>187</v>
      </c>
      <c r="C5" s="44" t="s">
        <v>197</v>
      </c>
      <c r="D5" s="45" t="s">
        <v>201</v>
      </c>
      <c r="E5" s="44">
        <v>19</v>
      </c>
      <c r="F5" s="44">
        <v>106</v>
      </c>
      <c r="G5" s="44" t="s">
        <v>380</v>
      </c>
      <c r="H5" s="44">
        <v>588</v>
      </c>
      <c r="I5" s="61"/>
      <c r="J5" s="48" t="str">
        <f>IF(I5="","",IFERROR(SUMPRODUCT((TableBOM[Product ID]=A5)*(TableBOM[Material Category]="SLUG")*TableBOM[Per 1000 Units]*(1+TableBOM[Scrap %]))*I5/1000,0))</f>
        <v/>
      </c>
      <c r="K5" s="48" t="str">
        <f>IF(I5="","",IFERROR(SUMPRODUCT((TableBOM[Product ID]=A5)*(TableBOM[Material Category]="BASE COAT")*TableBOM[Per 1000 Units]*(1+TableBOM[Scrap %]))*I5/1000,0))</f>
        <v/>
      </c>
      <c r="L5" s="48" t="str">
        <f>IF(I5="","",IFERROR(SUMPRODUCT((TableBOM[Product ID]=A5)*(TableBOM[Material Category]="LACQUER")*TableBOM[Per 1000 Units]*(1+TableBOM[Scrap %]))*I5/1000,0))</f>
        <v/>
      </c>
      <c r="M5" s="48" t="str">
        <f>IF(I5="","",IFERROR(SUMPRODUCT((TableBOM[Product ID]=A5)*(TableBOM[Material Category]="LATEX")*TableBOM[Per 1000 Units]*(1+TableBOM[Scrap %]))*I5/1000,0))</f>
        <v/>
      </c>
      <c r="N5" s="48" t="str">
        <f>IF(I5="","",IFERROR(SUMPRODUCT((TableBOM[Product ID]=A5)*(TableBOM[Material Category]="ZINC")*TableBOM[Per 1000 Units]*(1+TableBOM[Scrap %]))*I5/1000,0))</f>
        <v/>
      </c>
      <c r="O5" s="48" t="str">
        <f>IF(I5="","",IFERROR(SUMPRODUCT((TableBOM[Product ID]=A5)*(TableBOM[Material Category]="CAP")*TableBOM[Per 1000 Units]*(1+TableBOM[Scrap %]))*I5/1000,0))</f>
        <v/>
      </c>
      <c r="P5" s="48" t="str">
        <f>IF(I5="","",IFERROR(SUMPRODUCT((TableBOM[Product ID]=A5)*(TableBOM[Material Category]="CARTON")*TableBOM[Per 1000 Units]*(1+TableBOM[Scrap %]))*I5/1000,0))</f>
        <v/>
      </c>
      <c r="Q5" s="48"/>
      <c r="R5" s="48"/>
      <c r="S5" s="48"/>
    </row>
    <row r="6" spans="1:19" ht="15" customHeight="1" x14ac:dyDescent="0.25">
      <c r="A6" s="44">
        <v>6559</v>
      </c>
      <c r="B6" s="44">
        <v>188</v>
      </c>
      <c r="C6" s="44" t="s">
        <v>197</v>
      </c>
      <c r="D6" s="45" t="s">
        <v>336</v>
      </c>
      <c r="E6" s="44">
        <v>19</v>
      </c>
      <c r="F6" s="44">
        <v>106</v>
      </c>
      <c r="G6" s="44" t="s">
        <v>380</v>
      </c>
      <c r="H6" s="44">
        <v>588</v>
      </c>
      <c r="I6" s="61"/>
      <c r="J6" s="48" t="str">
        <f>IF(I6="","",IFERROR(SUMPRODUCT((TableBOM[Product ID]=A6)*(TableBOM[Material Category]="SLUG")*TableBOM[Per 1000 Units]*(1+TableBOM[Scrap %]))*I6/1000,0))</f>
        <v/>
      </c>
      <c r="K6" s="48" t="str">
        <f>IF(I6="","",IFERROR(SUMPRODUCT((TableBOM[Product ID]=A6)*(TableBOM[Material Category]="BASE COAT")*TableBOM[Per 1000 Units]*(1+TableBOM[Scrap %]))*I6/1000,0))</f>
        <v/>
      </c>
      <c r="L6" s="48" t="str">
        <f>IF(I6="","",IFERROR(SUMPRODUCT((TableBOM[Product ID]=A6)*(TableBOM[Material Category]="LACQUER")*TableBOM[Per 1000 Units]*(1+TableBOM[Scrap %]))*I6/1000,0))</f>
        <v/>
      </c>
      <c r="M6" s="48" t="str">
        <f>IF(I6="","",IFERROR(SUMPRODUCT((TableBOM[Product ID]=A6)*(TableBOM[Material Category]="LATEX")*TableBOM[Per 1000 Units]*(1+TableBOM[Scrap %]))*I6/1000,0))</f>
        <v/>
      </c>
      <c r="N6" s="48" t="str">
        <f>IF(I6="","",IFERROR(SUMPRODUCT((TableBOM[Product ID]=A6)*(TableBOM[Material Category]="ZINC")*TableBOM[Per 1000 Units]*(1+TableBOM[Scrap %]))*I6/1000,0))</f>
        <v/>
      </c>
      <c r="O6" s="48" t="str">
        <f>IF(I6="","",IFERROR(SUMPRODUCT((TableBOM[Product ID]=A6)*(TableBOM[Material Category]="CAP")*TableBOM[Per 1000 Units]*(1+TableBOM[Scrap %]))*I6/1000,0))</f>
        <v/>
      </c>
      <c r="P6" s="48" t="str">
        <f>IF(I6="","",IFERROR(SUMPRODUCT((TableBOM[Product ID]=A6)*(TableBOM[Material Category]="CARTON")*TableBOM[Per 1000 Units]*(1+TableBOM[Scrap %]))*I6/1000,0))</f>
        <v/>
      </c>
      <c r="Q6" s="48"/>
      <c r="R6" s="48"/>
      <c r="S6" s="48"/>
    </row>
    <row r="7" spans="1:19" ht="15" customHeight="1" x14ac:dyDescent="0.25">
      <c r="A7" s="44">
        <v>6560</v>
      </c>
      <c r="B7" s="44">
        <v>189</v>
      </c>
      <c r="C7" s="44" t="s">
        <v>197</v>
      </c>
      <c r="D7" s="45" t="s">
        <v>202</v>
      </c>
      <c r="E7" s="44">
        <v>19</v>
      </c>
      <c r="F7" s="44">
        <v>106</v>
      </c>
      <c r="G7" s="44" t="s">
        <v>380</v>
      </c>
      <c r="H7" s="44">
        <v>588</v>
      </c>
      <c r="I7" s="61"/>
      <c r="J7" s="48" t="str">
        <f>IF(I7="","",IFERROR(SUMPRODUCT((TableBOM[Product ID]=A7)*(TableBOM[Material Category]="SLUG")*TableBOM[Per 1000 Units]*(1+TableBOM[Scrap %]))*I7/1000,0))</f>
        <v/>
      </c>
      <c r="K7" s="48" t="str">
        <f>IF(I7="","",IFERROR(SUMPRODUCT((TableBOM[Product ID]=A7)*(TableBOM[Material Category]="BASE COAT")*TableBOM[Per 1000 Units]*(1+TableBOM[Scrap %]))*I7/1000,0))</f>
        <v/>
      </c>
      <c r="L7" s="48" t="str">
        <f>IF(I7="","",IFERROR(SUMPRODUCT((TableBOM[Product ID]=A7)*(TableBOM[Material Category]="LACQUER")*TableBOM[Per 1000 Units]*(1+TableBOM[Scrap %]))*I7/1000,0))</f>
        <v/>
      </c>
      <c r="M7" s="48" t="str">
        <f>IF(I7="","",IFERROR(SUMPRODUCT((TableBOM[Product ID]=A7)*(TableBOM[Material Category]="LATEX")*TableBOM[Per 1000 Units]*(1+TableBOM[Scrap %]))*I7/1000,0))</f>
        <v/>
      </c>
      <c r="N7" s="48" t="str">
        <f>IF(I7="","",IFERROR(SUMPRODUCT((TableBOM[Product ID]=A7)*(TableBOM[Material Category]="ZINC")*TableBOM[Per 1000 Units]*(1+TableBOM[Scrap %]))*I7/1000,0))</f>
        <v/>
      </c>
      <c r="O7" s="48" t="str">
        <f>IF(I7="","",IFERROR(SUMPRODUCT((TableBOM[Product ID]=A7)*(TableBOM[Material Category]="CAP")*TableBOM[Per 1000 Units]*(1+TableBOM[Scrap %]))*I7/1000,0))</f>
        <v/>
      </c>
      <c r="P7" s="48" t="str">
        <f>IF(I7="","",IFERROR(SUMPRODUCT((TableBOM[Product ID]=A7)*(TableBOM[Material Category]="CARTON")*TableBOM[Per 1000 Units]*(1+TableBOM[Scrap %]))*I7/1000,0))</f>
        <v/>
      </c>
      <c r="Q7" s="48"/>
      <c r="R7" s="48"/>
      <c r="S7" s="48"/>
    </row>
    <row r="8" spans="1:19" ht="15" customHeight="1" x14ac:dyDescent="0.25">
      <c r="A8" s="44">
        <v>6623</v>
      </c>
      <c r="B8" s="44">
        <v>193</v>
      </c>
      <c r="C8" s="44" t="s">
        <v>168</v>
      </c>
      <c r="D8" s="45" t="s">
        <v>200</v>
      </c>
      <c r="E8" s="44">
        <v>19</v>
      </c>
      <c r="F8" s="44">
        <v>120</v>
      </c>
      <c r="G8" s="44" t="s">
        <v>380</v>
      </c>
      <c r="H8" s="44">
        <v>510</v>
      </c>
      <c r="J8" t="str">
        <f>IF(I8="","",IFERROR(SUMPRODUCT((TableBOM[Product ID]=A8)*(TableBOM[Material Category]="SLUG")*TableBOM[Per 1000 Units]*(1+TableBOM[Scrap %]))*I8/1000,0))</f>
        <v/>
      </c>
      <c r="K8" t="str">
        <f>IF(I8="","",IFERROR(SUMPRODUCT((TableBOM[Product ID]=A8)*(TableBOM[Material Category]="BASE COAT")*TableBOM[Per 1000 Units]*(1+TableBOM[Scrap %]))*I8/1000,0))</f>
        <v/>
      </c>
      <c r="L8" t="str">
        <f>IF(I8="","",IFERROR(SUMPRODUCT((TableBOM[Product ID]=A8)*(TableBOM[Material Category]="LACQUER")*TableBOM[Per 1000 Units]*(1+TableBOM[Scrap %]))*I8/1000,0))</f>
        <v/>
      </c>
      <c r="M8" t="str">
        <f>IF(I8="","",IFERROR(SUMPRODUCT((TableBOM[Product ID]=A8)*(TableBOM[Material Category]="LATEX")*TableBOM[Per 1000 Units]*(1+TableBOM[Scrap %]))*I8/1000,0))</f>
        <v/>
      </c>
      <c r="N8" t="str">
        <f>IF(I8="","",IFERROR(SUMPRODUCT((TableBOM[Product ID]=A8)*(TableBOM[Material Category]="ZINC")*TableBOM[Per 1000 Units]*(1+TableBOM[Scrap %]))*I8/1000,0))</f>
        <v/>
      </c>
      <c r="O8" t="str">
        <f>IF(I8="","",IFERROR(SUMPRODUCT((TableBOM[Product ID]=A8)*(TableBOM[Material Category]="CAP")*TableBOM[Per 1000 Units]*(1+TableBOM[Scrap %]))*I8/1000,0))</f>
        <v/>
      </c>
      <c r="P8" t="str">
        <f>IF(I8="","",IFERROR(SUMPRODUCT((TableBOM[Product ID]=A8)*(TableBOM[Material Category]="CARTON")*TableBOM[Per 1000 Units]*(1+TableBOM[Scrap %]))*I8/1000,0))</f>
        <v/>
      </c>
    </row>
    <row r="9" spans="1:19" ht="15" customHeight="1" x14ac:dyDescent="0.25">
      <c r="A9" s="44">
        <v>6624</v>
      </c>
      <c r="B9" s="44">
        <v>192</v>
      </c>
      <c r="C9" s="44" t="s">
        <v>168</v>
      </c>
      <c r="D9" s="45" t="s">
        <v>199</v>
      </c>
      <c r="E9" s="44">
        <v>19</v>
      </c>
      <c r="F9" s="44">
        <v>120</v>
      </c>
      <c r="G9" s="44" t="s">
        <v>380</v>
      </c>
      <c r="H9" s="44">
        <v>510</v>
      </c>
      <c r="I9" s="61"/>
      <c r="J9" s="48" t="str">
        <f>IF(I9="","",IFERROR(SUMPRODUCT((TableBOM[Product ID]=A9)*(TableBOM[Material Category]="SLUG")*TableBOM[Per 1000 Units]*(1+TableBOM[Scrap %]))*I9/1000,0))</f>
        <v/>
      </c>
      <c r="K9" s="48" t="str">
        <f>IF(I9="","",IFERROR(SUMPRODUCT((TableBOM[Product ID]=A9)*(TableBOM[Material Category]="BASE COAT")*TableBOM[Per 1000 Units]*(1+TableBOM[Scrap %]))*I9/1000,0))</f>
        <v/>
      </c>
      <c r="L9" s="48" t="str">
        <f>IF(I9="","",IFERROR(SUMPRODUCT((TableBOM[Product ID]=A9)*(TableBOM[Material Category]="LACQUER")*TableBOM[Per 1000 Units]*(1+TableBOM[Scrap %]))*I9/1000,0))</f>
        <v/>
      </c>
      <c r="M9" s="48" t="str">
        <f>IF(I9="","",IFERROR(SUMPRODUCT((TableBOM[Product ID]=A9)*(TableBOM[Material Category]="LATEX")*TableBOM[Per 1000 Units]*(1+TableBOM[Scrap %]))*I9/1000,0))</f>
        <v/>
      </c>
      <c r="N9" s="48" t="str">
        <f>IF(I9="","",IFERROR(SUMPRODUCT((TableBOM[Product ID]=A9)*(TableBOM[Material Category]="ZINC")*TableBOM[Per 1000 Units]*(1+TableBOM[Scrap %]))*I9/1000,0))</f>
        <v/>
      </c>
      <c r="O9" s="48" t="str">
        <f>IF(I9="","",IFERROR(SUMPRODUCT((TableBOM[Product ID]=A9)*(TableBOM[Material Category]="CAP")*TableBOM[Per 1000 Units]*(1+TableBOM[Scrap %]))*I9/1000,0))</f>
        <v/>
      </c>
      <c r="P9" s="48" t="str">
        <f>IF(I9="","",IFERROR(SUMPRODUCT((TableBOM[Product ID]=A9)*(TableBOM[Material Category]="CARTON")*TableBOM[Per 1000 Units]*(1+TableBOM[Scrap %]))*I9/1000,0))</f>
        <v/>
      </c>
      <c r="Q9" s="48"/>
      <c r="R9" s="48"/>
      <c r="S9" s="48"/>
    </row>
    <row r="10" spans="1:19" ht="15" customHeight="1" x14ac:dyDescent="0.25">
      <c r="A10" s="44">
        <v>6077</v>
      </c>
      <c r="B10" s="44">
        <v>138</v>
      </c>
      <c r="C10" s="44" t="s">
        <v>175</v>
      </c>
      <c r="D10" s="45" t="s">
        <v>204</v>
      </c>
      <c r="E10" s="44">
        <v>20.5</v>
      </c>
      <c r="F10" s="44">
        <v>120</v>
      </c>
      <c r="G10" s="44" t="s">
        <v>381</v>
      </c>
      <c r="H10" s="44">
        <v>200</v>
      </c>
      <c r="I10" s="61"/>
      <c r="J10" s="48" t="str">
        <f>IF(I10="","",IFERROR(SUMPRODUCT((TableBOM[Product ID]=A10)*(TableBOM[Material Category]="SLUG")*TableBOM[Per 1000 Units]*(1+TableBOM[Scrap %]))*I10/1000,0))</f>
        <v/>
      </c>
      <c r="K10" s="48" t="str">
        <f>IF(I10="","",IFERROR(SUMPRODUCT((TableBOM[Product ID]=A10)*(TableBOM[Material Category]="BASE COAT")*TableBOM[Per 1000 Units]*(1+TableBOM[Scrap %]))*I10/1000,0))</f>
        <v/>
      </c>
      <c r="L10" s="48" t="str">
        <f>IF(I10="","",IFERROR(SUMPRODUCT((TableBOM[Product ID]=A10)*(TableBOM[Material Category]="LACQUER")*TableBOM[Per 1000 Units]*(1+TableBOM[Scrap %]))*I10/1000,0))</f>
        <v/>
      </c>
      <c r="M10" s="48" t="str">
        <f>IF(I10="","",IFERROR(SUMPRODUCT((TableBOM[Product ID]=A10)*(TableBOM[Material Category]="LATEX")*TableBOM[Per 1000 Units]*(1+TableBOM[Scrap %]))*I10/1000,0))</f>
        <v/>
      </c>
      <c r="N10" s="48" t="str">
        <f>IF(I10="","",IFERROR(SUMPRODUCT((TableBOM[Product ID]=A10)*(TableBOM[Material Category]="ZINC")*TableBOM[Per 1000 Units]*(1+TableBOM[Scrap %]))*I10/1000,0))</f>
        <v/>
      </c>
      <c r="O10" s="48" t="str">
        <f>IF(I10="","",IFERROR(SUMPRODUCT((TableBOM[Product ID]=A10)*(TableBOM[Material Category]="CAP")*TableBOM[Per 1000 Units]*(1+TableBOM[Scrap %]))*I10/1000,0))</f>
        <v/>
      </c>
      <c r="P10" s="48" t="str">
        <f>IF(I10="","",IFERROR(SUMPRODUCT((TableBOM[Product ID]=A10)*(TableBOM[Material Category]="CARTON")*TableBOM[Per 1000 Units]*(1+TableBOM[Scrap %]))*I10/1000,0))</f>
        <v/>
      </c>
      <c r="Q10" s="48"/>
      <c r="R10" s="48"/>
      <c r="S10" s="48"/>
    </row>
    <row r="11" spans="1:19" ht="15" customHeight="1" x14ac:dyDescent="0.25">
      <c r="A11" s="44">
        <v>5698</v>
      </c>
      <c r="B11" s="44">
        <v>22</v>
      </c>
      <c r="C11" s="44" t="s">
        <v>168</v>
      </c>
      <c r="D11" s="45" t="s">
        <v>206</v>
      </c>
      <c r="E11" s="44">
        <v>20.5</v>
      </c>
      <c r="F11" s="44">
        <v>120</v>
      </c>
      <c r="G11" s="44" t="s">
        <v>380</v>
      </c>
      <c r="H11" s="44">
        <v>336</v>
      </c>
      <c r="I11" s="61"/>
      <c r="J11" s="48" t="str">
        <f>IF(I11="","",IFERROR(SUMPRODUCT((TableBOM[Product ID]=A11)*(TableBOM[Material Category]="SLUG")*TableBOM[Per 1000 Units]*(1+TableBOM[Scrap %]))*I11/1000,0))</f>
        <v/>
      </c>
      <c r="K11" s="48" t="str">
        <f>IF(I11="","",IFERROR(SUMPRODUCT((TableBOM[Product ID]=A11)*(TableBOM[Material Category]="BASE COAT")*TableBOM[Per 1000 Units]*(1+TableBOM[Scrap %]))*I11/1000,0))</f>
        <v/>
      </c>
      <c r="L11" s="48" t="str">
        <f>IF(I11="","",IFERROR(SUMPRODUCT((TableBOM[Product ID]=A11)*(TableBOM[Material Category]="LACQUER")*TableBOM[Per 1000 Units]*(1+TableBOM[Scrap %]))*I11/1000,0))</f>
        <v/>
      </c>
      <c r="M11" s="48" t="str">
        <f>IF(I11="","",IFERROR(SUMPRODUCT((TableBOM[Product ID]=A11)*(TableBOM[Material Category]="LATEX")*TableBOM[Per 1000 Units]*(1+TableBOM[Scrap %]))*I11/1000,0))</f>
        <v/>
      </c>
      <c r="N11" s="48" t="str">
        <f>IF(I11="","",IFERROR(SUMPRODUCT((TableBOM[Product ID]=A11)*(TableBOM[Material Category]="ZINC")*TableBOM[Per 1000 Units]*(1+TableBOM[Scrap %]))*I11/1000,0))</f>
        <v/>
      </c>
      <c r="O11" s="48" t="str">
        <f>IF(I11="","",IFERROR(SUMPRODUCT((TableBOM[Product ID]=A11)*(TableBOM[Material Category]="CAP")*TableBOM[Per 1000 Units]*(1+TableBOM[Scrap %]))*I11/1000,0))</f>
        <v/>
      </c>
      <c r="P11" s="48" t="str">
        <f>IF(I11="","",IFERROR(SUMPRODUCT((TableBOM[Product ID]=A11)*(TableBOM[Material Category]="CARTON")*TableBOM[Per 1000 Units]*(1+TableBOM[Scrap %]))*I11/1000,0))</f>
        <v/>
      </c>
      <c r="Q11" s="48"/>
      <c r="R11" s="48"/>
      <c r="S11" s="48"/>
    </row>
    <row r="12" spans="1:19" ht="15" customHeight="1" x14ac:dyDescent="0.25">
      <c r="A12" s="44">
        <v>5699</v>
      </c>
      <c r="B12" s="44">
        <v>21</v>
      </c>
      <c r="C12" s="44" t="s">
        <v>168</v>
      </c>
      <c r="D12" s="45" t="s">
        <v>203</v>
      </c>
      <c r="E12" s="44">
        <v>20.5</v>
      </c>
      <c r="F12" s="44">
        <v>120</v>
      </c>
      <c r="G12" s="44" t="s">
        <v>380</v>
      </c>
      <c r="H12" s="44">
        <v>336</v>
      </c>
      <c r="I12" s="61"/>
      <c r="J12" s="48" t="str">
        <f>IF(I12="","",IFERROR(SUMPRODUCT((TableBOM[Product ID]=A12)*(TableBOM[Material Category]="SLUG")*TableBOM[Per 1000 Units]*(1+TableBOM[Scrap %]))*I12/1000,0))</f>
        <v/>
      </c>
      <c r="K12" s="48" t="str">
        <f>IF(I12="","",IFERROR(SUMPRODUCT((TableBOM[Product ID]=A12)*(TableBOM[Material Category]="BASE COAT")*TableBOM[Per 1000 Units]*(1+TableBOM[Scrap %]))*I12/1000,0))</f>
        <v/>
      </c>
      <c r="L12" s="48" t="str">
        <f>IF(I12="","",IFERROR(SUMPRODUCT((TableBOM[Product ID]=A12)*(TableBOM[Material Category]="LACQUER")*TableBOM[Per 1000 Units]*(1+TableBOM[Scrap %]))*I12/1000,0))</f>
        <v/>
      </c>
      <c r="M12" s="48" t="str">
        <f>IF(I12="","",IFERROR(SUMPRODUCT((TableBOM[Product ID]=A12)*(TableBOM[Material Category]="LATEX")*TableBOM[Per 1000 Units]*(1+TableBOM[Scrap %]))*I12/1000,0))</f>
        <v/>
      </c>
      <c r="N12" s="48" t="str">
        <f>IF(I12="","",IFERROR(SUMPRODUCT((TableBOM[Product ID]=A12)*(TableBOM[Material Category]="ZINC")*TableBOM[Per 1000 Units]*(1+TableBOM[Scrap %]))*I12/1000,0))</f>
        <v/>
      </c>
      <c r="O12" s="48" t="str">
        <f>IF(I12="","",IFERROR(SUMPRODUCT((TableBOM[Product ID]=A12)*(TableBOM[Material Category]="CAP")*TableBOM[Per 1000 Units]*(1+TableBOM[Scrap %]))*I12/1000,0))</f>
        <v/>
      </c>
      <c r="P12" s="48" t="str">
        <f>IF(I12="","",IFERROR(SUMPRODUCT((TableBOM[Product ID]=A12)*(TableBOM[Material Category]="CARTON")*TableBOM[Per 1000 Units]*(1+TableBOM[Scrap %]))*I12/1000,0))</f>
        <v/>
      </c>
      <c r="Q12" s="48"/>
      <c r="R12" s="48"/>
      <c r="S12" s="48"/>
    </row>
    <row r="13" spans="1:19" ht="15" customHeight="1" x14ac:dyDescent="0.25">
      <c r="A13" s="44">
        <v>5731</v>
      </c>
      <c r="B13" s="44">
        <v>32</v>
      </c>
      <c r="C13" s="44" t="s">
        <v>168</v>
      </c>
      <c r="D13" s="45" t="s">
        <v>205</v>
      </c>
      <c r="E13" s="44">
        <v>20.5</v>
      </c>
      <c r="F13" s="44">
        <v>120</v>
      </c>
      <c r="G13" s="44" t="s">
        <v>380</v>
      </c>
      <c r="H13" s="44">
        <v>510</v>
      </c>
      <c r="I13" s="61"/>
      <c r="J13" s="48" t="str">
        <f>IF(I13="","",IFERROR(SUMPRODUCT((TableBOM[Product ID]=A13)*(TableBOM[Material Category]="SLUG")*TableBOM[Per 1000 Units]*(1+TableBOM[Scrap %]))*I13/1000,0))</f>
        <v/>
      </c>
      <c r="K13" s="48" t="str">
        <f>IF(I13="","",IFERROR(SUMPRODUCT((TableBOM[Product ID]=A13)*(TableBOM[Material Category]="BASE COAT")*TableBOM[Per 1000 Units]*(1+TableBOM[Scrap %]))*I13/1000,0))</f>
        <v/>
      </c>
      <c r="L13" s="48" t="str">
        <f>IF(I13="","",IFERROR(SUMPRODUCT((TableBOM[Product ID]=A13)*(TableBOM[Material Category]="LACQUER")*TableBOM[Per 1000 Units]*(1+TableBOM[Scrap %]))*I13/1000,0))</f>
        <v/>
      </c>
      <c r="M13" s="48" t="str">
        <f>IF(I13="","",IFERROR(SUMPRODUCT((TableBOM[Product ID]=A13)*(TableBOM[Material Category]="LATEX")*TableBOM[Per 1000 Units]*(1+TableBOM[Scrap %]))*I13/1000,0))</f>
        <v/>
      </c>
      <c r="N13" s="48" t="str">
        <f>IF(I13="","",IFERROR(SUMPRODUCT((TableBOM[Product ID]=A13)*(TableBOM[Material Category]="ZINC")*TableBOM[Per 1000 Units]*(1+TableBOM[Scrap %]))*I13/1000,0))</f>
        <v/>
      </c>
      <c r="O13" s="48" t="str">
        <f>IF(I13="","",IFERROR(SUMPRODUCT((TableBOM[Product ID]=A13)*(TableBOM[Material Category]="CAP")*TableBOM[Per 1000 Units]*(1+TableBOM[Scrap %]))*I13/1000,0))</f>
        <v/>
      </c>
      <c r="P13" s="48" t="str">
        <f>IF(I13="","",IFERROR(SUMPRODUCT((TableBOM[Product ID]=A13)*(TableBOM[Material Category]="CARTON")*TableBOM[Per 1000 Units]*(1+TableBOM[Scrap %]))*I13/1000,0))</f>
        <v/>
      </c>
      <c r="Q13" s="48"/>
      <c r="R13" s="48"/>
      <c r="S13" s="48"/>
    </row>
    <row r="14" spans="1:19" ht="15" customHeight="1" x14ac:dyDescent="0.25">
      <c r="A14" s="44">
        <v>5732</v>
      </c>
      <c r="B14" s="44">
        <v>33</v>
      </c>
      <c r="C14" s="44" t="s">
        <v>168</v>
      </c>
      <c r="D14" s="45" t="s">
        <v>207</v>
      </c>
      <c r="E14" s="44">
        <v>20.5</v>
      </c>
      <c r="F14" s="44">
        <v>120</v>
      </c>
      <c r="G14" s="44" t="s">
        <v>380</v>
      </c>
      <c r="H14" s="44">
        <v>510</v>
      </c>
      <c r="I14" s="61"/>
      <c r="J14" s="48" t="str">
        <f>IF(I14="","",IFERROR(SUMPRODUCT((TableBOM[Product ID]=A14)*(TableBOM[Material Category]="SLUG")*TableBOM[Per 1000 Units]*(1+TableBOM[Scrap %]))*I14/1000,0))</f>
        <v/>
      </c>
      <c r="K14" s="48" t="str">
        <f>IF(I14="","",IFERROR(SUMPRODUCT((TableBOM[Product ID]=A14)*(TableBOM[Material Category]="BASE COAT")*TableBOM[Per 1000 Units]*(1+TableBOM[Scrap %]))*I14/1000,0))</f>
        <v/>
      </c>
      <c r="L14" s="48" t="str">
        <f>IF(I14="","",IFERROR(SUMPRODUCT((TableBOM[Product ID]=A14)*(TableBOM[Material Category]="LACQUER")*TableBOM[Per 1000 Units]*(1+TableBOM[Scrap %]))*I14/1000,0))</f>
        <v/>
      </c>
      <c r="M14" s="48" t="str">
        <f>IF(I14="","",IFERROR(SUMPRODUCT((TableBOM[Product ID]=A14)*(TableBOM[Material Category]="LATEX")*TableBOM[Per 1000 Units]*(1+TableBOM[Scrap %]))*I14/1000,0))</f>
        <v/>
      </c>
      <c r="N14" s="48" t="str">
        <f>IF(I14="","",IFERROR(SUMPRODUCT((TableBOM[Product ID]=A14)*(TableBOM[Material Category]="ZINC")*TableBOM[Per 1000 Units]*(1+TableBOM[Scrap %]))*I14/1000,0))</f>
        <v/>
      </c>
      <c r="O14" s="48" t="str">
        <f>IF(I14="","",IFERROR(SUMPRODUCT((TableBOM[Product ID]=A14)*(TableBOM[Material Category]="CAP")*TableBOM[Per 1000 Units]*(1+TableBOM[Scrap %]))*I14/1000,0))</f>
        <v/>
      </c>
      <c r="P14" s="48" t="str">
        <f>IF(I14="","",IFERROR(SUMPRODUCT((TableBOM[Product ID]=A14)*(TableBOM[Material Category]="CARTON")*TableBOM[Per 1000 Units]*(1+TableBOM[Scrap %]))*I14/1000,0))</f>
        <v/>
      </c>
      <c r="Q14" s="48"/>
      <c r="R14" s="48"/>
      <c r="S14" s="48"/>
    </row>
    <row r="15" spans="1:19" ht="15" customHeight="1" x14ac:dyDescent="0.25">
      <c r="A15" s="44">
        <v>6556</v>
      </c>
      <c r="B15" s="44">
        <v>186</v>
      </c>
      <c r="C15" s="44" t="s">
        <v>168</v>
      </c>
      <c r="D15" s="45" t="s">
        <v>208</v>
      </c>
      <c r="E15" s="44">
        <v>20.5</v>
      </c>
      <c r="F15" s="44">
        <v>120</v>
      </c>
      <c r="G15" s="44" t="s">
        <v>380</v>
      </c>
      <c r="H15" s="44">
        <v>510</v>
      </c>
      <c r="I15" s="61"/>
      <c r="J15" s="48" t="str">
        <f>IF(I15="","",IFERROR(SUMPRODUCT((TableBOM[Product ID]=A15)*(TableBOM[Material Category]="SLUG")*TableBOM[Per 1000 Units]*(1+TableBOM[Scrap %]))*I15/1000,0))</f>
        <v/>
      </c>
      <c r="K15" s="48" t="str">
        <f>IF(I15="","",IFERROR(SUMPRODUCT((TableBOM[Product ID]=A15)*(TableBOM[Material Category]="BASE COAT")*TableBOM[Per 1000 Units]*(1+TableBOM[Scrap %]))*I15/1000,0))</f>
        <v/>
      </c>
      <c r="L15" s="48" t="str">
        <f>IF(I15="","",IFERROR(SUMPRODUCT((TableBOM[Product ID]=A15)*(TableBOM[Material Category]="LACQUER")*TableBOM[Per 1000 Units]*(1+TableBOM[Scrap %]))*I15/1000,0))</f>
        <v/>
      </c>
      <c r="M15" s="48" t="str">
        <f>IF(I15="","",IFERROR(SUMPRODUCT((TableBOM[Product ID]=A15)*(TableBOM[Material Category]="LATEX")*TableBOM[Per 1000 Units]*(1+TableBOM[Scrap %]))*I15/1000,0))</f>
        <v/>
      </c>
      <c r="N15" s="48" t="str">
        <f>IF(I15="","",IFERROR(SUMPRODUCT((TableBOM[Product ID]=A15)*(TableBOM[Material Category]="ZINC")*TableBOM[Per 1000 Units]*(1+TableBOM[Scrap %]))*I15/1000,0))</f>
        <v/>
      </c>
      <c r="O15" s="48" t="str">
        <f>IF(I15="","",IFERROR(SUMPRODUCT((TableBOM[Product ID]=A15)*(TableBOM[Material Category]="CAP")*TableBOM[Per 1000 Units]*(1+TableBOM[Scrap %]))*I15/1000,0))</f>
        <v/>
      </c>
      <c r="P15" s="48" t="str">
        <f>IF(I15="","",IFERROR(SUMPRODUCT((TableBOM[Product ID]=A15)*(TableBOM[Material Category]="CARTON")*TableBOM[Per 1000 Units]*(1+TableBOM[Scrap %]))*I15/1000,0))</f>
        <v/>
      </c>
      <c r="Q15" s="48"/>
      <c r="R15" s="48"/>
      <c r="S15" s="48"/>
    </row>
    <row r="16" spans="1:19" ht="15" customHeight="1" x14ac:dyDescent="0.25">
      <c r="A16" s="44">
        <v>6557</v>
      </c>
      <c r="B16" s="44">
        <v>185</v>
      </c>
      <c r="C16" s="44" t="s">
        <v>168</v>
      </c>
      <c r="D16" s="45" t="s">
        <v>209</v>
      </c>
      <c r="E16" s="44">
        <v>20.5</v>
      </c>
      <c r="F16" s="44">
        <v>120</v>
      </c>
      <c r="G16" s="44" t="s">
        <v>380</v>
      </c>
      <c r="H16" s="44">
        <v>510</v>
      </c>
      <c r="I16" s="61"/>
      <c r="J16" s="48" t="str">
        <f>IF(I16="","",IFERROR(SUMPRODUCT((TableBOM[Product ID]=A16)*(TableBOM[Material Category]="SLUG")*TableBOM[Per 1000 Units]*(1+TableBOM[Scrap %]))*I16/1000,0))</f>
        <v/>
      </c>
      <c r="K16" s="48" t="str">
        <f>IF(I16="","",IFERROR(SUMPRODUCT((TableBOM[Product ID]=A16)*(TableBOM[Material Category]="BASE COAT")*TableBOM[Per 1000 Units]*(1+TableBOM[Scrap %]))*I16/1000,0))</f>
        <v/>
      </c>
      <c r="L16" s="48" t="str">
        <f>IF(I16="","",IFERROR(SUMPRODUCT((TableBOM[Product ID]=A16)*(TableBOM[Material Category]="LACQUER")*TableBOM[Per 1000 Units]*(1+TableBOM[Scrap %]))*I16/1000,0))</f>
        <v/>
      </c>
      <c r="M16" s="48" t="str">
        <f>IF(I16="","",IFERROR(SUMPRODUCT((TableBOM[Product ID]=A16)*(TableBOM[Material Category]="LATEX")*TableBOM[Per 1000 Units]*(1+TableBOM[Scrap %]))*I16/1000,0))</f>
        <v/>
      </c>
      <c r="N16" s="48" t="str">
        <f>IF(I16="","",IFERROR(SUMPRODUCT((TableBOM[Product ID]=A16)*(TableBOM[Material Category]="ZINC")*TableBOM[Per 1000 Units]*(1+TableBOM[Scrap %]))*I16/1000,0))</f>
        <v/>
      </c>
      <c r="O16" s="48" t="str">
        <f>IF(I16="","",IFERROR(SUMPRODUCT((TableBOM[Product ID]=A16)*(TableBOM[Material Category]="CAP")*TableBOM[Per 1000 Units]*(1+TableBOM[Scrap %]))*I16/1000,0))</f>
        <v/>
      </c>
      <c r="P16" s="48" t="str">
        <f>IF(I16="","",IFERROR(SUMPRODUCT((TableBOM[Product ID]=A16)*(TableBOM[Material Category]="CARTON")*TableBOM[Per 1000 Units]*(1+TableBOM[Scrap %]))*I16/1000,0))</f>
        <v/>
      </c>
      <c r="Q16" s="48"/>
      <c r="R16" s="48"/>
      <c r="S16" s="48"/>
    </row>
    <row r="17" spans="1:19" ht="15" customHeight="1" x14ac:dyDescent="0.25">
      <c r="A17" s="44">
        <v>6228</v>
      </c>
      <c r="B17" s="44">
        <v>150</v>
      </c>
      <c r="C17" s="44" t="s">
        <v>175</v>
      </c>
      <c r="D17" s="45" t="s">
        <v>214</v>
      </c>
      <c r="E17" s="44">
        <v>25</v>
      </c>
      <c r="F17" s="44">
        <v>130</v>
      </c>
      <c r="G17" s="44" t="s">
        <v>381</v>
      </c>
      <c r="H17" s="44">
        <v>336</v>
      </c>
      <c r="I17" s="61"/>
      <c r="J17" s="48" t="str">
        <f>IF(I17="","",IFERROR(SUMPRODUCT((TableBOM[Product ID]=A17)*(TableBOM[Material Category]="SLUG")*TableBOM[Per 1000 Units]*(1+TableBOM[Scrap %]))*I17/1000,0))</f>
        <v/>
      </c>
      <c r="K17" s="48" t="str">
        <f>IF(I17="","",IFERROR(SUMPRODUCT((TableBOM[Product ID]=A17)*(TableBOM[Material Category]="BASE COAT")*TableBOM[Per 1000 Units]*(1+TableBOM[Scrap %]))*I17/1000,0))</f>
        <v/>
      </c>
      <c r="L17" s="48" t="str">
        <f>IF(I17="","",IFERROR(SUMPRODUCT((TableBOM[Product ID]=A17)*(TableBOM[Material Category]="LACQUER")*TableBOM[Per 1000 Units]*(1+TableBOM[Scrap %]))*I17/1000,0))</f>
        <v/>
      </c>
      <c r="M17" s="48" t="str">
        <f>IF(I17="","",IFERROR(SUMPRODUCT((TableBOM[Product ID]=A17)*(TableBOM[Material Category]="LATEX")*TableBOM[Per 1000 Units]*(1+TableBOM[Scrap %]))*I17/1000,0))</f>
        <v/>
      </c>
      <c r="N17" s="48" t="str">
        <f>IF(I17="","",IFERROR(SUMPRODUCT((TableBOM[Product ID]=A17)*(TableBOM[Material Category]="ZINC")*TableBOM[Per 1000 Units]*(1+TableBOM[Scrap %]))*I17/1000,0))</f>
        <v/>
      </c>
      <c r="O17" s="48" t="str">
        <f>IF(I17="","",IFERROR(SUMPRODUCT((TableBOM[Product ID]=A17)*(TableBOM[Material Category]="CAP")*TableBOM[Per 1000 Units]*(1+TableBOM[Scrap %]))*I17/1000,0))</f>
        <v/>
      </c>
      <c r="P17" s="48" t="str">
        <f>IF(I17="","",IFERROR(SUMPRODUCT((TableBOM[Product ID]=A17)*(TableBOM[Material Category]="CARTON")*TableBOM[Per 1000 Units]*(1+TableBOM[Scrap %]))*I17/1000,0))</f>
        <v/>
      </c>
      <c r="Q17" s="48"/>
      <c r="R17" s="48"/>
      <c r="S17" s="48"/>
    </row>
    <row r="18" spans="1:19" ht="15" customHeight="1" x14ac:dyDescent="0.25">
      <c r="A18" s="44">
        <v>3447</v>
      </c>
      <c r="B18" s="44">
        <v>34</v>
      </c>
      <c r="C18" s="44" t="s">
        <v>168</v>
      </c>
      <c r="D18" s="45" t="s">
        <v>210</v>
      </c>
      <c r="E18" s="44">
        <v>25</v>
      </c>
      <c r="F18" s="44">
        <v>150</v>
      </c>
      <c r="G18" s="44" t="s">
        <v>380</v>
      </c>
      <c r="H18" s="44">
        <v>336</v>
      </c>
      <c r="I18" s="61"/>
      <c r="J18" s="48" t="str">
        <f>IF(I18="","",IFERROR(SUMPRODUCT((TableBOM[Product ID]=A18)*(TableBOM[Material Category]="SLUG")*TableBOM[Per 1000 Units]*(1+TableBOM[Scrap %]))*I18/1000,0))</f>
        <v/>
      </c>
      <c r="K18" s="48" t="str">
        <f>IF(I18="","",IFERROR(SUMPRODUCT((TableBOM[Product ID]=A18)*(TableBOM[Material Category]="BASE COAT")*TableBOM[Per 1000 Units]*(1+TableBOM[Scrap %]))*I18/1000,0))</f>
        <v/>
      </c>
      <c r="L18" s="48" t="str">
        <f>IF(I18="","",IFERROR(SUMPRODUCT((TableBOM[Product ID]=A18)*(TableBOM[Material Category]="LACQUER")*TableBOM[Per 1000 Units]*(1+TableBOM[Scrap %]))*I18/1000,0))</f>
        <v/>
      </c>
      <c r="M18" s="48" t="str">
        <f>IF(I18="","",IFERROR(SUMPRODUCT((TableBOM[Product ID]=A18)*(TableBOM[Material Category]="LATEX")*TableBOM[Per 1000 Units]*(1+TableBOM[Scrap %]))*I18/1000,0))</f>
        <v/>
      </c>
      <c r="N18" s="48" t="str">
        <f>IF(I18="","",IFERROR(SUMPRODUCT((TableBOM[Product ID]=A18)*(TableBOM[Material Category]="ZINC")*TableBOM[Per 1000 Units]*(1+TableBOM[Scrap %]))*I18/1000,0))</f>
        <v/>
      </c>
      <c r="O18" s="48" t="str">
        <f>IF(I18="","",IFERROR(SUMPRODUCT((TableBOM[Product ID]=A18)*(TableBOM[Material Category]="CAP")*TableBOM[Per 1000 Units]*(1+TableBOM[Scrap %]))*I18/1000,0))</f>
        <v/>
      </c>
      <c r="P18" s="48" t="str">
        <f>IF(I18="","",IFERROR(SUMPRODUCT((TableBOM[Product ID]=A18)*(TableBOM[Material Category]="CARTON")*TableBOM[Per 1000 Units]*(1+TableBOM[Scrap %]))*I18/1000,0))</f>
        <v/>
      </c>
      <c r="Q18" s="48"/>
      <c r="R18" s="48"/>
      <c r="S18" s="48"/>
    </row>
    <row r="19" spans="1:19" ht="15" customHeight="1" x14ac:dyDescent="0.25">
      <c r="A19" s="44">
        <v>3726</v>
      </c>
      <c r="B19" s="44">
        <v>9</v>
      </c>
      <c r="C19" s="44" t="s">
        <v>168</v>
      </c>
      <c r="D19" s="45" t="s">
        <v>211</v>
      </c>
      <c r="E19" s="44">
        <v>25</v>
      </c>
      <c r="F19" s="44">
        <v>150</v>
      </c>
      <c r="G19" s="44" t="s">
        <v>380</v>
      </c>
      <c r="H19" s="44">
        <v>336</v>
      </c>
      <c r="I19" s="61"/>
      <c r="J19" s="48" t="str">
        <f>IF(I19="","",IFERROR(SUMPRODUCT((TableBOM[Product ID]=A19)*(TableBOM[Material Category]="SLUG")*TableBOM[Per 1000 Units]*(1+TableBOM[Scrap %]))*I19/1000,0))</f>
        <v/>
      </c>
      <c r="K19" s="48" t="str">
        <f>IF(I19="","",IFERROR(SUMPRODUCT((TableBOM[Product ID]=A19)*(TableBOM[Material Category]="BASE COAT")*TableBOM[Per 1000 Units]*(1+TableBOM[Scrap %]))*I19/1000,0))</f>
        <v/>
      </c>
      <c r="L19" s="48" t="str">
        <f>IF(I19="","",IFERROR(SUMPRODUCT((TableBOM[Product ID]=A19)*(TableBOM[Material Category]="LACQUER")*TableBOM[Per 1000 Units]*(1+TableBOM[Scrap %]))*I19/1000,0))</f>
        <v/>
      </c>
      <c r="M19" s="48" t="str">
        <f>IF(I19="","",IFERROR(SUMPRODUCT((TableBOM[Product ID]=A19)*(TableBOM[Material Category]="LATEX")*TableBOM[Per 1000 Units]*(1+TableBOM[Scrap %]))*I19/1000,0))</f>
        <v/>
      </c>
      <c r="N19" s="48" t="str">
        <f>IF(I19="","",IFERROR(SUMPRODUCT((TableBOM[Product ID]=A19)*(TableBOM[Material Category]="ZINC")*TableBOM[Per 1000 Units]*(1+TableBOM[Scrap %]))*I19/1000,0))</f>
        <v/>
      </c>
      <c r="O19" s="48" t="str">
        <f>IF(I19="","",IFERROR(SUMPRODUCT((TableBOM[Product ID]=A19)*(TableBOM[Material Category]="CAP")*TableBOM[Per 1000 Units]*(1+TableBOM[Scrap %]))*I19/1000,0))</f>
        <v/>
      </c>
      <c r="P19" s="48" t="str">
        <f>IF(I19="","",IFERROR(SUMPRODUCT((TableBOM[Product ID]=A19)*(TableBOM[Material Category]="CARTON")*TableBOM[Per 1000 Units]*(1+TableBOM[Scrap %]))*I19/1000,0))</f>
        <v/>
      </c>
      <c r="Q19" s="48"/>
      <c r="R19" s="48"/>
      <c r="S19" s="48"/>
    </row>
    <row r="20" spans="1:19" ht="15" customHeight="1" x14ac:dyDescent="0.25">
      <c r="A20" s="44">
        <v>6470</v>
      </c>
      <c r="B20" s="44">
        <v>177</v>
      </c>
      <c r="C20" s="44" t="s">
        <v>168</v>
      </c>
      <c r="D20" s="45" t="s">
        <v>212</v>
      </c>
      <c r="E20" s="44">
        <v>25</v>
      </c>
      <c r="F20" s="44">
        <v>150</v>
      </c>
      <c r="G20" s="44" t="s">
        <v>380</v>
      </c>
      <c r="H20" s="44">
        <v>336</v>
      </c>
      <c r="I20" s="61"/>
      <c r="J20" s="48" t="str">
        <f>IF(I20="","",IFERROR(SUMPRODUCT((TableBOM[Product ID]=A20)*(TableBOM[Material Category]="SLUG")*TableBOM[Per 1000 Units]*(1+TableBOM[Scrap %]))*I20/1000,0))</f>
        <v/>
      </c>
      <c r="K20" s="48" t="str">
        <f>IF(I20="","",IFERROR(SUMPRODUCT((TableBOM[Product ID]=A20)*(TableBOM[Material Category]="BASE COAT")*TableBOM[Per 1000 Units]*(1+TableBOM[Scrap %]))*I20/1000,0))</f>
        <v/>
      </c>
      <c r="L20" s="48" t="str">
        <f>IF(I20="","",IFERROR(SUMPRODUCT((TableBOM[Product ID]=A20)*(TableBOM[Material Category]="LACQUER")*TableBOM[Per 1000 Units]*(1+TableBOM[Scrap %]))*I20/1000,0))</f>
        <v/>
      </c>
      <c r="M20" s="48" t="str">
        <f>IF(I20="","",IFERROR(SUMPRODUCT((TableBOM[Product ID]=A20)*(TableBOM[Material Category]="LATEX")*TableBOM[Per 1000 Units]*(1+TableBOM[Scrap %]))*I20/1000,0))</f>
        <v/>
      </c>
      <c r="N20" s="48" t="str">
        <f>IF(I20="","",IFERROR(SUMPRODUCT((TableBOM[Product ID]=A20)*(TableBOM[Material Category]="ZINC")*TableBOM[Per 1000 Units]*(1+TableBOM[Scrap %]))*I20/1000,0))</f>
        <v/>
      </c>
      <c r="O20" s="48" t="str">
        <f>IF(I20="","",IFERROR(SUMPRODUCT((TableBOM[Product ID]=A20)*(TableBOM[Material Category]="CAP")*TableBOM[Per 1000 Units]*(1+TableBOM[Scrap %]))*I20/1000,0))</f>
        <v/>
      </c>
      <c r="P20" s="48" t="str">
        <f>IF(I20="","",IFERROR(SUMPRODUCT((TableBOM[Product ID]=A20)*(TableBOM[Material Category]="CARTON")*TableBOM[Per 1000 Units]*(1+TableBOM[Scrap %]))*I20/1000,0))</f>
        <v/>
      </c>
      <c r="Q20" s="48"/>
      <c r="R20" s="48"/>
      <c r="S20" s="48"/>
    </row>
    <row r="21" spans="1:19" ht="15" customHeight="1" x14ac:dyDescent="0.25">
      <c r="A21" s="44">
        <v>6506</v>
      </c>
      <c r="B21" s="44">
        <v>179</v>
      </c>
      <c r="C21" s="44" t="s">
        <v>168</v>
      </c>
      <c r="D21" s="45" t="s">
        <v>215</v>
      </c>
      <c r="E21" s="44">
        <v>25</v>
      </c>
      <c r="F21" s="44">
        <v>150</v>
      </c>
      <c r="G21" s="44" t="s">
        <v>380</v>
      </c>
      <c r="H21" s="44">
        <v>336</v>
      </c>
      <c r="I21" s="61"/>
      <c r="J21" s="48" t="str">
        <f>IF(I21="","",IFERROR(SUMPRODUCT((TableBOM[Product ID]=A21)*(TableBOM[Material Category]="SLUG")*TableBOM[Per 1000 Units]*(1+TableBOM[Scrap %]))*I21/1000,0))</f>
        <v/>
      </c>
      <c r="K21" s="48" t="str">
        <f>IF(I21="","",IFERROR(SUMPRODUCT((TableBOM[Product ID]=A21)*(TableBOM[Material Category]="BASE COAT")*TableBOM[Per 1000 Units]*(1+TableBOM[Scrap %]))*I21/1000,0))</f>
        <v/>
      </c>
      <c r="L21" s="48" t="str">
        <f>IF(I21="","",IFERROR(SUMPRODUCT((TableBOM[Product ID]=A21)*(TableBOM[Material Category]="LACQUER")*TableBOM[Per 1000 Units]*(1+TableBOM[Scrap %]))*I21/1000,0))</f>
        <v/>
      </c>
      <c r="M21" s="48" t="str">
        <f>IF(I21="","",IFERROR(SUMPRODUCT((TableBOM[Product ID]=A21)*(TableBOM[Material Category]="LATEX")*TableBOM[Per 1000 Units]*(1+TableBOM[Scrap %]))*I21/1000,0))</f>
        <v/>
      </c>
      <c r="N21" s="48" t="str">
        <f>IF(I21="","",IFERROR(SUMPRODUCT((TableBOM[Product ID]=A21)*(TableBOM[Material Category]="ZINC")*TableBOM[Per 1000 Units]*(1+TableBOM[Scrap %]))*I21/1000,0))</f>
        <v/>
      </c>
      <c r="O21" s="48" t="str">
        <f>IF(I21="","",IFERROR(SUMPRODUCT((TableBOM[Product ID]=A21)*(TableBOM[Material Category]="CAP")*TableBOM[Per 1000 Units]*(1+TableBOM[Scrap %]))*I21/1000,0))</f>
        <v/>
      </c>
      <c r="P21" s="48" t="str">
        <f>IF(I21="","",IFERROR(SUMPRODUCT((TableBOM[Product ID]=A21)*(TableBOM[Material Category]="CARTON")*TableBOM[Per 1000 Units]*(1+TableBOM[Scrap %]))*I21/1000,0))</f>
        <v/>
      </c>
      <c r="Q21" s="48"/>
      <c r="R21" s="48"/>
      <c r="S21" s="48"/>
    </row>
    <row r="22" spans="1:19" ht="15" customHeight="1" x14ac:dyDescent="0.25">
      <c r="A22" s="44">
        <v>6532</v>
      </c>
      <c r="B22" s="44">
        <v>181</v>
      </c>
      <c r="C22" s="44" t="s">
        <v>168</v>
      </c>
      <c r="D22" s="45" t="s">
        <v>213</v>
      </c>
      <c r="E22" s="44">
        <v>25</v>
      </c>
      <c r="F22" s="44">
        <v>150</v>
      </c>
      <c r="G22" s="44" t="s">
        <v>380</v>
      </c>
      <c r="H22" s="44">
        <v>336</v>
      </c>
      <c r="I22" s="61">
        <v>17472</v>
      </c>
      <c r="J22" s="48">
        <f>IF(I22="","",IFERROR(SUMPRODUCT((TableBOM[Product ID]=A22)*(TableBOM[Material Category]="SLUG")*TableBOM[Per 1000 Units]*(1+TableBOM[Scrap %]))*I22/1000,0))</f>
        <v>113.7200064</v>
      </c>
      <c r="K22" s="48">
        <f>IF(I22="","",IFERROR(SUMPRODUCT((TableBOM[Product ID]=A22)*(TableBOM[Material Category]="BASE COAT")*TableBOM[Per 1000 Units]*(1+TableBOM[Scrap %]))*I22/1000,0))</f>
        <v>11.762150400000001</v>
      </c>
      <c r="L22" s="48">
        <f>IF(I22="","",IFERROR(SUMPRODUCT((TableBOM[Product ID]=A22)*(TableBOM[Material Category]="LACQUER")*TableBOM[Per 1000 Units]*(1+TableBOM[Scrap %]))*I22/1000,0))</f>
        <v>5.6120063999999994</v>
      </c>
      <c r="M22" s="48">
        <f>IF(I22="","",IFERROR(SUMPRODUCT((TableBOM[Product ID]=A22)*(TableBOM[Material Category]="LATEX")*TableBOM[Per 1000 Units]*(1+TableBOM[Scrap %]))*I22/1000,0))</f>
        <v>0</v>
      </c>
      <c r="N22" s="48">
        <f>IF(I22="","",IFERROR(SUMPRODUCT((TableBOM[Product ID]=A22)*(TableBOM[Material Category]="ZINC")*TableBOM[Per 1000 Units]*(1+TableBOM[Scrap %]))*I22/1000,0))</f>
        <v>0</v>
      </c>
      <c r="O22" s="48">
        <f>IF(I22="","",IFERROR(SUMPRODUCT((TableBOM[Product ID]=A22)*(TableBOM[Material Category]="CAP")*TableBOM[Per 1000 Units]*(1+TableBOM[Scrap %]))*I22/1000,0))</f>
        <v>17821.439999999999</v>
      </c>
      <c r="P22" s="48">
        <f>IF(I22="","",IFERROR(SUMPRODUCT((TableBOM[Product ID]=A22)*(TableBOM[Material Category]="CARTON")*TableBOM[Per 1000 Units]*(1+TableBOM[Scrap %]))*I22/1000,0))</f>
        <v>57.196339200000004</v>
      </c>
      <c r="Q22" s="48"/>
      <c r="R22" s="48"/>
      <c r="S22" s="48"/>
    </row>
    <row r="23" spans="1:19" ht="15" customHeight="1" x14ac:dyDescent="0.25">
      <c r="A23" s="44">
        <v>9006</v>
      </c>
      <c r="B23" s="44">
        <v>906</v>
      </c>
      <c r="C23" s="44" t="s">
        <v>168</v>
      </c>
      <c r="D23" s="45" t="s">
        <v>216</v>
      </c>
      <c r="E23" s="44">
        <v>25</v>
      </c>
      <c r="F23" s="44">
        <v>150</v>
      </c>
      <c r="G23" s="44" t="s">
        <v>380</v>
      </c>
      <c r="H23" s="44">
        <v>336</v>
      </c>
      <c r="I23" s="61"/>
      <c r="J23" s="48" t="str">
        <f>IF(I23="","",IFERROR(SUMPRODUCT((TableBOM[Product ID]=A23)*(TableBOM[Material Category]="SLUG")*TableBOM[Per 1000 Units]*(1+TableBOM[Scrap %]))*I23/1000,0))</f>
        <v/>
      </c>
      <c r="K23" s="48" t="str">
        <f>IF(I23="","",IFERROR(SUMPRODUCT((TableBOM[Product ID]=A23)*(TableBOM[Material Category]="BASE COAT")*TableBOM[Per 1000 Units]*(1+TableBOM[Scrap %]))*I23/1000,0))</f>
        <v/>
      </c>
      <c r="L23" s="48" t="str">
        <f>IF(I23="","",IFERROR(SUMPRODUCT((TableBOM[Product ID]=A23)*(TableBOM[Material Category]="LACQUER")*TableBOM[Per 1000 Units]*(1+TableBOM[Scrap %]))*I23/1000,0))</f>
        <v/>
      </c>
      <c r="M23" s="48" t="str">
        <f>IF(I23="","",IFERROR(SUMPRODUCT((TableBOM[Product ID]=A23)*(TableBOM[Material Category]="LATEX")*TableBOM[Per 1000 Units]*(1+TableBOM[Scrap %]))*I23/1000,0))</f>
        <v/>
      </c>
      <c r="N23" s="48" t="str">
        <f>IF(I23="","",IFERROR(SUMPRODUCT((TableBOM[Product ID]=A23)*(TableBOM[Material Category]="ZINC")*TableBOM[Per 1000 Units]*(1+TableBOM[Scrap %]))*I23/1000,0))</f>
        <v/>
      </c>
      <c r="O23" s="48" t="str">
        <f>IF(I23="","",IFERROR(SUMPRODUCT((TableBOM[Product ID]=A23)*(TableBOM[Material Category]="CAP")*TableBOM[Per 1000 Units]*(1+TableBOM[Scrap %]))*I23/1000,0))</f>
        <v/>
      </c>
      <c r="P23" s="48" t="str">
        <f>IF(I23="","",IFERROR(SUMPRODUCT((TableBOM[Product ID]=A23)*(TableBOM[Material Category]="CARTON")*TableBOM[Per 1000 Units]*(1+TableBOM[Scrap %]))*I23/1000,0))</f>
        <v/>
      </c>
      <c r="Q23" s="48"/>
      <c r="R23" s="48"/>
      <c r="S23" s="48"/>
    </row>
    <row r="24" spans="1:19" ht="15" customHeight="1" x14ac:dyDescent="0.25">
      <c r="A24" s="44">
        <v>6338</v>
      </c>
      <c r="B24" s="44">
        <v>167</v>
      </c>
      <c r="C24" s="44" t="s">
        <v>217</v>
      </c>
      <c r="D24" s="45" t="s">
        <v>218</v>
      </c>
      <c r="E24" s="44">
        <v>25</v>
      </c>
      <c r="F24" s="44">
        <v>155</v>
      </c>
      <c r="G24" s="44" t="s">
        <v>380</v>
      </c>
      <c r="H24" s="44">
        <v>336</v>
      </c>
      <c r="I24" s="61"/>
      <c r="J24" s="48" t="str">
        <f>IF(I24="","",IFERROR(SUMPRODUCT((TableBOM[Product ID]=A24)*(TableBOM[Material Category]="SLUG")*TableBOM[Per 1000 Units]*(1+TableBOM[Scrap %]))*I24/1000,0))</f>
        <v/>
      </c>
      <c r="K24" s="48" t="str">
        <f>IF(I24="","",IFERROR(SUMPRODUCT((TableBOM[Product ID]=A24)*(TableBOM[Material Category]="BASE COAT")*TableBOM[Per 1000 Units]*(1+TableBOM[Scrap %]))*I24/1000,0))</f>
        <v/>
      </c>
      <c r="L24" s="48" t="str">
        <f>IF(I24="","",IFERROR(SUMPRODUCT((TableBOM[Product ID]=A24)*(TableBOM[Material Category]="LACQUER")*TableBOM[Per 1000 Units]*(1+TableBOM[Scrap %]))*I24/1000,0))</f>
        <v/>
      </c>
      <c r="M24" s="48" t="str">
        <f>IF(I24="","",IFERROR(SUMPRODUCT((TableBOM[Product ID]=A24)*(TableBOM[Material Category]="LATEX")*TableBOM[Per 1000 Units]*(1+TableBOM[Scrap %]))*I24/1000,0))</f>
        <v/>
      </c>
      <c r="N24" s="48" t="str">
        <f>IF(I24="","",IFERROR(SUMPRODUCT((TableBOM[Product ID]=A24)*(TableBOM[Material Category]="ZINC")*TableBOM[Per 1000 Units]*(1+TableBOM[Scrap %]))*I24/1000,0))</f>
        <v/>
      </c>
      <c r="O24" s="48" t="str">
        <f>IF(I24="","",IFERROR(SUMPRODUCT((TableBOM[Product ID]=A24)*(TableBOM[Material Category]="CAP")*TableBOM[Per 1000 Units]*(1+TableBOM[Scrap %]))*I24/1000,0))</f>
        <v/>
      </c>
      <c r="P24" s="48" t="str">
        <f>IF(I24="","",IFERROR(SUMPRODUCT((TableBOM[Product ID]=A24)*(TableBOM[Material Category]="CARTON")*TableBOM[Per 1000 Units]*(1+TableBOM[Scrap %]))*I24/1000,0))</f>
        <v/>
      </c>
      <c r="Q24" s="48"/>
      <c r="R24" s="48"/>
      <c r="S24" s="48"/>
    </row>
    <row r="25" spans="1:19" ht="15" customHeight="1" x14ac:dyDescent="0.25">
      <c r="A25" s="44">
        <v>6337</v>
      </c>
      <c r="B25" s="44">
        <v>166</v>
      </c>
      <c r="C25" s="44" t="s">
        <v>226</v>
      </c>
      <c r="D25" s="45" t="s">
        <v>228</v>
      </c>
      <c r="E25" s="44">
        <v>30</v>
      </c>
      <c r="F25" s="44">
        <v>130</v>
      </c>
      <c r="G25" s="44" t="s">
        <v>381</v>
      </c>
      <c r="H25" s="44">
        <v>150</v>
      </c>
      <c r="I25" s="61"/>
      <c r="J25" s="48" t="str">
        <f>IF(I25="","",IFERROR(SUMPRODUCT((TableBOM[Product ID]=A25)*(TableBOM[Material Category]="SLUG")*TableBOM[Per 1000 Units]*(1+TableBOM[Scrap %]))*I25/1000,0))</f>
        <v/>
      </c>
      <c r="K25" s="48" t="str">
        <f>IF(I25="","",IFERROR(SUMPRODUCT((TableBOM[Product ID]=A25)*(TableBOM[Material Category]="BASE COAT")*TableBOM[Per 1000 Units]*(1+TableBOM[Scrap %]))*I25/1000,0))</f>
        <v/>
      </c>
      <c r="L25" s="48" t="str">
        <f>IF(I25="","",IFERROR(SUMPRODUCT((TableBOM[Product ID]=A25)*(TableBOM[Material Category]="LACQUER")*TableBOM[Per 1000 Units]*(1+TableBOM[Scrap %]))*I25/1000,0))</f>
        <v/>
      </c>
      <c r="M25" s="48" t="str">
        <f>IF(I25="","",IFERROR(SUMPRODUCT((TableBOM[Product ID]=A25)*(TableBOM[Material Category]="LATEX")*TableBOM[Per 1000 Units]*(1+TableBOM[Scrap %]))*I25/1000,0))</f>
        <v/>
      </c>
      <c r="N25" s="48" t="str">
        <f>IF(I25="","",IFERROR(SUMPRODUCT((TableBOM[Product ID]=A25)*(TableBOM[Material Category]="ZINC")*TableBOM[Per 1000 Units]*(1+TableBOM[Scrap %]))*I25/1000,0))</f>
        <v/>
      </c>
      <c r="O25" s="48" t="str">
        <f>IF(I25="","",IFERROR(SUMPRODUCT((TableBOM[Product ID]=A25)*(TableBOM[Material Category]="CAP")*TableBOM[Per 1000 Units]*(1+TableBOM[Scrap %]))*I25/1000,0))</f>
        <v/>
      </c>
      <c r="P25" s="48" t="str">
        <f>IF(I25="","",IFERROR(SUMPRODUCT((TableBOM[Product ID]=A25)*(TableBOM[Material Category]="CARTON")*TableBOM[Per 1000 Units]*(1+TableBOM[Scrap %]))*I25/1000,0))</f>
        <v/>
      </c>
      <c r="Q25" s="48"/>
      <c r="R25" s="48"/>
      <c r="S25" s="48"/>
    </row>
    <row r="26" spans="1:19" ht="15" customHeight="1" x14ac:dyDescent="0.25">
      <c r="A26" s="44">
        <v>6416</v>
      </c>
      <c r="B26" s="44">
        <v>171</v>
      </c>
      <c r="C26" s="44" t="s">
        <v>226</v>
      </c>
      <c r="D26" s="45" t="s">
        <v>227</v>
      </c>
      <c r="E26" s="44">
        <v>30</v>
      </c>
      <c r="F26" s="44">
        <v>130</v>
      </c>
      <c r="G26" s="44" t="s">
        <v>381</v>
      </c>
      <c r="H26" s="44">
        <v>150</v>
      </c>
      <c r="I26" s="61"/>
      <c r="J26" s="48" t="str">
        <f>IF(I26="","",IFERROR(SUMPRODUCT((TableBOM[Product ID]=A26)*(TableBOM[Material Category]="SLUG")*TableBOM[Per 1000 Units]*(1+TableBOM[Scrap %]))*I26/1000,0))</f>
        <v/>
      </c>
      <c r="K26" s="48" t="str">
        <f>IF(I26="","",IFERROR(SUMPRODUCT((TableBOM[Product ID]=A26)*(TableBOM[Material Category]="BASE COAT")*TableBOM[Per 1000 Units]*(1+TableBOM[Scrap %]))*I26/1000,0))</f>
        <v/>
      </c>
      <c r="L26" s="48" t="str">
        <f>IF(I26="","",IFERROR(SUMPRODUCT((TableBOM[Product ID]=A26)*(TableBOM[Material Category]="LACQUER")*TableBOM[Per 1000 Units]*(1+TableBOM[Scrap %]))*I26/1000,0))</f>
        <v/>
      </c>
      <c r="M26" s="48" t="str">
        <f>IF(I26="","",IFERROR(SUMPRODUCT((TableBOM[Product ID]=A26)*(TableBOM[Material Category]="LATEX")*TableBOM[Per 1000 Units]*(1+TableBOM[Scrap %]))*I26/1000,0))</f>
        <v/>
      </c>
      <c r="N26" s="48" t="str">
        <f>IF(I26="","",IFERROR(SUMPRODUCT((TableBOM[Product ID]=A26)*(TableBOM[Material Category]="ZINC")*TableBOM[Per 1000 Units]*(1+TableBOM[Scrap %]))*I26/1000,0))</f>
        <v/>
      </c>
      <c r="O26" s="48" t="str">
        <f>IF(I26="","",IFERROR(SUMPRODUCT((TableBOM[Product ID]=A26)*(TableBOM[Material Category]="CAP")*TableBOM[Per 1000 Units]*(1+TableBOM[Scrap %]))*I26/1000,0))</f>
        <v/>
      </c>
      <c r="P26" s="48" t="str">
        <f>IF(I26="","",IFERROR(SUMPRODUCT((TableBOM[Product ID]=A26)*(TableBOM[Material Category]="CARTON")*TableBOM[Per 1000 Units]*(1+TableBOM[Scrap %]))*I26/1000,0))</f>
        <v/>
      </c>
      <c r="Q26" s="48"/>
      <c r="R26" s="48"/>
      <c r="S26" s="48"/>
    </row>
    <row r="27" spans="1:19" ht="15" customHeight="1" x14ac:dyDescent="0.25">
      <c r="A27" s="44">
        <v>6206</v>
      </c>
      <c r="B27" s="44">
        <v>149</v>
      </c>
      <c r="C27" s="44" t="s">
        <v>173</v>
      </c>
      <c r="D27" s="45" t="s">
        <v>174</v>
      </c>
      <c r="E27" s="44">
        <v>30</v>
      </c>
      <c r="F27" s="44">
        <v>130</v>
      </c>
      <c r="G27" s="44" t="s">
        <v>381</v>
      </c>
      <c r="H27" s="44">
        <v>245</v>
      </c>
      <c r="I27" s="61"/>
      <c r="J27" s="48" t="str">
        <f>IF(I27="","",IFERROR(SUMPRODUCT((TableBOM[Product ID]=A27)*(TableBOM[Material Category]="SLUG")*TableBOM[Per 1000 Units]*(1+TableBOM[Scrap %]))*I27/1000,0))</f>
        <v/>
      </c>
      <c r="K27" s="48" t="str">
        <f>IF(I27="","",IFERROR(SUMPRODUCT((TableBOM[Product ID]=A27)*(TableBOM[Material Category]="BASE COAT")*TableBOM[Per 1000 Units]*(1+TableBOM[Scrap %]))*I27/1000,0))</f>
        <v/>
      </c>
      <c r="L27" s="48" t="str">
        <f>IF(I27="","",IFERROR(SUMPRODUCT((TableBOM[Product ID]=A27)*(TableBOM[Material Category]="LACQUER")*TableBOM[Per 1000 Units]*(1+TableBOM[Scrap %]))*I27/1000,0))</f>
        <v/>
      </c>
      <c r="M27" s="48" t="str">
        <f>IF(I27="","",IFERROR(SUMPRODUCT((TableBOM[Product ID]=A27)*(TableBOM[Material Category]="LATEX")*TableBOM[Per 1000 Units]*(1+TableBOM[Scrap %]))*I27/1000,0))</f>
        <v/>
      </c>
      <c r="N27" s="48" t="str">
        <f>IF(I27="","",IFERROR(SUMPRODUCT((TableBOM[Product ID]=A27)*(TableBOM[Material Category]="ZINC")*TableBOM[Per 1000 Units]*(1+TableBOM[Scrap %]))*I27/1000,0))</f>
        <v/>
      </c>
      <c r="O27" s="48" t="str">
        <f>IF(I27="","",IFERROR(SUMPRODUCT((TableBOM[Product ID]=A27)*(TableBOM[Material Category]="CAP")*TableBOM[Per 1000 Units]*(1+TableBOM[Scrap %]))*I27/1000,0))</f>
        <v/>
      </c>
      <c r="P27" s="48" t="str">
        <f>IF(I27="","",IFERROR(SUMPRODUCT((TableBOM[Product ID]=A27)*(TableBOM[Material Category]="CARTON")*TableBOM[Per 1000 Units]*(1+TableBOM[Scrap %]))*I27/1000,0))</f>
        <v/>
      </c>
      <c r="Q27" s="48"/>
      <c r="R27" s="48"/>
      <c r="S27" s="48"/>
    </row>
    <row r="28" spans="1:19" ht="15" customHeight="1" x14ac:dyDescent="0.25">
      <c r="A28" s="44">
        <v>5814</v>
      </c>
      <c r="B28" s="44">
        <v>95</v>
      </c>
      <c r="C28" s="44" t="s">
        <v>175</v>
      </c>
      <c r="D28" s="45" t="s">
        <v>176</v>
      </c>
      <c r="E28" s="44">
        <v>30</v>
      </c>
      <c r="F28" s="44">
        <v>130</v>
      </c>
      <c r="G28" s="44" t="s">
        <v>381</v>
      </c>
      <c r="H28" s="44">
        <v>150</v>
      </c>
      <c r="I28" s="61"/>
      <c r="J28" s="48" t="str">
        <f>IF(I28="","",IFERROR(SUMPRODUCT((TableBOM[Product ID]=A28)*(TableBOM[Material Category]="SLUG")*TableBOM[Per 1000 Units]*(1+TableBOM[Scrap %]))*I28/1000,0))</f>
        <v/>
      </c>
      <c r="K28" s="48" t="str">
        <f>IF(I28="","",IFERROR(SUMPRODUCT((TableBOM[Product ID]=A28)*(TableBOM[Material Category]="BASE COAT")*TableBOM[Per 1000 Units]*(1+TableBOM[Scrap %]))*I28/1000,0))</f>
        <v/>
      </c>
      <c r="L28" s="48" t="str">
        <f>IF(I28="","",IFERROR(SUMPRODUCT((TableBOM[Product ID]=A28)*(TableBOM[Material Category]="LACQUER")*TableBOM[Per 1000 Units]*(1+TableBOM[Scrap %]))*I28/1000,0))</f>
        <v/>
      </c>
      <c r="M28" s="48" t="str">
        <f>IF(I28="","",IFERROR(SUMPRODUCT((TableBOM[Product ID]=A28)*(TableBOM[Material Category]="LATEX")*TableBOM[Per 1000 Units]*(1+TableBOM[Scrap %]))*I28/1000,0))</f>
        <v/>
      </c>
      <c r="N28" s="48" t="str">
        <f>IF(I28="","",IFERROR(SUMPRODUCT((TableBOM[Product ID]=A28)*(TableBOM[Material Category]="ZINC")*TableBOM[Per 1000 Units]*(1+TableBOM[Scrap %]))*I28/1000,0))</f>
        <v/>
      </c>
      <c r="O28" s="48" t="str">
        <f>IF(I28="","",IFERROR(SUMPRODUCT((TableBOM[Product ID]=A28)*(TableBOM[Material Category]="CAP")*TableBOM[Per 1000 Units]*(1+TableBOM[Scrap %]))*I28/1000,0))</f>
        <v/>
      </c>
      <c r="P28" s="48" t="str">
        <f>IF(I28="","",IFERROR(SUMPRODUCT((TableBOM[Product ID]=A28)*(TableBOM[Material Category]="CARTON")*TableBOM[Per 1000 Units]*(1+TableBOM[Scrap %]))*I28/1000,0))</f>
        <v/>
      </c>
      <c r="Q28" s="48"/>
      <c r="R28" s="48"/>
      <c r="S28" s="48"/>
    </row>
    <row r="29" spans="1:19" ht="15" customHeight="1" x14ac:dyDescent="0.25">
      <c r="A29" s="44">
        <v>9002</v>
      </c>
      <c r="B29" s="44">
        <v>901</v>
      </c>
      <c r="C29" s="44" t="s">
        <v>175</v>
      </c>
      <c r="D29" s="45" t="s">
        <v>229</v>
      </c>
      <c r="E29" s="44">
        <v>30</v>
      </c>
      <c r="F29" s="44">
        <v>130</v>
      </c>
      <c r="G29" s="44" t="s">
        <v>380</v>
      </c>
      <c r="H29" s="44">
        <v>245</v>
      </c>
      <c r="I29" s="61"/>
      <c r="J29" s="48" t="str">
        <f>IF(I29="","",IFERROR(SUMPRODUCT((TableBOM[Product ID]=A29)*(TableBOM[Material Category]="SLUG")*TableBOM[Per 1000 Units]*(1+TableBOM[Scrap %]))*I29/1000,0))</f>
        <v/>
      </c>
      <c r="K29" s="48" t="str">
        <f>IF(I29="","",IFERROR(SUMPRODUCT((TableBOM[Product ID]=A29)*(TableBOM[Material Category]="BASE COAT")*TableBOM[Per 1000 Units]*(1+TableBOM[Scrap %]))*I29/1000,0))</f>
        <v/>
      </c>
      <c r="L29" s="48" t="str">
        <f>IF(I29="","",IFERROR(SUMPRODUCT((TableBOM[Product ID]=A29)*(TableBOM[Material Category]="LACQUER")*TableBOM[Per 1000 Units]*(1+TableBOM[Scrap %]))*I29/1000,0))</f>
        <v/>
      </c>
      <c r="M29" s="48" t="str">
        <f>IF(I29="","",IFERROR(SUMPRODUCT((TableBOM[Product ID]=A29)*(TableBOM[Material Category]="LATEX")*TableBOM[Per 1000 Units]*(1+TableBOM[Scrap %]))*I29/1000,0))</f>
        <v/>
      </c>
      <c r="N29" s="48" t="str">
        <f>IF(I29="","",IFERROR(SUMPRODUCT((TableBOM[Product ID]=A29)*(TableBOM[Material Category]="ZINC")*TableBOM[Per 1000 Units]*(1+TableBOM[Scrap %]))*I29/1000,0))</f>
        <v/>
      </c>
      <c r="O29" s="48" t="str">
        <f>IF(I29="","",IFERROR(SUMPRODUCT((TableBOM[Product ID]=A29)*(TableBOM[Material Category]="CAP")*TableBOM[Per 1000 Units]*(1+TableBOM[Scrap %]))*I29/1000,0))</f>
        <v/>
      </c>
      <c r="P29" s="48" t="str">
        <f>IF(I29="","",IFERROR(SUMPRODUCT((TableBOM[Product ID]=A29)*(TableBOM[Material Category]="CARTON")*TableBOM[Per 1000 Units]*(1+TableBOM[Scrap %]))*I29/1000,0))</f>
        <v/>
      </c>
      <c r="Q29" s="48"/>
      <c r="R29" s="48"/>
      <c r="S29" s="48"/>
    </row>
    <row r="30" spans="1:19" ht="15" customHeight="1" x14ac:dyDescent="0.25">
      <c r="A30" s="44">
        <v>4050</v>
      </c>
      <c r="B30" s="44">
        <v>19</v>
      </c>
      <c r="C30" s="44" t="s">
        <v>223</v>
      </c>
      <c r="D30" s="45" t="s">
        <v>224</v>
      </c>
      <c r="E30" s="44">
        <v>30</v>
      </c>
      <c r="F30" s="44">
        <v>130</v>
      </c>
      <c r="G30" s="44" t="s">
        <v>381</v>
      </c>
      <c r="H30" s="44">
        <v>150</v>
      </c>
      <c r="I30" s="61"/>
      <c r="J30" s="48" t="str">
        <f>IF(I30="","",IFERROR(SUMPRODUCT((TableBOM[Product ID]=A30)*(TableBOM[Material Category]="SLUG")*TableBOM[Per 1000 Units]*(1+TableBOM[Scrap %]))*I30/1000,0))</f>
        <v/>
      </c>
      <c r="K30" s="48" t="str">
        <f>IF(I30="","",IFERROR(SUMPRODUCT((TableBOM[Product ID]=A30)*(TableBOM[Material Category]="BASE COAT")*TableBOM[Per 1000 Units]*(1+TableBOM[Scrap %]))*I30/1000,0))</f>
        <v/>
      </c>
      <c r="L30" s="48" t="str">
        <f>IF(I30="","",IFERROR(SUMPRODUCT((TableBOM[Product ID]=A30)*(TableBOM[Material Category]="LACQUER")*TableBOM[Per 1000 Units]*(1+TableBOM[Scrap %]))*I30/1000,0))</f>
        <v/>
      </c>
      <c r="M30" s="48" t="str">
        <f>IF(I30="","",IFERROR(SUMPRODUCT((TableBOM[Product ID]=A30)*(TableBOM[Material Category]="LATEX")*TableBOM[Per 1000 Units]*(1+TableBOM[Scrap %]))*I30/1000,0))</f>
        <v/>
      </c>
      <c r="N30" s="48" t="str">
        <f>IF(I30="","",IFERROR(SUMPRODUCT((TableBOM[Product ID]=A30)*(TableBOM[Material Category]="ZINC")*TableBOM[Per 1000 Units]*(1+TableBOM[Scrap %]))*I30/1000,0))</f>
        <v/>
      </c>
      <c r="O30" s="48" t="str">
        <f>IF(I30="","",IFERROR(SUMPRODUCT((TableBOM[Product ID]=A30)*(TableBOM[Material Category]="CAP")*TableBOM[Per 1000 Units]*(1+TableBOM[Scrap %]))*I30/1000,0))</f>
        <v/>
      </c>
      <c r="P30" s="48" t="str">
        <f>IF(I30="","",IFERROR(SUMPRODUCT((TableBOM[Product ID]=A30)*(TableBOM[Material Category]="CARTON")*TableBOM[Per 1000 Units]*(1+TableBOM[Scrap %]))*I30/1000,0))</f>
        <v/>
      </c>
      <c r="Q30" s="48"/>
      <c r="R30" s="48"/>
      <c r="S30" s="48"/>
    </row>
    <row r="31" spans="1:19" ht="15" customHeight="1" x14ac:dyDescent="0.25">
      <c r="A31" s="44">
        <v>6312</v>
      </c>
      <c r="B31" s="44">
        <v>157</v>
      </c>
      <c r="C31" s="44" t="s">
        <v>223</v>
      </c>
      <c r="D31" s="45" t="s">
        <v>225</v>
      </c>
      <c r="E31" s="44">
        <v>30</v>
      </c>
      <c r="F31" s="44">
        <v>130</v>
      </c>
      <c r="G31" s="44" t="s">
        <v>380</v>
      </c>
      <c r="H31" s="44">
        <v>150</v>
      </c>
      <c r="I31" s="61"/>
      <c r="J31" s="48" t="str">
        <f>IF(I31="","",IFERROR(SUMPRODUCT((TableBOM[Product ID]=A31)*(TableBOM[Material Category]="SLUG")*TableBOM[Per 1000 Units]*(1+TableBOM[Scrap %]))*I31/1000,0))</f>
        <v/>
      </c>
      <c r="K31" s="48" t="str">
        <f>IF(I31="","",IFERROR(SUMPRODUCT((TableBOM[Product ID]=A31)*(TableBOM[Material Category]="BASE COAT")*TableBOM[Per 1000 Units]*(1+TableBOM[Scrap %]))*I31/1000,0))</f>
        <v/>
      </c>
      <c r="L31" s="48" t="str">
        <f>IF(I31="","",IFERROR(SUMPRODUCT((TableBOM[Product ID]=A31)*(TableBOM[Material Category]="LACQUER")*TableBOM[Per 1000 Units]*(1+TableBOM[Scrap %]))*I31/1000,0))</f>
        <v/>
      </c>
      <c r="M31" s="48" t="str">
        <f>IF(I31="","",IFERROR(SUMPRODUCT((TableBOM[Product ID]=A31)*(TableBOM[Material Category]="LATEX")*TableBOM[Per 1000 Units]*(1+TableBOM[Scrap %]))*I31/1000,0))</f>
        <v/>
      </c>
      <c r="N31" s="48" t="str">
        <f>IF(I31="","",IFERROR(SUMPRODUCT((TableBOM[Product ID]=A31)*(TableBOM[Material Category]="ZINC")*TableBOM[Per 1000 Units]*(1+TableBOM[Scrap %]))*I31/1000,0))</f>
        <v/>
      </c>
      <c r="O31" s="48" t="str">
        <f>IF(I31="","",IFERROR(SUMPRODUCT((TableBOM[Product ID]=A31)*(TableBOM[Material Category]="CAP")*TableBOM[Per 1000 Units]*(1+TableBOM[Scrap %]))*I31/1000,0))</f>
        <v/>
      </c>
      <c r="P31" s="48" t="str">
        <f>IF(I31="","",IFERROR(SUMPRODUCT((TableBOM[Product ID]=A31)*(TableBOM[Material Category]="CARTON")*TableBOM[Per 1000 Units]*(1+TableBOM[Scrap %]))*I31/1000,0))</f>
        <v/>
      </c>
      <c r="Q31" s="48"/>
      <c r="R31" s="48"/>
      <c r="S31" s="48"/>
    </row>
    <row r="32" spans="1:19" ht="15" customHeight="1" x14ac:dyDescent="0.25">
      <c r="A32" s="44">
        <v>6595</v>
      </c>
      <c r="B32" s="44">
        <v>191</v>
      </c>
      <c r="C32" s="44" t="s">
        <v>221</v>
      </c>
      <c r="D32" s="45" t="s">
        <v>222</v>
      </c>
      <c r="E32" s="44">
        <v>30</v>
      </c>
      <c r="F32" s="44">
        <v>130</v>
      </c>
      <c r="G32" s="44" t="s">
        <v>381</v>
      </c>
      <c r="H32" s="44">
        <v>245</v>
      </c>
      <c r="I32" s="61"/>
      <c r="J32" s="48" t="str">
        <f>IF(I32="","",IFERROR(SUMPRODUCT((TableBOM[Product ID]=A32)*(TableBOM[Material Category]="SLUG")*TableBOM[Per 1000 Units]*(1+TableBOM[Scrap %]))*I32/1000,0))</f>
        <v/>
      </c>
      <c r="K32" s="48" t="str">
        <f>IF(I32="","",IFERROR(SUMPRODUCT((TableBOM[Product ID]=A32)*(TableBOM[Material Category]="BASE COAT")*TableBOM[Per 1000 Units]*(1+TableBOM[Scrap %]))*I32/1000,0))</f>
        <v/>
      </c>
      <c r="L32" s="48" t="str">
        <f>IF(I32="","",IFERROR(SUMPRODUCT((TableBOM[Product ID]=A32)*(TableBOM[Material Category]="LACQUER")*TableBOM[Per 1000 Units]*(1+TableBOM[Scrap %]))*I32/1000,0))</f>
        <v/>
      </c>
      <c r="M32" s="48" t="str">
        <f>IF(I32="","",IFERROR(SUMPRODUCT((TableBOM[Product ID]=A32)*(TableBOM[Material Category]="LATEX")*TableBOM[Per 1000 Units]*(1+TableBOM[Scrap %]))*I32/1000,0))</f>
        <v/>
      </c>
      <c r="N32" s="48" t="str">
        <f>IF(I32="","",IFERROR(SUMPRODUCT((TableBOM[Product ID]=A32)*(TableBOM[Material Category]="ZINC")*TableBOM[Per 1000 Units]*(1+TableBOM[Scrap %]))*I32/1000,0))</f>
        <v/>
      </c>
      <c r="O32" s="48" t="str">
        <f>IF(I32="","",IFERROR(SUMPRODUCT((TableBOM[Product ID]=A32)*(TableBOM[Material Category]="CAP")*TableBOM[Per 1000 Units]*(1+TableBOM[Scrap %]))*I32/1000,0))</f>
        <v/>
      </c>
      <c r="P32" s="48" t="str">
        <f>IF(I32="","",IFERROR(SUMPRODUCT((TableBOM[Product ID]=A32)*(TableBOM[Material Category]="CARTON")*TableBOM[Per 1000 Units]*(1+TableBOM[Scrap %]))*I32/1000,0))</f>
        <v/>
      </c>
      <c r="Q32" s="48"/>
      <c r="R32" s="48"/>
      <c r="S32" s="48"/>
    </row>
    <row r="33" spans="1:19" ht="15" customHeight="1" x14ac:dyDescent="0.25">
      <c r="A33" s="44">
        <v>5782</v>
      </c>
      <c r="B33" s="44">
        <v>70</v>
      </c>
      <c r="C33" s="44" t="s">
        <v>233</v>
      </c>
      <c r="D33" s="45" t="s">
        <v>234</v>
      </c>
      <c r="E33" s="44">
        <v>32</v>
      </c>
      <c r="F33" s="44">
        <v>155</v>
      </c>
      <c r="G33" s="44" t="s">
        <v>381</v>
      </c>
      <c r="H33" s="44">
        <v>230</v>
      </c>
      <c r="I33" s="61"/>
      <c r="J33" s="48" t="str">
        <f>IF(I33="","",IFERROR(SUMPRODUCT((TableBOM[Product ID]=A33)*(TableBOM[Material Category]="SLUG")*TableBOM[Per 1000 Units]*(1+TableBOM[Scrap %]))*I33/1000,0))</f>
        <v/>
      </c>
      <c r="K33" s="48" t="str">
        <f>IF(I33="","",IFERROR(SUMPRODUCT((TableBOM[Product ID]=A33)*(TableBOM[Material Category]="BASE COAT")*TableBOM[Per 1000 Units]*(1+TableBOM[Scrap %]))*I33/1000,0))</f>
        <v/>
      </c>
      <c r="L33" s="48" t="str">
        <f>IF(I33="","",IFERROR(SUMPRODUCT((TableBOM[Product ID]=A33)*(TableBOM[Material Category]="LACQUER")*TableBOM[Per 1000 Units]*(1+TableBOM[Scrap %]))*I33/1000,0))</f>
        <v/>
      </c>
      <c r="M33" s="48" t="str">
        <f>IF(I33="","",IFERROR(SUMPRODUCT((TableBOM[Product ID]=A33)*(TableBOM[Material Category]="LATEX")*TableBOM[Per 1000 Units]*(1+TableBOM[Scrap %]))*I33/1000,0))</f>
        <v/>
      </c>
      <c r="N33" s="48" t="str">
        <f>IF(I33="","",IFERROR(SUMPRODUCT((TableBOM[Product ID]=A33)*(TableBOM[Material Category]="ZINC")*TableBOM[Per 1000 Units]*(1+TableBOM[Scrap %]))*I33/1000,0))</f>
        <v/>
      </c>
      <c r="O33" s="48" t="str">
        <f>IF(I33="","",IFERROR(SUMPRODUCT((TableBOM[Product ID]=A33)*(TableBOM[Material Category]="CAP")*TableBOM[Per 1000 Units]*(1+TableBOM[Scrap %]))*I33/1000,0))</f>
        <v/>
      </c>
      <c r="P33" s="48" t="str">
        <f>IF(I33="","",IFERROR(SUMPRODUCT((TableBOM[Product ID]=A33)*(TableBOM[Material Category]="CARTON")*TableBOM[Per 1000 Units]*(1+TableBOM[Scrap %]))*I33/1000,0))</f>
        <v/>
      </c>
      <c r="Q33" s="48"/>
      <c r="R33" s="48"/>
      <c r="S33" s="48"/>
    </row>
    <row r="34" spans="1:19" ht="15" customHeight="1" x14ac:dyDescent="0.25">
      <c r="A34" s="44">
        <v>6515</v>
      </c>
      <c r="B34" s="44">
        <v>180</v>
      </c>
      <c r="C34" s="44" t="s">
        <v>178</v>
      </c>
      <c r="D34" s="45" t="s">
        <v>179</v>
      </c>
      <c r="E34" s="44">
        <v>32</v>
      </c>
      <c r="F34" s="44">
        <v>180</v>
      </c>
      <c r="G34" s="44" t="s">
        <v>381</v>
      </c>
      <c r="H34" s="44">
        <v>336</v>
      </c>
      <c r="I34" s="61"/>
      <c r="J34" s="48" t="str">
        <f>IF(I34="","",IFERROR(SUMPRODUCT((TableBOM[Product ID]=A34)*(TableBOM[Material Category]="SLUG")*TableBOM[Per 1000 Units]*(1+TableBOM[Scrap %]))*I34/1000,0))</f>
        <v/>
      </c>
      <c r="K34" s="48" t="str">
        <f>IF(I34="","",IFERROR(SUMPRODUCT((TableBOM[Product ID]=A34)*(TableBOM[Material Category]="BASE COAT")*TableBOM[Per 1000 Units]*(1+TableBOM[Scrap %]))*I34/1000,0))</f>
        <v/>
      </c>
      <c r="L34" s="48" t="str">
        <f>IF(I34="","",IFERROR(SUMPRODUCT((TableBOM[Product ID]=A34)*(TableBOM[Material Category]="LACQUER")*TableBOM[Per 1000 Units]*(1+TableBOM[Scrap %]))*I34/1000,0))</f>
        <v/>
      </c>
      <c r="M34" s="48" t="str">
        <f>IF(I34="","",IFERROR(SUMPRODUCT((TableBOM[Product ID]=A34)*(TableBOM[Material Category]="LATEX")*TableBOM[Per 1000 Units]*(1+TableBOM[Scrap %]))*I34/1000,0))</f>
        <v/>
      </c>
      <c r="N34" s="48" t="str">
        <f>IF(I34="","",IFERROR(SUMPRODUCT((TableBOM[Product ID]=A34)*(TableBOM[Material Category]="ZINC")*TableBOM[Per 1000 Units]*(1+TableBOM[Scrap %]))*I34/1000,0))</f>
        <v/>
      </c>
      <c r="O34" s="48" t="str">
        <f>IF(I34="","",IFERROR(SUMPRODUCT((TableBOM[Product ID]=A34)*(TableBOM[Material Category]="CAP")*TableBOM[Per 1000 Units]*(1+TableBOM[Scrap %]))*I34/1000,0))</f>
        <v/>
      </c>
      <c r="P34" s="48" t="str">
        <f>IF(I34="","",IFERROR(SUMPRODUCT((TableBOM[Product ID]=A34)*(TableBOM[Material Category]="CARTON")*TableBOM[Per 1000 Units]*(1+TableBOM[Scrap %]))*I34/1000,0))</f>
        <v/>
      </c>
      <c r="Q34" s="48"/>
      <c r="R34" s="48"/>
      <c r="S34" s="48"/>
    </row>
    <row r="35" spans="1:19" ht="15" customHeight="1" x14ac:dyDescent="0.25">
      <c r="A35" s="44">
        <v>6020</v>
      </c>
      <c r="B35" s="44">
        <v>130</v>
      </c>
      <c r="C35" s="44" t="s">
        <v>235</v>
      </c>
      <c r="D35" s="45" t="s">
        <v>238</v>
      </c>
      <c r="E35" s="44">
        <v>35</v>
      </c>
      <c r="F35" s="44">
        <v>165</v>
      </c>
      <c r="G35" s="44" t="s">
        <v>381</v>
      </c>
      <c r="H35" s="44">
        <v>180</v>
      </c>
      <c r="I35" s="61"/>
      <c r="J35" s="48" t="str">
        <f>IF(I35="","",IFERROR(SUMPRODUCT((TableBOM[Product ID]=A35)*(TableBOM[Material Category]="SLUG")*TableBOM[Per 1000 Units]*(1+TableBOM[Scrap %]))*I35/1000,0))</f>
        <v/>
      </c>
      <c r="K35" s="48" t="str">
        <f>IF(I35="","",IFERROR(SUMPRODUCT((TableBOM[Product ID]=A35)*(TableBOM[Material Category]="BASE COAT")*TableBOM[Per 1000 Units]*(1+TableBOM[Scrap %]))*I35/1000,0))</f>
        <v/>
      </c>
      <c r="L35" s="48" t="str">
        <f>IF(I35="","",IFERROR(SUMPRODUCT((TableBOM[Product ID]=A35)*(TableBOM[Material Category]="LACQUER")*TableBOM[Per 1000 Units]*(1+TableBOM[Scrap %]))*I35/1000,0))</f>
        <v/>
      </c>
      <c r="M35" s="48" t="str">
        <f>IF(I35="","",IFERROR(SUMPRODUCT((TableBOM[Product ID]=A35)*(TableBOM[Material Category]="LATEX")*TableBOM[Per 1000 Units]*(1+TableBOM[Scrap %]))*I35/1000,0))</f>
        <v/>
      </c>
      <c r="N35" s="48" t="str">
        <f>IF(I35="","",IFERROR(SUMPRODUCT((TableBOM[Product ID]=A35)*(TableBOM[Material Category]="ZINC")*TableBOM[Per 1000 Units]*(1+TableBOM[Scrap %]))*I35/1000,0))</f>
        <v/>
      </c>
      <c r="O35" s="48" t="str">
        <f>IF(I35="","",IFERROR(SUMPRODUCT((TableBOM[Product ID]=A35)*(TableBOM[Material Category]="CAP")*TableBOM[Per 1000 Units]*(1+TableBOM[Scrap %]))*I35/1000,0))</f>
        <v/>
      </c>
      <c r="P35" s="48" t="str">
        <f>IF(I35="","",IFERROR(SUMPRODUCT((TableBOM[Product ID]=A35)*(TableBOM[Material Category]="CARTON")*TableBOM[Per 1000 Units]*(1+TableBOM[Scrap %]))*I35/1000,0))</f>
        <v/>
      </c>
      <c r="Q35" s="48"/>
      <c r="R35" s="48"/>
      <c r="S35" s="48"/>
    </row>
    <row r="36" spans="1:19" ht="15" customHeight="1" x14ac:dyDescent="0.25">
      <c r="A36" s="44">
        <v>6021</v>
      </c>
      <c r="B36" s="44">
        <v>131</v>
      </c>
      <c r="C36" s="44" t="s">
        <v>235</v>
      </c>
      <c r="D36" s="45" t="s">
        <v>239</v>
      </c>
      <c r="E36" s="44">
        <v>35</v>
      </c>
      <c r="F36" s="44">
        <v>165</v>
      </c>
      <c r="G36" s="44" t="s">
        <v>381</v>
      </c>
      <c r="H36" s="44">
        <v>180</v>
      </c>
      <c r="I36" s="61"/>
      <c r="J36" s="48" t="str">
        <f>IF(I36="","",IFERROR(SUMPRODUCT((TableBOM[Product ID]=A36)*(TableBOM[Material Category]="SLUG")*TableBOM[Per 1000 Units]*(1+TableBOM[Scrap %]))*I36/1000,0))</f>
        <v/>
      </c>
      <c r="K36" s="48" t="str">
        <f>IF(I36="","",IFERROR(SUMPRODUCT((TableBOM[Product ID]=A36)*(TableBOM[Material Category]="BASE COAT")*TableBOM[Per 1000 Units]*(1+TableBOM[Scrap %]))*I36/1000,0))</f>
        <v/>
      </c>
      <c r="L36" s="48" t="str">
        <f>IF(I36="","",IFERROR(SUMPRODUCT((TableBOM[Product ID]=A36)*(TableBOM[Material Category]="LACQUER")*TableBOM[Per 1000 Units]*(1+TableBOM[Scrap %]))*I36/1000,0))</f>
        <v/>
      </c>
      <c r="M36" s="48" t="str">
        <f>IF(I36="","",IFERROR(SUMPRODUCT((TableBOM[Product ID]=A36)*(TableBOM[Material Category]="LATEX")*TableBOM[Per 1000 Units]*(1+TableBOM[Scrap %]))*I36/1000,0))</f>
        <v/>
      </c>
      <c r="N36" s="48" t="str">
        <f>IF(I36="","",IFERROR(SUMPRODUCT((TableBOM[Product ID]=A36)*(TableBOM[Material Category]="ZINC")*TableBOM[Per 1000 Units]*(1+TableBOM[Scrap %]))*I36/1000,0))</f>
        <v/>
      </c>
      <c r="O36" s="48" t="str">
        <f>IF(I36="","",IFERROR(SUMPRODUCT((TableBOM[Product ID]=A36)*(TableBOM[Material Category]="CAP")*TableBOM[Per 1000 Units]*(1+TableBOM[Scrap %]))*I36/1000,0))</f>
        <v/>
      </c>
      <c r="P36" s="48" t="str">
        <f>IF(I36="","",IFERROR(SUMPRODUCT((TableBOM[Product ID]=A36)*(TableBOM[Material Category]="CARTON")*TableBOM[Per 1000 Units]*(1+TableBOM[Scrap %]))*I36/1000,0))</f>
        <v/>
      </c>
      <c r="Q36" s="48"/>
      <c r="R36" s="48"/>
      <c r="S36" s="48"/>
    </row>
    <row r="37" spans="1:19" ht="15" customHeight="1" x14ac:dyDescent="0.25">
      <c r="A37" s="44">
        <v>6530</v>
      </c>
      <c r="B37" s="44">
        <v>182</v>
      </c>
      <c r="C37" s="44" t="s">
        <v>235</v>
      </c>
      <c r="D37" s="45" t="s">
        <v>236</v>
      </c>
      <c r="E37" s="44">
        <v>35</v>
      </c>
      <c r="F37" s="44">
        <v>170</v>
      </c>
      <c r="G37" s="44" t="s">
        <v>381</v>
      </c>
      <c r="H37" s="44">
        <v>336</v>
      </c>
      <c r="I37" s="61"/>
      <c r="J37" s="48" t="str">
        <f>IF(I37="","",IFERROR(SUMPRODUCT((TableBOM[Product ID]=A37)*(TableBOM[Material Category]="SLUG")*TableBOM[Per 1000 Units]*(1+TableBOM[Scrap %]))*I37/1000,0))</f>
        <v/>
      </c>
      <c r="K37" s="48" t="str">
        <f>IF(I37="","",IFERROR(SUMPRODUCT((TableBOM[Product ID]=A37)*(TableBOM[Material Category]="BASE COAT")*TableBOM[Per 1000 Units]*(1+TableBOM[Scrap %]))*I37/1000,0))</f>
        <v/>
      </c>
      <c r="L37" s="48" t="str">
        <f>IF(I37="","",IFERROR(SUMPRODUCT((TableBOM[Product ID]=A37)*(TableBOM[Material Category]="LACQUER")*TableBOM[Per 1000 Units]*(1+TableBOM[Scrap %]))*I37/1000,0))</f>
        <v/>
      </c>
      <c r="M37" s="48" t="str">
        <f>IF(I37="","",IFERROR(SUMPRODUCT((TableBOM[Product ID]=A37)*(TableBOM[Material Category]="LATEX")*TableBOM[Per 1000 Units]*(1+TableBOM[Scrap %]))*I37/1000,0))</f>
        <v/>
      </c>
      <c r="N37" s="48" t="str">
        <f>IF(I37="","",IFERROR(SUMPRODUCT((TableBOM[Product ID]=A37)*(TableBOM[Material Category]="ZINC")*TableBOM[Per 1000 Units]*(1+TableBOM[Scrap %]))*I37/1000,0))</f>
        <v/>
      </c>
      <c r="O37" s="48" t="str">
        <f>IF(I37="","",IFERROR(SUMPRODUCT((TableBOM[Product ID]=A37)*(TableBOM[Material Category]="CAP")*TableBOM[Per 1000 Units]*(1+TableBOM[Scrap %]))*I37/1000,0))</f>
        <v/>
      </c>
      <c r="P37" s="48" t="str">
        <f>IF(I37="","",IFERROR(SUMPRODUCT((TableBOM[Product ID]=A37)*(TableBOM[Material Category]="CARTON")*TableBOM[Per 1000 Units]*(1+TableBOM[Scrap %]))*I37/1000,0))</f>
        <v/>
      </c>
      <c r="Q37" s="48"/>
      <c r="R37" s="48"/>
      <c r="S37" s="48"/>
    </row>
    <row r="38" spans="1:19" ht="15" customHeight="1" x14ac:dyDescent="0.25">
      <c r="A38" s="44">
        <v>6531</v>
      </c>
      <c r="B38" s="44">
        <v>183</v>
      </c>
      <c r="C38" s="44" t="s">
        <v>235</v>
      </c>
      <c r="D38" s="45" t="s">
        <v>237</v>
      </c>
      <c r="E38" s="44">
        <v>35</v>
      </c>
      <c r="F38" s="44">
        <v>170</v>
      </c>
      <c r="G38" s="44" t="s">
        <v>381</v>
      </c>
      <c r="H38" s="44">
        <v>180</v>
      </c>
      <c r="I38" s="61">
        <v>22000</v>
      </c>
      <c r="J38" s="48">
        <f>IF(I38="","",IFERROR(SUMPRODUCT((TableBOM[Product ID]=A38)*(TableBOM[Material Category]="SLUG")*TableBOM[Per 1000 Units]*(1+TableBOM[Scrap %]))*I38/1000,0))</f>
        <v>310.24400000000009</v>
      </c>
      <c r="K38" s="48">
        <f>IF(I38="","",IFERROR(SUMPRODUCT((TableBOM[Product ID]=A38)*(TableBOM[Material Category]="BASE COAT")*TableBOM[Per 1000 Units]*(1+TableBOM[Scrap %]))*I38/1000,0))</f>
        <v>18.876000000000005</v>
      </c>
      <c r="L38" s="48">
        <f>IF(I38="","",IFERROR(SUMPRODUCT((TableBOM[Product ID]=A38)*(TableBOM[Material Category]="LACQUER")*TableBOM[Per 1000 Units]*(1+TableBOM[Scrap %]))*I38/1000,0))</f>
        <v>3.8720000000000003</v>
      </c>
      <c r="M38" s="48">
        <f>IF(I38="","",IFERROR(SUMPRODUCT((TableBOM[Product ID]=A38)*(TableBOM[Material Category]="LATEX")*TableBOM[Per 1000 Units]*(1+TableBOM[Scrap %]))*I38/1000,0))</f>
        <v>0</v>
      </c>
      <c r="N38" s="48">
        <f>IF(I38="","",IFERROR(SUMPRODUCT((TableBOM[Product ID]=A38)*(TableBOM[Material Category]="ZINC")*TableBOM[Per 1000 Units]*(1+TableBOM[Scrap %]))*I38/1000,0))</f>
        <v>0</v>
      </c>
      <c r="O38" s="48">
        <f>IF(I38="","",IFERROR(SUMPRODUCT((TableBOM[Product ID]=A38)*(TableBOM[Material Category]="CAP")*TableBOM[Per 1000 Units]*(1+TableBOM[Scrap %]))*I38/1000,0))</f>
        <v>22440</v>
      </c>
      <c r="P38" s="48">
        <f>IF(I38="","",IFERROR(SUMPRODUCT((TableBOM[Product ID]=A38)*(TableBOM[Material Category]="CARTON")*TableBOM[Per 1000 Units]*(1+TableBOM[Scrap %]))*I38/1000,0))</f>
        <v>146.65199999999999</v>
      </c>
      <c r="Q38" s="48"/>
      <c r="R38" s="48"/>
      <c r="S38" s="48"/>
    </row>
    <row r="39" spans="1:19" ht="15" customHeight="1" x14ac:dyDescent="0.25">
      <c r="A39" s="44">
        <v>8005</v>
      </c>
      <c r="B39" s="44">
        <v>805</v>
      </c>
      <c r="C39" s="44" t="s">
        <v>168</v>
      </c>
      <c r="D39" s="45" t="s">
        <v>180</v>
      </c>
      <c r="E39" s="44" t="s">
        <v>181</v>
      </c>
      <c r="F39" s="44">
        <v>0</v>
      </c>
      <c r="G39" s="44" t="s">
        <v>380</v>
      </c>
      <c r="H39" s="44">
        <v>0</v>
      </c>
      <c r="I39" s="61"/>
      <c r="J39" s="48" t="str">
        <f>IF(I39="","",IFERROR(SUMPRODUCT((TableBOM[Product ID]=A39)*(TableBOM[Material Category]="SLUG")*TableBOM[Per 1000 Units]*(1+TableBOM[Scrap %]))*I39/1000,0))</f>
        <v/>
      </c>
      <c r="K39" s="48" t="str">
        <f>IF(I39="","",IFERROR(SUMPRODUCT((TableBOM[Product ID]=A39)*(TableBOM[Material Category]="BASE COAT")*TableBOM[Per 1000 Units]*(1+TableBOM[Scrap %]))*I39/1000,0))</f>
        <v/>
      </c>
      <c r="L39" s="48" t="str">
        <f>IF(I39="","",IFERROR(SUMPRODUCT((TableBOM[Product ID]=A39)*(TableBOM[Material Category]="LACQUER")*TableBOM[Per 1000 Units]*(1+TableBOM[Scrap %]))*I39/1000,0))</f>
        <v/>
      </c>
      <c r="M39" s="48" t="str">
        <f>IF(I39="","",IFERROR(SUMPRODUCT((TableBOM[Product ID]=A39)*(TableBOM[Material Category]="LATEX")*TableBOM[Per 1000 Units]*(1+TableBOM[Scrap %]))*I39/1000,0))</f>
        <v/>
      </c>
      <c r="N39" s="48" t="str">
        <f>IF(I39="","",IFERROR(SUMPRODUCT((TableBOM[Product ID]=A39)*(TableBOM[Material Category]="ZINC")*TableBOM[Per 1000 Units]*(1+TableBOM[Scrap %]))*I39/1000,0))</f>
        <v/>
      </c>
      <c r="O39" s="48" t="str">
        <f>IF(I39="","",IFERROR(SUMPRODUCT((TableBOM[Product ID]=A39)*(TableBOM[Material Category]="CAP")*TableBOM[Per 1000 Units]*(1+TableBOM[Scrap %]))*I39/1000,0))</f>
        <v/>
      </c>
      <c r="P39" s="48" t="str">
        <f>IF(I39="","",IFERROR(SUMPRODUCT((TableBOM[Product ID]=A39)*(TableBOM[Material Category]="CARTON")*TableBOM[Per 1000 Units]*(1+TableBOM[Scrap %]))*I39/1000,0))</f>
        <v/>
      </c>
      <c r="Q39" s="48"/>
      <c r="R39" s="48"/>
      <c r="S39" s="48"/>
    </row>
    <row r="40" spans="1:19" ht="15" customHeight="1" x14ac:dyDescent="0.25">
      <c r="A40" s="44">
        <v>8011</v>
      </c>
      <c r="B40" s="44">
        <v>811</v>
      </c>
      <c r="C40" s="44" t="s">
        <v>168</v>
      </c>
      <c r="D40" s="45" t="s">
        <v>240</v>
      </c>
      <c r="E40" s="44" t="s">
        <v>181</v>
      </c>
      <c r="F40" s="44">
        <v>0</v>
      </c>
      <c r="G40" s="44" t="s">
        <v>380</v>
      </c>
      <c r="H40" s="44">
        <v>0</v>
      </c>
      <c r="I40" s="61"/>
      <c r="J40" s="48" t="str">
        <f>IF(I40="","",IFERROR(SUMPRODUCT((TableBOM[Product ID]=A40)*(TableBOM[Material Category]="SLUG")*TableBOM[Per 1000 Units]*(1+TableBOM[Scrap %]))*I40/1000,0))</f>
        <v/>
      </c>
      <c r="K40" s="48" t="str">
        <f>IF(I40="","",IFERROR(SUMPRODUCT((TableBOM[Product ID]=A40)*(TableBOM[Material Category]="BASE COAT")*TableBOM[Per 1000 Units]*(1+TableBOM[Scrap %]))*I40/1000,0))</f>
        <v/>
      </c>
      <c r="L40" s="48" t="str">
        <f>IF(I40="","",IFERROR(SUMPRODUCT((TableBOM[Product ID]=A40)*(TableBOM[Material Category]="LACQUER")*TableBOM[Per 1000 Units]*(1+TableBOM[Scrap %]))*I40/1000,0))</f>
        <v/>
      </c>
      <c r="M40" s="48" t="str">
        <f>IF(I40="","",IFERROR(SUMPRODUCT((TableBOM[Product ID]=A40)*(TableBOM[Material Category]="LATEX")*TableBOM[Per 1000 Units]*(1+TableBOM[Scrap %]))*I40/1000,0))</f>
        <v/>
      </c>
      <c r="N40" s="48" t="str">
        <f>IF(I40="","",IFERROR(SUMPRODUCT((TableBOM[Product ID]=A40)*(TableBOM[Material Category]="ZINC")*TableBOM[Per 1000 Units]*(1+TableBOM[Scrap %]))*I40/1000,0))</f>
        <v/>
      </c>
      <c r="O40" s="48" t="str">
        <f>IF(I40="","",IFERROR(SUMPRODUCT((TableBOM[Product ID]=A40)*(TableBOM[Material Category]="CAP")*TableBOM[Per 1000 Units]*(1+TableBOM[Scrap %]))*I40/1000,0))</f>
        <v/>
      </c>
      <c r="P40" s="48" t="str">
        <f>IF(I40="","",IFERROR(SUMPRODUCT((TableBOM[Product ID]=A40)*(TableBOM[Material Category]="CARTON")*TableBOM[Per 1000 Units]*(1+TableBOM[Scrap %]))*I40/1000,0))</f>
        <v/>
      </c>
      <c r="Q40" s="48"/>
      <c r="R40" s="48"/>
      <c r="S40" s="48"/>
    </row>
    <row r="41" spans="1:19" ht="15" customHeight="1" x14ac:dyDescent="0.25">
      <c r="A41" s="44">
        <v>8012</v>
      </c>
      <c r="B41" s="44">
        <v>812</v>
      </c>
      <c r="C41" s="44" t="s">
        <v>168</v>
      </c>
      <c r="D41" s="45" t="s">
        <v>241</v>
      </c>
      <c r="E41" s="44" t="s">
        <v>181</v>
      </c>
      <c r="F41" s="44">
        <v>0</v>
      </c>
      <c r="G41" s="44" t="s">
        <v>380</v>
      </c>
      <c r="H41" s="44">
        <v>0</v>
      </c>
      <c r="I41" s="61"/>
      <c r="J41" s="48" t="str">
        <f>IF(I41="","",IFERROR(SUMPRODUCT((TableBOM[Product ID]=A41)*(TableBOM[Material Category]="SLUG")*TableBOM[Per 1000 Units]*(1+TableBOM[Scrap %]))*I41/1000,0))</f>
        <v/>
      </c>
      <c r="K41" s="48" t="str">
        <f>IF(I41="","",IFERROR(SUMPRODUCT((TableBOM[Product ID]=A41)*(TableBOM[Material Category]="BASE COAT")*TableBOM[Per 1000 Units]*(1+TableBOM[Scrap %]))*I41/1000,0))</f>
        <v/>
      </c>
      <c r="L41" s="48" t="str">
        <f>IF(I41="","",IFERROR(SUMPRODUCT((TableBOM[Product ID]=A41)*(TableBOM[Material Category]="LACQUER")*TableBOM[Per 1000 Units]*(1+TableBOM[Scrap %]))*I41/1000,0))</f>
        <v/>
      </c>
      <c r="M41" s="48" t="str">
        <f>IF(I41="","",IFERROR(SUMPRODUCT((TableBOM[Product ID]=A41)*(TableBOM[Material Category]="LATEX")*TableBOM[Per 1000 Units]*(1+TableBOM[Scrap %]))*I41/1000,0))</f>
        <v/>
      </c>
      <c r="N41" s="48" t="str">
        <f>IF(I41="","",IFERROR(SUMPRODUCT((TableBOM[Product ID]=A41)*(TableBOM[Material Category]="ZINC")*TableBOM[Per 1000 Units]*(1+TableBOM[Scrap %]))*I41/1000,0))</f>
        <v/>
      </c>
      <c r="O41" s="48" t="str">
        <f>IF(I41="","",IFERROR(SUMPRODUCT((TableBOM[Product ID]=A41)*(TableBOM[Material Category]="CAP")*TableBOM[Per 1000 Units]*(1+TableBOM[Scrap %]))*I41/1000,0))</f>
        <v/>
      </c>
      <c r="P41" s="48" t="str">
        <f>IF(I41="","",IFERROR(SUMPRODUCT((TableBOM[Product ID]=A41)*(TableBOM[Material Category]="CARTON")*TableBOM[Per 1000 Units]*(1+TableBOM[Scrap %]))*I41/1000,0))</f>
        <v/>
      </c>
      <c r="Q41" s="48"/>
      <c r="R41" s="48"/>
      <c r="S41" s="48"/>
    </row>
    <row r="42" spans="1:19" ht="15" customHeight="1" x14ac:dyDescent="0.25">
      <c r="A42" s="44">
        <v>8010</v>
      </c>
      <c r="B42" s="44">
        <v>810</v>
      </c>
      <c r="C42" s="44" t="s">
        <v>175</v>
      </c>
      <c r="D42" t="s">
        <v>185</v>
      </c>
      <c r="E42" s="44" t="s">
        <v>184</v>
      </c>
      <c r="F42" s="44">
        <v>0</v>
      </c>
      <c r="G42" s="44" t="s">
        <v>380</v>
      </c>
      <c r="H42" s="44">
        <v>0</v>
      </c>
      <c r="I42" s="61"/>
      <c r="J42" s="48" t="str">
        <f>IF(I42="","",IFERROR(SUMPRODUCT((TableBOM[Product ID]=A42)*(TableBOM[Material Category]="SLUG")*TableBOM[Per 1000 Units]*(1+TableBOM[Scrap %]))*I42/1000,0))</f>
        <v/>
      </c>
      <c r="K42" s="48" t="str">
        <f>IF(I42="","",IFERROR(SUMPRODUCT((TableBOM[Product ID]=A42)*(TableBOM[Material Category]="BASE COAT")*TableBOM[Per 1000 Units]*(1+TableBOM[Scrap %]))*I42/1000,0))</f>
        <v/>
      </c>
      <c r="L42" s="48" t="str">
        <f>IF(I42="","",IFERROR(SUMPRODUCT((TableBOM[Product ID]=A42)*(TableBOM[Material Category]="LACQUER")*TableBOM[Per 1000 Units]*(1+TableBOM[Scrap %]))*I42/1000,0))</f>
        <v/>
      </c>
      <c r="M42" s="48" t="str">
        <f>IF(I42="","",IFERROR(SUMPRODUCT((TableBOM[Product ID]=A42)*(TableBOM[Material Category]="LATEX")*TableBOM[Per 1000 Units]*(1+TableBOM[Scrap %]))*I42/1000,0))</f>
        <v/>
      </c>
      <c r="N42" s="48" t="str">
        <f>IF(I42="","",IFERROR(SUMPRODUCT((TableBOM[Product ID]=A42)*(TableBOM[Material Category]="ZINC")*TableBOM[Per 1000 Units]*(1+TableBOM[Scrap %]))*I42/1000,0))</f>
        <v/>
      </c>
      <c r="O42" s="48" t="str">
        <f>IF(I42="","",IFERROR(SUMPRODUCT((TableBOM[Product ID]=A42)*(TableBOM[Material Category]="CAP")*TableBOM[Per 1000 Units]*(1+TableBOM[Scrap %]))*I42/1000,0))</f>
        <v/>
      </c>
      <c r="P42" s="48" t="str">
        <f>IF(I42="","",IFERROR(SUMPRODUCT((TableBOM[Product ID]=A42)*(TableBOM[Material Category]="CARTON")*TableBOM[Per 1000 Units]*(1+TableBOM[Scrap %]))*I42/1000,0))</f>
        <v/>
      </c>
      <c r="Q42" s="48"/>
      <c r="R42" s="48"/>
      <c r="S42" s="48"/>
    </row>
    <row r="43" spans="1:19" x14ac:dyDescent="0.25">
      <c r="A43" s="44">
        <v>8015</v>
      </c>
      <c r="B43" s="44"/>
      <c r="C43" s="44" t="s">
        <v>175</v>
      </c>
      <c r="D43" s="45" t="s">
        <v>183</v>
      </c>
      <c r="E43" s="44" t="s">
        <v>184</v>
      </c>
      <c r="F43" s="44"/>
      <c r="G43" s="44"/>
      <c r="H43" s="44"/>
      <c r="I43" s="61"/>
      <c r="J43" s="48" t="str">
        <f>IF(I43="","",IFERROR(SUMPRODUCT((TableBOM[Product ID]=A43)*(TableBOM[Material Category]="SLUG")*TableBOM[Per 1000 Units]*(1+TableBOM[Scrap %]))*I43/1000,0))</f>
        <v/>
      </c>
      <c r="K43" s="48" t="str">
        <f>IF(I43="","",IFERROR(SUMPRODUCT((TableBOM[Product ID]=A43)*(TableBOM[Material Category]="BASE COAT")*TableBOM[Per 1000 Units]*(1+TableBOM[Scrap %]))*I43/1000,0))</f>
        <v/>
      </c>
      <c r="L43" s="48" t="str">
        <f>IF(I43="","",IFERROR(SUMPRODUCT((TableBOM[Product ID]=A43)*(TableBOM[Material Category]="LACQUER")*TableBOM[Per 1000 Units]*(1+TableBOM[Scrap %]))*I43/1000,0))</f>
        <v/>
      </c>
      <c r="M43" s="48" t="str">
        <f>IF(I43="","",IFERROR(SUMPRODUCT((TableBOM[Product ID]=A43)*(TableBOM[Material Category]="LATEX")*TableBOM[Per 1000 Units]*(1+TableBOM[Scrap %]))*I43/1000,0))</f>
        <v/>
      </c>
      <c r="N43" s="48" t="str">
        <f>IF(I43="","",IFERROR(SUMPRODUCT((TableBOM[Product ID]=A43)*(TableBOM[Material Category]="ZINC")*TableBOM[Per 1000 Units]*(1+TableBOM[Scrap %]))*I43/1000,0))</f>
        <v/>
      </c>
      <c r="O43" s="48" t="str">
        <f>IF(I43="","",IFERROR(SUMPRODUCT((TableBOM[Product ID]=A43)*(TableBOM[Material Category]="CAP")*TableBOM[Per 1000 Units]*(1+TableBOM[Scrap %]))*I43/1000,0))</f>
        <v/>
      </c>
      <c r="P43" s="48" t="str">
        <f>IF(I43="","",IFERROR(SUMPRODUCT((TableBOM[Product ID]=A43)*(TableBOM[Material Category]="CARTON")*TableBOM[Per 1000 Units]*(1+TableBOM[Scrap %]))*I43/1000,0))</f>
        <v/>
      </c>
      <c r="Q43" s="48"/>
      <c r="R43" s="48"/>
      <c r="S43" s="48"/>
    </row>
    <row r="44" spans="1:19" ht="15" customHeight="1" x14ac:dyDescent="0.25">
      <c r="A44" s="44">
        <v>8001</v>
      </c>
      <c r="B44" s="44">
        <v>800</v>
      </c>
      <c r="C44" s="44" t="s">
        <v>187</v>
      </c>
      <c r="D44" s="45" t="s">
        <v>188</v>
      </c>
      <c r="E44" s="44" t="s">
        <v>189</v>
      </c>
      <c r="F44" s="44">
        <v>0</v>
      </c>
      <c r="G44" s="44" t="s">
        <v>380</v>
      </c>
      <c r="H44" s="44">
        <v>0</v>
      </c>
      <c r="I44" s="61">
        <v>45000</v>
      </c>
      <c r="J44" s="48">
        <f>IF(I44="","",IFERROR(SUMPRODUCT((TableBOM[Product ID]=A44)*(TableBOM[Material Category]="SLUG")*TableBOM[Per 1000 Units]*(1+TableBOM[Scrap %]))*I44/1000,0))</f>
        <v>0</v>
      </c>
      <c r="K44" s="48">
        <f>IF(I44="","",IFERROR(SUMPRODUCT((TableBOM[Product ID]=A44)*(TableBOM[Material Category]="BASE COAT")*TableBOM[Per 1000 Units]*(1+TableBOM[Scrap %]))*I44/1000,0))</f>
        <v>0</v>
      </c>
      <c r="L44" s="48">
        <f>IF(I44="","",IFERROR(SUMPRODUCT((TableBOM[Product ID]=A44)*(TableBOM[Material Category]="LACQUER")*TableBOM[Per 1000 Units]*(1+TableBOM[Scrap %]))*I44/1000,0))</f>
        <v>0</v>
      </c>
      <c r="M44" s="48">
        <f>IF(I44="","",IFERROR(SUMPRODUCT((TableBOM[Product ID]=A44)*(TableBOM[Material Category]="LATEX")*TableBOM[Per 1000 Units]*(1+TableBOM[Scrap %]))*I44/1000,0))</f>
        <v>0</v>
      </c>
      <c r="N44" s="48">
        <f>IF(I44="","",IFERROR(SUMPRODUCT((TableBOM[Product ID]=A44)*(TableBOM[Material Category]="ZINC")*TableBOM[Per 1000 Units]*(1+TableBOM[Scrap %]))*I44/1000,0))</f>
        <v>0</v>
      </c>
      <c r="O44" s="48">
        <f>IF(I44="","",IFERROR(SUMPRODUCT((TableBOM[Product ID]=A44)*(TableBOM[Material Category]="CAP")*TableBOM[Per 1000 Units]*(1+TableBOM[Scrap %]))*I44/1000,0))</f>
        <v>0</v>
      </c>
      <c r="P44" s="48">
        <f>IF(I44="","",IFERROR(SUMPRODUCT((TableBOM[Product ID]=A44)*(TableBOM[Material Category]="CARTON")*TableBOM[Per 1000 Units]*(1+TableBOM[Scrap %]))*I44/1000,0))</f>
        <v>0</v>
      </c>
      <c r="Q44" s="48"/>
      <c r="R44" s="48"/>
      <c r="S44" s="48"/>
    </row>
    <row r="45" spans="1:19" ht="15" customHeight="1" x14ac:dyDescent="0.25">
      <c r="A45" s="44">
        <v>8006</v>
      </c>
      <c r="B45" s="44">
        <v>806</v>
      </c>
      <c r="C45" s="44" t="s">
        <v>168</v>
      </c>
      <c r="D45" s="45" t="s">
        <v>193</v>
      </c>
      <c r="E45" s="44" t="s">
        <v>194</v>
      </c>
      <c r="F45" s="44">
        <v>0</v>
      </c>
      <c r="G45" s="44" t="s">
        <v>380</v>
      </c>
      <c r="H45" s="44">
        <v>0</v>
      </c>
      <c r="I45" s="61"/>
      <c r="J45" s="48" t="str">
        <f>IF(I45="","",IFERROR(SUMPRODUCT((TableBOM[Product ID]=A45)*(TableBOM[Material Category]="SLUG")*TableBOM[Per 1000 Units]*(1+TableBOM[Scrap %]))*I45/1000,0))</f>
        <v/>
      </c>
      <c r="K45" s="48" t="str">
        <f>IF(I45="","",IFERROR(SUMPRODUCT((TableBOM[Product ID]=A45)*(TableBOM[Material Category]="BASE COAT")*TableBOM[Per 1000 Units]*(1+TableBOM[Scrap %]))*I45/1000,0))</f>
        <v/>
      </c>
      <c r="L45" s="48" t="str">
        <f>IF(I45="","",IFERROR(SUMPRODUCT((TableBOM[Product ID]=A45)*(TableBOM[Material Category]="LACQUER")*TableBOM[Per 1000 Units]*(1+TableBOM[Scrap %]))*I45/1000,0))</f>
        <v/>
      </c>
      <c r="M45" s="48" t="str">
        <f>IF(I45="","",IFERROR(SUMPRODUCT((TableBOM[Product ID]=A45)*(TableBOM[Material Category]="LATEX")*TableBOM[Per 1000 Units]*(1+TableBOM[Scrap %]))*I45/1000,0))</f>
        <v/>
      </c>
      <c r="N45" s="48" t="str">
        <f>IF(I45="","",IFERROR(SUMPRODUCT((TableBOM[Product ID]=A45)*(TableBOM[Material Category]="ZINC")*TableBOM[Per 1000 Units]*(1+TableBOM[Scrap %]))*I45/1000,0))</f>
        <v/>
      </c>
      <c r="O45" s="48" t="str">
        <f>IF(I45="","",IFERROR(SUMPRODUCT((TableBOM[Product ID]=A45)*(TableBOM[Material Category]="CAP")*TableBOM[Per 1000 Units]*(1+TableBOM[Scrap %]))*I45/1000,0))</f>
        <v/>
      </c>
      <c r="P45" s="48" t="str">
        <f>IF(I45="","",IFERROR(SUMPRODUCT((TableBOM[Product ID]=A45)*(TableBOM[Material Category]="CARTON")*TableBOM[Per 1000 Units]*(1+TableBOM[Scrap %]))*I45/1000,0))</f>
        <v/>
      </c>
      <c r="Q45" s="48"/>
      <c r="R45" s="48"/>
      <c r="S45" s="48"/>
    </row>
    <row r="46" spans="1:19" ht="15" customHeight="1" x14ac:dyDescent="0.25">
      <c r="A46" s="44">
        <v>8007</v>
      </c>
      <c r="B46" s="44">
        <v>807</v>
      </c>
      <c r="C46" s="44" t="s">
        <v>168</v>
      </c>
      <c r="D46" s="45" t="s">
        <v>242</v>
      </c>
      <c r="E46" s="44" t="s">
        <v>194</v>
      </c>
      <c r="F46" s="44">
        <v>0</v>
      </c>
      <c r="G46" s="44" t="s">
        <v>380</v>
      </c>
      <c r="H46" s="44">
        <v>0</v>
      </c>
      <c r="I46" s="61"/>
      <c r="J46" s="48" t="str">
        <f>IF(I46="","",IFERROR(SUMPRODUCT((TableBOM[Product ID]=A46)*(TableBOM[Material Category]="SLUG")*TableBOM[Per 1000 Units]*(1+TableBOM[Scrap %]))*I46/1000,0))</f>
        <v/>
      </c>
      <c r="K46" s="48" t="str">
        <f>IF(I46="","",IFERROR(SUMPRODUCT((TableBOM[Product ID]=A46)*(TableBOM[Material Category]="BASE COAT")*TableBOM[Per 1000 Units]*(1+TableBOM[Scrap %]))*I46/1000,0))</f>
        <v/>
      </c>
      <c r="L46" s="48" t="str">
        <f>IF(I46="","",IFERROR(SUMPRODUCT((TableBOM[Product ID]=A46)*(TableBOM[Material Category]="LACQUER")*TableBOM[Per 1000 Units]*(1+TableBOM[Scrap %]))*I46/1000,0))</f>
        <v/>
      </c>
      <c r="M46" s="48" t="str">
        <f>IF(I46="","",IFERROR(SUMPRODUCT((TableBOM[Product ID]=A46)*(TableBOM[Material Category]="LATEX")*TableBOM[Per 1000 Units]*(1+TableBOM[Scrap %]))*I46/1000,0))</f>
        <v/>
      </c>
      <c r="N46" s="48" t="str">
        <f>IF(I46="","",IFERROR(SUMPRODUCT((TableBOM[Product ID]=A46)*(TableBOM[Material Category]="ZINC")*TableBOM[Per 1000 Units]*(1+TableBOM[Scrap %]))*I46/1000,0))</f>
        <v/>
      </c>
      <c r="O46" s="48" t="str">
        <f>IF(I46="","",IFERROR(SUMPRODUCT((TableBOM[Product ID]=A46)*(TableBOM[Material Category]="CAP")*TableBOM[Per 1000 Units]*(1+TableBOM[Scrap %]))*I46/1000,0))</f>
        <v/>
      </c>
      <c r="P46" s="48" t="str">
        <f>IF(I46="","",IFERROR(SUMPRODUCT((TableBOM[Product ID]=A46)*(TableBOM[Material Category]="CARTON")*TableBOM[Per 1000 Units]*(1+TableBOM[Scrap %]))*I46/1000,0))</f>
        <v/>
      </c>
      <c r="Q46" s="48"/>
      <c r="R46" s="48"/>
      <c r="S46" s="48"/>
    </row>
    <row r="47" spans="1:19" ht="15" customHeight="1" x14ac:dyDescent="0.25">
      <c r="A47" s="44">
        <v>8008</v>
      </c>
      <c r="B47" s="44">
        <v>808</v>
      </c>
      <c r="C47" s="44" t="s">
        <v>168</v>
      </c>
      <c r="D47" s="45" t="s">
        <v>245</v>
      </c>
      <c r="E47" s="44" t="s">
        <v>194</v>
      </c>
      <c r="F47" s="44">
        <v>0</v>
      </c>
      <c r="G47" s="44" t="s">
        <v>380</v>
      </c>
      <c r="H47" s="44">
        <v>0</v>
      </c>
      <c r="I47" s="61"/>
      <c r="J47" s="48" t="str">
        <f>IF(I47="","",IFERROR(SUMPRODUCT((TableBOM[Product ID]=A47)*(TableBOM[Material Category]="SLUG")*TableBOM[Per 1000 Units]*(1+TableBOM[Scrap %]))*I47/1000,0))</f>
        <v/>
      </c>
      <c r="K47" s="48" t="str">
        <f>IF(I47="","",IFERROR(SUMPRODUCT((TableBOM[Product ID]=A47)*(TableBOM[Material Category]="BASE COAT")*TableBOM[Per 1000 Units]*(1+TableBOM[Scrap %]))*I47/1000,0))</f>
        <v/>
      </c>
      <c r="L47" s="48" t="str">
        <f>IF(I47="","",IFERROR(SUMPRODUCT((TableBOM[Product ID]=A47)*(TableBOM[Material Category]="LACQUER")*TableBOM[Per 1000 Units]*(1+TableBOM[Scrap %]))*I47/1000,0))</f>
        <v/>
      </c>
      <c r="M47" s="48" t="str">
        <f>IF(I47="","",IFERROR(SUMPRODUCT((TableBOM[Product ID]=A47)*(TableBOM[Material Category]="LATEX")*TableBOM[Per 1000 Units]*(1+TableBOM[Scrap %]))*I47/1000,0))</f>
        <v/>
      </c>
      <c r="N47" s="48" t="str">
        <f>IF(I47="","",IFERROR(SUMPRODUCT((TableBOM[Product ID]=A47)*(TableBOM[Material Category]="ZINC")*TableBOM[Per 1000 Units]*(1+TableBOM[Scrap %]))*I47/1000,0))</f>
        <v/>
      </c>
      <c r="O47" s="48" t="str">
        <f>IF(I47="","",IFERROR(SUMPRODUCT((TableBOM[Product ID]=A47)*(TableBOM[Material Category]="CAP")*TableBOM[Per 1000 Units]*(1+TableBOM[Scrap %]))*I47/1000,0))</f>
        <v/>
      </c>
      <c r="P47" s="48" t="str">
        <f>IF(I47="","",IFERROR(SUMPRODUCT((TableBOM[Product ID]=A47)*(TableBOM[Material Category]="CARTON")*TableBOM[Per 1000 Units]*(1+TableBOM[Scrap %]))*I47/1000,0))</f>
        <v/>
      </c>
      <c r="Q47" s="48"/>
      <c r="R47" s="48"/>
      <c r="S47" s="48"/>
    </row>
    <row r="48" spans="1:19" ht="15" customHeight="1" x14ac:dyDescent="0.25">
      <c r="A48" s="44">
        <v>8014</v>
      </c>
      <c r="B48" s="44">
        <v>814</v>
      </c>
      <c r="C48" s="44" t="s">
        <v>168</v>
      </c>
      <c r="D48" s="45" t="s">
        <v>243</v>
      </c>
      <c r="E48" s="44" t="s">
        <v>194</v>
      </c>
      <c r="F48" s="44">
        <v>0</v>
      </c>
      <c r="G48" s="44" t="s">
        <v>380</v>
      </c>
      <c r="H48" s="44">
        <v>0</v>
      </c>
      <c r="I48" s="61"/>
      <c r="J48" s="48" t="str">
        <f>IF(I48="","",IFERROR(SUMPRODUCT((TableBOM[Product ID]=A48)*(TableBOM[Material Category]="SLUG")*TableBOM[Per 1000 Units]*(1+TableBOM[Scrap %]))*I48/1000,0))</f>
        <v/>
      </c>
      <c r="K48" s="48" t="str">
        <f>IF(I48="","",IFERROR(SUMPRODUCT((TableBOM[Product ID]=A48)*(TableBOM[Material Category]="BASE COAT")*TableBOM[Per 1000 Units]*(1+TableBOM[Scrap %]))*I48/1000,0))</f>
        <v/>
      </c>
      <c r="L48" s="48" t="str">
        <f>IF(I48="","",IFERROR(SUMPRODUCT((TableBOM[Product ID]=A48)*(TableBOM[Material Category]="LACQUER")*TableBOM[Per 1000 Units]*(1+TableBOM[Scrap %]))*I48/1000,0))</f>
        <v/>
      </c>
      <c r="M48" s="48" t="str">
        <f>IF(I48="","",IFERROR(SUMPRODUCT((TableBOM[Product ID]=A48)*(TableBOM[Material Category]="LATEX")*TableBOM[Per 1000 Units]*(1+TableBOM[Scrap %]))*I48/1000,0))</f>
        <v/>
      </c>
      <c r="N48" s="48" t="str">
        <f>IF(I48="","",IFERROR(SUMPRODUCT((TableBOM[Product ID]=A48)*(TableBOM[Material Category]="ZINC")*TableBOM[Per 1000 Units]*(1+TableBOM[Scrap %]))*I48/1000,0))</f>
        <v/>
      </c>
      <c r="O48" s="48" t="str">
        <f>IF(I48="","",IFERROR(SUMPRODUCT((TableBOM[Product ID]=A48)*(TableBOM[Material Category]="CAP")*TableBOM[Per 1000 Units]*(1+TableBOM[Scrap %]))*I48/1000,0))</f>
        <v/>
      </c>
      <c r="P48" s="48" t="str">
        <f>IF(I48="","",IFERROR(SUMPRODUCT((TableBOM[Product ID]=A48)*(TableBOM[Material Category]="CARTON")*TableBOM[Per 1000 Units]*(1+TableBOM[Scrap %]))*I48/1000,0))</f>
        <v/>
      </c>
      <c r="Q48" s="48"/>
      <c r="R48" s="48"/>
      <c r="S48" s="48"/>
    </row>
    <row r="49" spans="1:19" ht="15" customHeight="1" x14ac:dyDescent="0.25">
      <c r="A49" s="166">
        <v>8016</v>
      </c>
      <c r="B49" s="166">
        <v>816</v>
      </c>
      <c r="C49" s="166" t="s">
        <v>168</v>
      </c>
      <c r="D49" s="167" t="s">
        <v>244</v>
      </c>
      <c r="E49" s="166" t="s">
        <v>194</v>
      </c>
      <c r="F49" s="166">
        <v>0</v>
      </c>
      <c r="G49" s="166" t="s">
        <v>380</v>
      </c>
      <c r="H49" s="166">
        <v>0</v>
      </c>
      <c r="I49" s="171"/>
      <c r="J49" s="170" t="str">
        <f>IF(I49="","",IFERROR(SUMPRODUCT((TableBOM[Product ID]=A49)*(TableBOM[Material Category]="SLUG")*TableBOM[Per 1000 Units]*(1+TableBOM[Scrap %]))*I49/1000,0))</f>
        <v/>
      </c>
      <c r="K49" s="170" t="str">
        <f>IF(I49="","",IFERROR(SUMPRODUCT((TableBOM[Product ID]=A49)*(TableBOM[Material Category]="BASE COAT")*TableBOM[Per 1000 Units]*(1+TableBOM[Scrap %]))*I49/1000,0))</f>
        <v/>
      </c>
      <c r="L49" s="170" t="str">
        <f>IF(I49="","",IFERROR(SUMPRODUCT((TableBOM[Product ID]=A49)*(TableBOM[Material Category]="LACQUER")*TableBOM[Per 1000 Units]*(1+TableBOM[Scrap %]))*I49/1000,0))</f>
        <v/>
      </c>
      <c r="M49" s="170" t="str">
        <f>IF(I49="","",IFERROR(SUMPRODUCT((TableBOM[Product ID]=A49)*(TableBOM[Material Category]="LATEX")*TableBOM[Per 1000 Units]*(1+TableBOM[Scrap %]))*I49/1000,0))</f>
        <v/>
      </c>
      <c r="N49" s="170" t="str">
        <f>IF(I49="","",IFERROR(SUMPRODUCT((TableBOM[Product ID]=A49)*(TableBOM[Material Category]="ZINC")*TableBOM[Per 1000 Units]*(1+TableBOM[Scrap %]))*I49/1000,0))</f>
        <v/>
      </c>
      <c r="O49" s="170" t="str">
        <f>IF(I49="","",IFERROR(SUMPRODUCT((TableBOM[Product ID]=A49)*(TableBOM[Material Category]="CAP")*TableBOM[Per 1000 Units]*(1+TableBOM[Scrap %]))*I49/1000,0))</f>
        <v/>
      </c>
      <c r="P49" s="170" t="str">
        <f>IF(I49="","",IFERROR(SUMPRODUCT((TableBOM[Product ID]=A49)*(TableBOM[Material Category]="CARTON")*TableBOM[Per 1000 Units]*(1+TableBOM[Scrap %]))*I49/1000,0))</f>
        <v/>
      </c>
      <c r="Q49" s="170"/>
      <c r="R49" s="170"/>
      <c r="S49" s="170"/>
    </row>
    <row r="50" spans="1:19" ht="15" customHeight="1" x14ac:dyDescent="0.25">
      <c r="A50" s="44">
        <v>8009</v>
      </c>
      <c r="B50" s="44">
        <v>809</v>
      </c>
      <c r="C50" s="44" t="s">
        <v>175</v>
      </c>
      <c r="D50" s="45" t="s">
        <v>246</v>
      </c>
      <c r="E50" s="44" t="s">
        <v>247</v>
      </c>
      <c r="F50" s="44">
        <v>0</v>
      </c>
      <c r="G50" s="44" t="s">
        <v>380</v>
      </c>
      <c r="H50" s="44">
        <v>0</v>
      </c>
      <c r="I50" s="61"/>
      <c r="J50" s="48" t="str">
        <f>IF(I50="","",IFERROR(SUMPRODUCT((TableBOM[Product ID]=A50)*(TableBOM[Material Category]="SLUG")*TableBOM[Per 1000 Units]*(1+TableBOM[Scrap %]))*I50/1000,0))</f>
        <v/>
      </c>
      <c r="K50" s="48" t="str">
        <f>IF(I50="","",IFERROR(SUMPRODUCT((TableBOM[Product ID]=A50)*(TableBOM[Material Category]="BASE COAT")*TableBOM[Per 1000 Units]*(1+TableBOM[Scrap %]))*I50/1000,0))</f>
        <v/>
      </c>
      <c r="L50" s="48" t="str">
        <f>IF(I50="","",IFERROR(SUMPRODUCT((TableBOM[Product ID]=A50)*(TableBOM[Material Category]="LACQUER")*TableBOM[Per 1000 Units]*(1+TableBOM[Scrap %]))*I50/1000,0))</f>
        <v/>
      </c>
      <c r="M50" s="48" t="str">
        <f>IF(I50="","",IFERROR(SUMPRODUCT((TableBOM[Product ID]=A50)*(TableBOM[Material Category]="LATEX")*TableBOM[Per 1000 Units]*(1+TableBOM[Scrap %]))*I50/1000,0))</f>
        <v/>
      </c>
      <c r="N50" s="48" t="str">
        <f>IF(I50="","",IFERROR(SUMPRODUCT((TableBOM[Product ID]=A50)*(TableBOM[Material Category]="ZINC")*TableBOM[Per 1000 Units]*(1+TableBOM[Scrap %]))*I50/1000,0))</f>
        <v/>
      </c>
      <c r="O50" s="48" t="str">
        <f>IF(I50="","",IFERROR(SUMPRODUCT((TableBOM[Product ID]=A50)*(TableBOM[Material Category]="CAP")*TableBOM[Per 1000 Units]*(1+TableBOM[Scrap %]))*I50/1000,0))</f>
        <v/>
      </c>
      <c r="P50" s="48" t="str">
        <f>IF(I50="","",IFERROR(SUMPRODUCT((TableBOM[Product ID]=A50)*(TableBOM[Material Category]="CARTON")*TableBOM[Per 1000 Units]*(1+TableBOM[Scrap %]))*I50/1000,0))</f>
        <v/>
      </c>
      <c r="Q50" s="48"/>
      <c r="R50" s="48"/>
      <c r="S50" s="48"/>
    </row>
    <row r="51" spans="1:19" ht="15" customHeight="1" x14ac:dyDescent="0.25">
      <c r="A51" s="44">
        <v>8013</v>
      </c>
      <c r="B51" s="44">
        <v>813</v>
      </c>
      <c r="C51" s="44" t="s">
        <v>175</v>
      </c>
      <c r="D51" s="45" t="s">
        <v>248</v>
      </c>
      <c r="E51" s="44" t="s">
        <v>249</v>
      </c>
      <c r="F51" s="44">
        <v>0</v>
      </c>
      <c r="G51" s="44" t="s">
        <v>380</v>
      </c>
      <c r="H51" s="44">
        <v>0</v>
      </c>
      <c r="I51" s="61"/>
      <c r="J51" s="48" t="str">
        <f>IF(I51="","",IFERROR(SUMPRODUCT((TableBOM[Product ID]=A51)*(TableBOM[Material Category]="SLUG")*TableBOM[Per 1000 Units]*(1+TableBOM[Scrap %]))*I51/1000,0))</f>
        <v/>
      </c>
      <c r="K51" s="48" t="str">
        <f>IF(I51="","",IFERROR(SUMPRODUCT((TableBOM[Product ID]=A51)*(TableBOM[Material Category]="BASE COAT")*TableBOM[Per 1000 Units]*(1+TableBOM[Scrap %]))*I51/1000,0))</f>
        <v/>
      </c>
      <c r="L51" s="48" t="str">
        <f>IF(I51="","",IFERROR(SUMPRODUCT((TableBOM[Product ID]=A51)*(TableBOM[Material Category]="LACQUER")*TableBOM[Per 1000 Units]*(1+TableBOM[Scrap %]))*I51/1000,0))</f>
        <v/>
      </c>
      <c r="M51" s="48" t="str">
        <f>IF(I51="","",IFERROR(SUMPRODUCT((TableBOM[Product ID]=A51)*(TableBOM[Material Category]="LATEX")*TableBOM[Per 1000 Units]*(1+TableBOM[Scrap %]))*I51/1000,0))</f>
        <v/>
      </c>
      <c r="N51" s="48" t="str">
        <f>IF(I51="","",IFERROR(SUMPRODUCT((TableBOM[Product ID]=A51)*(TableBOM[Material Category]="ZINC")*TableBOM[Per 1000 Units]*(1+TableBOM[Scrap %]))*I51/1000,0))</f>
        <v/>
      </c>
      <c r="O51" s="48" t="str">
        <f>IF(I51="","",IFERROR(SUMPRODUCT((TableBOM[Product ID]=A51)*(TableBOM[Material Category]="CAP")*TableBOM[Per 1000 Units]*(1+TableBOM[Scrap %]))*I51/1000,0))</f>
        <v/>
      </c>
      <c r="P51" s="48" t="str">
        <f>IF(I51="","",IFERROR(SUMPRODUCT((TableBOM[Product ID]=A51)*(TableBOM[Material Category]="CARTON")*TableBOM[Per 1000 Units]*(1+TableBOM[Scrap %]))*I51/1000,0))</f>
        <v/>
      </c>
      <c r="Q51" s="48"/>
      <c r="R51" s="48"/>
      <c r="S51" s="48"/>
    </row>
    <row r="52" spans="1:19" ht="15" customHeight="1" x14ac:dyDescent="0.25">
      <c r="A52" s="44">
        <v>2909</v>
      </c>
      <c r="B52" s="44">
        <v>56</v>
      </c>
      <c r="C52" s="44" t="s">
        <v>223</v>
      </c>
      <c r="D52" s="45" t="s">
        <v>230</v>
      </c>
      <c r="E52" s="44">
        <v>30</v>
      </c>
      <c r="F52" s="44">
        <v>130</v>
      </c>
      <c r="G52" s="44" t="s">
        <v>380</v>
      </c>
      <c r="H52" s="44">
        <v>150</v>
      </c>
      <c r="I52" s="61"/>
      <c r="J52" s="48" t="str">
        <f>IF(I52="","",IFERROR(SUMPRODUCT((TableBOM[Product ID]=A52)*(TableBOM[Material Category]="SLUG")*TableBOM[Per 1000 Units]*(1+TableBOM[Scrap %]))*I52/1000,0))</f>
        <v/>
      </c>
      <c r="K52" s="48" t="str">
        <f>IF(I52="","",IFERROR(SUMPRODUCT((TableBOM[Product ID]=A52)*(TableBOM[Material Category]="BASE COAT")*TableBOM[Per 1000 Units]*(1+TableBOM[Scrap %]))*I52/1000,0))</f>
        <v/>
      </c>
      <c r="L52" s="48" t="str">
        <f>IF(I52="","",IFERROR(SUMPRODUCT((TableBOM[Product ID]=A52)*(TableBOM[Material Category]="LACQUER")*TableBOM[Per 1000 Units]*(1+TableBOM[Scrap %]))*I52/1000,0))</f>
        <v/>
      </c>
      <c r="M52" s="48" t="str">
        <f>IF(I52="","",IFERROR(SUMPRODUCT((TableBOM[Product ID]=A52)*(TableBOM[Material Category]="LATEX")*TableBOM[Per 1000 Units]*(1+TableBOM[Scrap %]))*I52/1000,0))</f>
        <v/>
      </c>
      <c r="N52" s="48" t="str">
        <f>IF(I52="","",IFERROR(SUMPRODUCT((TableBOM[Product ID]=A52)*(TableBOM[Material Category]="ZINC")*TableBOM[Per 1000 Units]*(1+TableBOM[Scrap %]))*I52/1000,0))</f>
        <v/>
      </c>
      <c r="O52" s="48" t="str">
        <f>IF(I52="","",IFERROR(SUMPRODUCT((TableBOM[Product ID]=A52)*(TableBOM[Material Category]="CAP")*TableBOM[Per 1000 Units]*(1+TableBOM[Scrap %]))*I52/1000,0))</f>
        <v/>
      </c>
      <c r="P52" s="48" t="str">
        <f>IF(I52="","",IFERROR(SUMPRODUCT((TableBOM[Product ID]=A52)*(TableBOM[Material Category]="CARTON")*TableBOM[Per 1000 Units]*(1+TableBOM[Scrap %]))*I52/1000,0))</f>
        <v/>
      </c>
      <c r="Q52" s="48"/>
      <c r="R52" s="48"/>
      <c r="S52" s="48"/>
    </row>
    <row r="53" spans="1:19" ht="15" customHeight="1" x14ac:dyDescent="0.25">
      <c r="A53" s="44">
        <v>4227</v>
      </c>
      <c r="B53" s="44">
        <v>20</v>
      </c>
      <c r="C53" s="44" t="s">
        <v>219</v>
      </c>
      <c r="D53" s="45" t="s">
        <v>220</v>
      </c>
      <c r="E53" s="44">
        <v>25</v>
      </c>
      <c r="F53" s="44">
        <v>150</v>
      </c>
      <c r="G53" s="44" t="s">
        <v>381</v>
      </c>
      <c r="H53" s="44">
        <v>336</v>
      </c>
      <c r="I53" s="61"/>
      <c r="J53" s="48" t="str">
        <f>IF(I53="","",IFERROR(SUMPRODUCT((TableBOM[Product ID]=A53)*(TableBOM[Material Category]="SLUG")*TableBOM[Per 1000 Units]*(1+TableBOM[Scrap %]))*I53/1000,0))</f>
        <v/>
      </c>
      <c r="K53" s="48" t="str">
        <f>IF(I53="","",IFERROR(SUMPRODUCT((TableBOM[Product ID]=A53)*(TableBOM[Material Category]="BASE COAT")*TableBOM[Per 1000 Units]*(1+TableBOM[Scrap %]))*I53/1000,0))</f>
        <v/>
      </c>
      <c r="L53" s="48" t="str">
        <f>IF(I53="","",IFERROR(SUMPRODUCT((TableBOM[Product ID]=A53)*(TableBOM[Material Category]="LACQUER")*TableBOM[Per 1000 Units]*(1+TableBOM[Scrap %]))*I53/1000,0))</f>
        <v/>
      </c>
      <c r="M53" s="48" t="str">
        <f>IF(I53="","",IFERROR(SUMPRODUCT((TableBOM[Product ID]=A53)*(TableBOM[Material Category]="LATEX")*TableBOM[Per 1000 Units]*(1+TableBOM[Scrap %]))*I53/1000,0))</f>
        <v/>
      </c>
      <c r="N53" s="48" t="str">
        <f>IF(I53="","",IFERROR(SUMPRODUCT((TableBOM[Product ID]=A53)*(TableBOM[Material Category]="ZINC")*TableBOM[Per 1000 Units]*(1+TableBOM[Scrap %]))*I53/1000,0))</f>
        <v/>
      </c>
      <c r="O53" s="48" t="str">
        <f>IF(I53="","",IFERROR(SUMPRODUCT((TableBOM[Product ID]=A53)*(TableBOM[Material Category]="CAP")*TableBOM[Per 1000 Units]*(1+TableBOM[Scrap %]))*I53/1000,0))</f>
        <v/>
      </c>
      <c r="P53" s="48" t="str">
        <f>IF(I53="","",IFERROR(SUMPRODUCT((TableBOM[Product ID]=A53)*(TableBOM[Material Category]="CARTON")*TableBOM[Per 1000 Units]*(1+TableBOM[Scrap %]))*I53/1000,0))</f>
        <v/>
      </c>
      <c r="Q53" s="48"/>
      <c r="R53" s="48"/>
      <c r="S53" s="48"/>
    </row>
    <row r="54" spans="1:19" ht="15" customHeight="1" x14ac:dyDescent="0.25">
      <c r="A54" s="44">
        <v>5389</v>
      </c>
      <c r="B54" s="44">
        <v>35</v>
      </c>
      <c r="C54" s="44" t="s">
        <v>168</v>
      </c>
      <c r="D54" s="45" t="s">
        <v>169</v>
      </c>
      <c r="E54" s="44">
        <v>25</v>
      </c>
      <c r="F54" s="44">
        <v>150</v>
      </c>
      <c r="G54" s="44" t="s">
        <v>380</v>
      </c>
      <c r="H54" s="44">
        <v>336</v>
      </c>
      <c r="I54" s="61"/>
      <c r="J54" s="48" t="str">
        <f>IF(I54="","",IFERROR(SUMPRODUCT((TableBOM[Product ID]=A54)*(TableBOM[Material Category]="SLUG")*TableBOM[Per 1000 Units]*(1+TableBOM[Scrap %]))*I54/1000,0))</f>
        <v/>
      </c>
      <c r="K54" s="48" t="str">
        <f>IF(I54="","",IFERROR(SUMPRODUCT((TableBOM[Product ID]=A54)*(TableBOM[Material Category]="BASE COAT")*TableBOM[Per 1000 Units]*(1+TableBOM[Scrap %]))*I54/1000,0))</f>
        <v/>
      </c>
      <c r="L54" s="48" t="str">
        <f>IF(I54="","",IFERROR(SUMPRODUCT((TableBOM[Product ID]=A54)*(TableBOM[Material Category]="LACQUER")*TableBOM[Per 1000 Units]*(1+TableBOM[Scrap %]))*I54/1000,0))</f>
        <v/>
      </c>
      <c r="M54" s="48" t="str">
        <f>IF(I54="","",IFERROR(SUMPRODUCT((TableBOM[Product ID]=A54)*(TableBOM[Material Category]="LATEX")*TableBOM[Per 1000 Units]*(1+TableBOM[Scrap %]))*I54/1000,0))</f>
        <v/>
      </c>
      <c r="N54" s="48" t="str">
        <f>IF(I54="","",IFERROR(SUMPRODUCT((TableBOM[Product ID]=A54)*(TableBOM[Material Category]="ZINC")*TableBOM[Per 1000 Units]*(1+TableBOM[Scrap %]))*I54/1000,0))</f>
        <v/>
      </c>
      <c r="O54" s="48" t="str">
        <f>IF(I54="","",IFERROR(SUMPRODUCT((TableBOM[Product ID]=A54)*(TableBOM[Material Category]="CAP")*TableBOM[Per 1000 Units]*(1+TableBOM[Scrap %]))*I54/1000,0))</f>
        <v/>
      </c>
      <c r="P54" s="48" t="str">
        <f>IF(I54="","",IFERROR(SUMPRODUCT((TableBOM[Product ID]=A54)*(TableBOM[Material Category]="CARTON")*TableBOM[Per 1000 Units]*(1+TableBOM[Scrap %]))*I54/1000,0))</f>
        <v/>
      </c>
      <c r="Q54" s="48"/>
      <c r="R54" s="48"/>
      <c r="S54" s="48"/>
    </row>
    <row r="55" spans="1:19" x14ac:dyDescent="0.25">
      <c r="A55" s="44">
        <v>6151</v>
      </c>
      <c r="B55" s="44">
        <v>146</v>
      </c>
      <c r="C55" s="44" t="s">
        <v>231</v>
      </c>
      <c r="D55" s="45" t="s">
        <v>232</v>
      </c>
      <c r="E55" s="44">
        <v>30</v>
      </c>
      <c r="F55" s="44">
        <v>130</v>
      </c>
      <c r="G55" s="44" t="s">
        <v>381</v>
      </c>
      <c r="H55" s="44">
        <v>238</v>
      </c>
      <c r="I55" s="61"/>
      <c r="J55" s="48" t="str">
        <f>IF(I55="","",IFERROR(SUMPRODUCT((TableBOM[Product ID]=A55)*(TableBOM[Material Category]="SLUG")*TableBOM[Per 1000 Units]*(1+TableBOM[Scrap %]))*I55/1000,0))</f>
        <v/>
      </c>
      <c r="K55" s="48" t="str">
        <f>IF(I55="","",IFERROR(SUMPRODUCT((TableBOM[Product ID]=A55)*(TableBOM[Material Category]="BASE COAT")*TableBOM[Per 1000 Units]*(1+TableBOM[Scrap %]))*I55/1000,0))</f>
        <v/>
      </c>
      <c r="L55" s="48" t="str">
        <f>IF(I55="","",IFERROR(SUMPRODUCT((TableBOM[Product ID]=A55)*(TableBOM[Material Category]="LACQUER")*TableBOM[Per 1000 Units]*(1+TableBOM[Scrap %]))*I55/1000,0))</f>
        <v/>
      </c>
      <c r="M55" s="48" t="str">
        <f>IF(I55="","",IFERROR(SUMPRODUCT((TableBOM[Product ID]=A55)*(TableBOM[Material Category]="LATEX")*TableBOM[Per 1000 Units]*(1+TableBOM[Scrap %]))*I55/1000,0))</f>
        <v/>
      </c>
      <c r="N55" s="48" t="str">
        <f>IF(I55="","",IFERROR(SUMPRODUCT((TableBOM[Product ID]=A55)*(TableBOM[Material Category]="ZINC")*TableBOM[Per 1000 Units]*(1+TableBOM[Scrap %]))*I55/1000,0))</f>
        <v/>
      </c>
      <c r="O55" s="48" t="str">
        <f>IF(I55="","",IFERROR(SUMPRODUCT((TableBOM[Product ID]=A55)*(TableBOM[Material Category]="CAP")*TableBOM[Per 1000 Units]*(1+TableBOM[Scrap %]))*I55/1000,0))</f>
        <v/>
      </c>
      <c r="P55" s="48" t="str">
        <f>IF(I55="","",IFERROR(SUMPRODUCT((TableBOM[Product ID]=A55)*(TableBOM[Material Category]="CARTON")*TableBOM[Per 1000 Units]*(1+TableBOM[Scrap %]))*I55/1000,0))</f>
        <v/>
      </c>
      <c r="Q55" s="48"/>
      <c r="R55" s="48"/>
      <c r="S55" s="48"/>
    </row>
    <row r="56" spans="1:19" x14ac:dyDescent="0.25">
      <c r="A56" s="166">
        <v>8017</v>
      </c>
      <c r="B56" s="166">
        <v>817</v>
      </c>
      <c r="C56" s="166" t="s">
        <v>191</v>
      </c>
      <c r="D56" s="167" t="s">
        <v>192</v>
      </c>
      <c r="E56" s="166" t="s">
        <v>189</v>
      </c>
      <c r="F56" s="166"/>
      <c r="G56" s="166" t="s">
        <v>380</v>
      </c>
      <c r="H56" s="166"/>
      <c r="I56" s="171"/>
      <c r="J56" s="170" t="str">
        <f>IF(I56="","",IFERROR(SUMPRODUCT((TableBOM[Product ID]=A56)*(TableBOM[Material Category]="SLUG")*TableBOM[Per 1000 Units]*(1+TableBOM[Scrap %]))*I56/1000,0))</f>
        <v/>
      </c>
      <c r="K56" s="170" t="str">
        <f>IF(I56="","",IFERROR(SUMPRODUCT((TableBOM[Product ID]=A56)*(TableBOM[Material Category]="BASE COAT")*TableBOM[Per 1000 Units]*(1+TableBOM[Scrap %]))*I56/1000,0))</f>
        <v/>
      </c>
      <c r="L56" s="170" t="str">
        <f>IF(I56="","",IFERROR(SUMPRODUCT((TableBOM[Product ID]=A56)*(TableBOM[Material Category]="LACQUER")*TableBOM[Per 1000 Units]*(1+TableBOM[Scrap %]))*I56/1000,0))</f>
        <v/>
      </c>
      <c r="M56" s="170" t="str">
        <f>IF(I56="","",IFERROR(SUMPRODUCT((TableBOM[Product ID]=A56)*(TableBOM[Material Category]="LATEX")*TableBOM[Per 1000 Units]*(1+TableBOM[Scrap %]))*I56/1000,0))</f>
        <v/>
      </c>
      <c r="N56" s="170" t="str">
        <f>IF(I56="","",IFERROR(SUMPRODUCT((TableBOM[Product ID]=A56)*(TableBOM[Material Category]="ZINC")*TableBOM[Per 1000 Units]*(1+TableBOM[Scrap %]))*I56/1000,0))</f>
        <v/>
      </c>
      <c r="O56" s="170" t="str">
        <f>IF(I56="","",IFERROR(SUMPRODUCT((TableBOM[Product ID]=A56)*(TableBOM[Material Category]="CAP")*TableBOM[Per 1000 Units]*(1+TableBOM[Scrap %]))*I56/1000,0))</f>
        <v/>
      </c>
      <c r="P56" s="170" t="str">
        <f>IF(I56="","",IFERROR(SUMPRODUCT((TableBOM[Product ID]=A56)*(TableBOM[Material Category]="CARTON")*TableBOM[Per 1000 Units]*(1+TableBOM[Scrap %]))*I56/1000,0))</f>
        <v/>
      </c>
      <c r="Q56" s="48"/>
      <c r="R56" s="48"/>
      <c r="S56" s="48"/>
    </row>
    <row r="57" spans="1:19" x14ac:dyDescent="0.25">
      <c r="A57" s="44"/>
      <c r="B57" s="44"/>
      <c r="C57" s="44"/>
      <c r="D57" s="45"/>
      <c r="E57" s="44"/>
      <c r="F57" s="44"/>
      <c r="G57" s="44"/>
      <c r="H57" s="44"/>
      <c r="I57" s="61"/>
      <c r="J57" s="48"/>
      <c r="K57" s="48"/>
      <c r="L57" s="48"/>
      <c r="M57" s="48"/>
      <c r="N57" s="48"/>
      <c r="O57" s="48"/>
      <c r="P57" s="48"/>
      <c r="Q57" s="48"/>
      <c r="R57" s="48"/>
      <c r="S57" s="48"/>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64"/>
  <sheetViews>
    <sheetView showGridLines="0" zoomScaleNormal="100" workbookViewId="0">
      <pane ySplit="1" topLeftCell="A2" activePane="bottomLeft" state="frozen"/>
      <selection pane="bottomLeft" activeCell="C13" sqref="C13"/>
    </sheetView>
  </sheetViews>
  <sheetFormatPr defaultColWidth="8.7109375" defaultRowHeight="15" x14ac:dyDescent="0.25"/>
  <cols>
    <col min="1" max="2" width="8" customWidth="1"/>
    <col min="3" max="3" width="35" customWidth="1"/>
    <col min="4" max="4" width="15" customWidth="1"/>
    <col min="5" max="5" width="10" customWidth="1"/>
    <col min="6" max="6" width="30" customWidth="1"/>
    <col min="7" max="7" width="10" customWidth="1"/>
    <col min="8" max="8" width="30" customWidth="1"/>
    <col min="9" max="15" width="12" customWidth="1"/>
  </cols>
  <sheetData>
    <row r="1" spans="1:11" ht="21.95" customHeight="1" x14ac:dyDescent="0.25">
      <c r="A1" s="343" t="s">
        <v>382</v>
      </c>
      <c r="B1" s="339"/>
      <c r="C1" s="339"/>
      <c r="D1" s="339"/>
      <c r="E1" s="339"/>
      <c r="F1" s="339"/>
      <c r="G1" s="339"/>
      <c r="H1" s="339"/>
      <c r="I1" s="339"/>
      <c r="J1" s="339"/>
      <c r="K1" s="339"/>
    </row>
    <row r="2" spans="1:11" x14ac:dyDescent="0.25">
      <c r="A2" s="70" t="s">
        <v>383</v>
      </c>
      <c r="B2" s="71"/>
      <c r="C2" s="72"/>
      <c r="D2" s="72"/>
      <c r="E2" s="72"/>
      <c r="F2" s="72"/>
      <c r="G2" s="72"/>
      <c r="H2" s="72"/>
      <c r="I2" s="72"/>
      <c r="J2" s="72"/>
      <c r="K2" s="72"/>
    </row>
    <row r="3" spans="1:11" ht="6" customHeight="1" x14ac:dyDescent="0.25">
      <c r="A3" s="73"/>
      <c r="B3" s="73"/>
      <c r="C3" s="73"/>
      <c r="D3" s="73"/>
      <c r="E3" s="73"/>
      <c r="F3" s="73"/>
      <c r="G3" s="73"/>
      <c r="H3" s="73"/>
      <c r="I3" s="73"/>
      <c r="J3" s="73"/>
      <c r="K3" s="73"/>
    </row>
    <row r="4" spans="1:11" ht="21.95" customHeight="1" x14ac:dyDescent="0.25">
      <c r="A4" s="343" t="s">
        <v>384</v>
      </c>
      <c r="B4" s="339"/>
      <c r="C4" s="339"/>
      <c r="D4" s="339"/>
      <c r="E4" s="339"/>
      <c r="F4" s="339"/>
      <c r="G4" s="339"/>
      <c r="H4" s="339"/>
      <c r="I4" s="339"/>
      <c r="J4" s="339"/>
      <c r="K4" s="339"/>
    </row>
    <row r="5" spans="1:11" ht="18" customHeight="1" x14ac:dyDescent="0.25">
      <c r="A5" s="74" t="s">
        <v>385</v>
      </c>
      <c r="B5" s="74" t="s">
        <v>386</v>
      </c>
      <c r="C5" s="75" t="s">
        <v>157</v>
      </c>
      <c r="D5" s="75" t="s">
        <v>387</v>
      </c>
      <c r="E5" s="75" t="s">
        <v>159</v>
      </c>
      <c r="F5" s="75" t="s">
        <v>388</v>
      </c>
      <c r="G5" s="75" t="s">
        <v>389</v>
      </c>
      <c r="H5" s="75" t="s">
        <v>390</v>
      </c>
      <c r="I5" s="75" t="s">
        <v>263</v>
      </c>
      <c r="J5" s="75"/>
      <c r="K5" s="75"/>
    </row>
    <row r="6" spans="1:11" ht="108" customHeight="1" x14ac:dyDescent="0.25">
      <c r="A6" s="71">
        <v>9002</v>
      </c>
      <c r="B6" s="71">
        <v>901</v>
      </c>
      <c r="C6" s="72" t="s">
        <v>175</v>
      </c>
      <c r="D6" s="72" t="s">
        <v>229</v>
      </c>
      <c r="E6" s="72">
        <v>30</v>
      </c>
      <c r="F6" s="72" t="s">
        <v>391</v>
      </c>
      <c r="G6" s="72" t="s">
        <v>392</v>
      </c>
      <c r="H6" s="76" t="s">
        <v>393</v>
      </c>
      <c r="I6" s="77" t="s">
        <v>394</v>
      </c>
      <c r="J6" s="72"/>
      <c r="K6" s="72"/>
    </row>
    <row r="7" spans="1:11" ht="132" customHeight="1" x14ac:dyDescent="0.25">
      <c r="A7" s="78">
        <v>6624</v>
      </c>
      <c r="B7" s="78" t="s">
        <v>395</v>
      </c>
      <c r="C7" s="79" t="s">
        <v>396</v>
      </c>
      <c r="D7" s="79" t="s">
        <v>397</v>
      </c>
      <c r="E7" s="79">
        <v>19</v>
      </c>
      <c r="F7" s="79" t="s">
        <v>398</v>
      </c>
      <c r="G7" s="79" t="s">
        <v>399</v>
      </c>
      <c r="H7" s="80" t="s">
        <v>393</v>
      </c>
      <c r="I7" s="81" t="s">
        <v>394</v>
      </c>
      <c r="J7" s="79"/>
      <c r="K7" s="79"/>
    </row>
    <row r="8" spans="1:11" ht="132" customHeight="1" x14ac:dyDescent="0.25">
      <c r="A8" s="71">
        <v>9004</v>
      </c>
      <c r="B8" s="71">
        <v>904</v>
      </c>
      <c r="C8" s="72" t="s">
        <v>195</v>
      </c>
      <c r="D8" s="72" t="s">
        <v>196</v>
      </c>
      <c r="E8" s="72">
        <v>12.5</v>
      </c>
      <c r="F8" s="72" t="s">
        <v>400</v>
      </c>
      <c r="G8" s="72" t="s">
        <v>401</v>
      </c>
      <c r="H8" s="76" t="s">
        <v>393</v>
      </c>
      <c r="I8" s="77" t="s">
        <v>394</v>
      </c>
      <c r="J8" s="72"/>
      <c r="K8" s="72"/>
    </row>
    <row r="9" spans="1:11" ht="108" customHeight="1" x14ac:dyDescent="0.25">
      <c r="A9" s="78">
        <v>9006</v>
      </c>
      <c r="B9" s="78">
        <v>906</v>
      </c>
      <c r="C9" s="79" t="s">
        <v>396</v>
      </c>
      <c r="D9" s="79" t="s">
        <v>216</v>
      </c>
      <c r="E9" s="79">
        <v>25</v>
      </c>
      <c r="F9" s="79" t="s">
        <v>402</v>
      </c>
      <c r="G9" s="79" t="s">
        <v>403</v>
      </c>
      <c r="H9" s="80" t="s">
        <v>393</v>
      </c>
      <c r="I9" s="81" t="s">
        <v>394</v>
      </c>
      <c r="J9" s="79"/>
      <c r="K9" s="79"/>
    </row>
    <row r="10" spans="1:11" ht="6" customHeight="1" x14ac:dyDescent="0.25">
      <c r="A10" s="82"/>
      <c r="B10" s="82"/>
      <c r="C10" s="73"/>
      <c r="D10" s="82"/>
      <c r="E10" s="82"/>
      <c r="F10" s="82"/>
      <c r="G10" s="83"/>
      <c r="H10" s="82"/>
      <c r="I10" s="82"/>
      <c r="J10" s="73"/>
      <c r="K10" s="82"/>
    </row>
    <row r="11" spans="1:11" ht="6" customHeight="1" x14ac:dyDescent="0.25">
      <c r="A11" s="84"/>
      <c r="B11" s="73"/>
      <c r="C11" s="73"/>
      <c r="D11" s="73"/>
      <c r="E11" s="73"/>
      <c r="F11" s="73"/>
      <c r="G11" s="73"/>
      <c r="H11" s="73"/>
      <c r="I11" s="73"/>
      <c r="J11" s="73"/>
      <c r="K11" s="82"/>
    </row>
    <row r="12" spans="1:11" ht="21.95" customHeight="1" x14ac:dyDescent="0.25">
      <c r="A12" s="343" t="s">
        <v>404</v>
      </c>
      <c r="B12" s="339"/>
      <c r="C12" s="339"/>
      <c r="D12" s="339"/>
      <c r="E12" s="339"/>
      <c r="F12" s="339"/>
      <c r="G12" s="339"/>
      <c r="H12" s="339"/>
      <c r="I12" s="339"/>
      <c r="J12" s="339"/>
      <c r="K12" s="339"/>
    </row>
    <row r="13" spans="1:11" ht="18" customHeight="1" x14ac:dyDescent="0.25">
      <c r="A13" s="74" t="s">
        <v>385</v>
      </c>
      <c r="B13" s="74" t="s">
        <v>387</v>
      </c>
      <c r="C13" s="75"/>
      <c r="D13" s="75" t="s">
        <v>405</v>
      </c>
      <c r="E13" s="75" t="s">
        <v>2</v>
      </c>
      <c r="F13" s="75" t="s">
        <v>406</v>
      </c>
      <c r="G13" s="75" t="s">
        <v>407</v>
      </c>
      <c r="H13" s="75" t="s">
        <v>390</v>
      </c>
      <c r="I13" s="75" t="s">
        <v>408</v>
      </c>
      <c r="J13" s="75"/>
      <c r="K13" s="75"/>
    </row>
    <row r="14" spans="1:11" ht="60" customHeight="1" x14ac:dyDescent="0.25">
      <c r="A14" s="71">
        <v>6020</v>
      </c>
      <c r="B14" s="71" t="s">
        <v>238</v>
      </c>
      <c r="C14" s="72"/>
      <c r="D14" s="72" t="s">
        <v>272</v>
      </c>
      <c r="E14" s="72" t="s">
        <v>409</v>
      </c>
      <c r="F14" s="72" t="s">
        <v>410</v>
      </c>
      <c r="G14" s="72" t="s">
        <v>411</v>
      </c>
      <c r="H14" s="76" t="s">
        <v>412</v>
      </c>
      <c r="I14" s="72" t="s">
        <v>413</v>
      </c>
      <c r="J14" s="72"/>
      <c r="K14" s="72"/>
    </row>
    <row r="15" spans="1:11" ht="24" customHeight="1" x14ac:dyDescent="0.25">
      <c r="A15" s="78">
        <v>6021</v>
      </c>
      <c r="B15" s="78" t="s">
        <v>239</v>
      </c>
      <c r="C15" s="79"/>
      <c r="D15" s="79" t="s">
        <v>272</v>
      </c>
      <c r="E15" s="79" t="s">
        <v>409</v>
      </c>
      <c r="F15" s="79" t="s">
        <v>410</v>
      </c>
      <c r="G15" s="79" t="s">
        <v>411</v>
      </c>
      <c r="H15" s="80" t="s">
        <v>412</v>
      </c>
      <c r="I15" s="79" t="s">
        <v>414</v>
      </c>
      <c r="J15" s="79"/>
      <c r="K15" s="79"/>
    </row>
    <row r="16" spans="1:11" ht="24" customHeight="1" x14ac:dyDescent="0.25">
      <c r="A16" s="71">
        <v>6020</v>
      </c>
      <c r="B16" s="71" t="s">
        <v>238</v>
      </c>
      <c r="C16" s="72"/>
      <c r="D16" s="72" t="s">
        <v>277</v>
      </c>
      <c r="E16" s="72" t="s">
        <v>415</v>
      </c>
      <c r="F16" s="72" t="s">
        <v>416</v>
      </c>
      <c r="G16" s="72" t="s">
        <v>417</v>
      </c>
      <c r="H16" s="76" t="s">
        <v>393</v>
      </c>
      <c r="I16" s="72" t="s">
        <v>418</v>
      </c>
      <c r="J16" s="72"/>
      <c r="K16" s="72"/>
    </row>
    <row r="17" spans="1:11" ht="24" customHeight="1" x14ac:dyDescent="0.25">
      <c r="A17" s="78">
        <v>6021</v>
      </c>
      <c r="B17" s="78" t="s">
        <v>239</v>
      </c>
      <c r="C17" s="79"/>
      <c r="D17" s="79" t="s">
        <v>277</v>
      </c>
      <c r="E17" s="79" t="s">
        <v>415</v>
      </c>
      <c r="F17" s="79" t="s">
        <v>416</v>
      </c>
      <c r="G17" s="79" t="s">
        <v>417</v>
      </c>
      <c r="H17" s="80" t="s">
        <v>393</v>
      </c>
      <c r="I17" s="79" t="s">
        <v>414</v>
      </c>
      <c r="J17" s="79"/>
      <c r="K17" s="79"/>
    </row>
    <row r="18" spans="1:11" ht="24" customHeight="1" x14ac:dyDescent="0.25">
      <c r="A18" s="71">
        <v>5731</v>
      </c>
      <c r="B18" s="71" t="s">
        <v>419</v>
      </c>
      <c r="C18" s="72"/>
      <c r="D18" s="72" t="s">
        <v>285</v>
      </c>
      <c r="E18" s="72" t="s">
        <v>420</v>
      </c>
      <c r="F18" s="72" t="s">
        <v>421</v>
      </c>
      <c r="G18" s="72" t="s">
        <v>422</v>
      </c>
      <c r="H18" s="76" t="s">
        <v>393</v>
      </c>
      <c r="I18" s="72" t="s">
        <v>423</v>
      </c>
      <c r="J18" s="72"/>
      <c r="K18" s="72"/>
    </row>
    <row r="19" spans="1:11" ht="24" customHeight="1" x14ac:dyDescent="0.25">
      <c r="A19" s="78">
        <v>5732</v>
      </c>
      <c r="B19" s="78" t="s">
        <v>424</v>
      </c>
      <c r="C19" s="79"/>
      <c r="D19" s="79" t="s">
        <v>285</v>
      </c>
      <c r="E19" s="79" t="s">
        <v>420</v>
      </c>
      <c r="F19" s="79" t="s">
        <v>421</v>
      </c>
      <c r="G19" s="79" t="s">
        <v>422</v>
      </c>
      <c r="H19" s="80" t="s">
        <v>393</v>
      </c>
      <c r="I19" s="79" t="s">
        <v>423</v>
      </c>
      <c r="J19" s="79"/>
      <c r="K19" s="79"/>
    </row>
    <row r="20" spans="1:11" ht="48" customHeight="1" x14ac:dyDescent="0.25">
      <c r="A20" s="71">
        <v>6338</v>
      </c>
      <c r="B20" s="71" t="s">
        <v>218</v>
      </c>
      <c r="C20" s="72"/>
      <c r="D20" s="72" t="s">
        <v>277</v>
      </c>
      <c r="E20" s="72" t="s">
        <v>425</v>
      </c>
      <c r="F20" s="72" t="s">
        <v>426</v>
      </c>
      <c r="G20" s="72" t="s">
        <v>427</v>
      </c>
      <c r="H20" s="76" t="s">
        <v>393</v>
      </c>
      <c r="I20" s="72" t="s">
        <v>428</v>
      </c>
      <c r="J20" s="72"/>
      <c r="K20" s="72"/>
    </row>
    <row r="21" spans="1:11" ht="24" customHeight="1" x14ac:dyDescent="0.25">
      <c r="A21" s="78">
        <v>6531</v>
      </c>
      <c r="B21" s="78" t="s">
        <v>237</v>
      </c>
      <c r="C21" s="79"/>
      <c r="D21" s="79" t="s">
        <v>272</v>
      </c>
      <c r="E21" s="79" t="s">
        <v>409</v>
      </c>
      <c r="F21" s="79" t="s">
        <v>429</v>
      </c>
      <c r="G21" s="79" t="s">
        <v>430</v>
      </c>
      <c r="H21" s="85" t="s">
        <v>431</v>
      </c>
      <c r="I21" s="79" t="s">
        <v>432</v>
      </c>
      <c r="J21" s="79"/>
      <c r="K21" s="79"/>
    </row>
    <row r="22" spans="1:11" ht="6" customHeight="1" x14ac:dyDescent="0.25">
      <c r="A22" s="84"/>
      <c r="B22" s="73"/>
      <c r="C22" s="73"/>
      <c r="D22" s="73"/>
      <c r="E22" s="73"/>
      <c r="F22" s="73"/>
      <c r="G22" s="73"/>
      <c r="H22" s="73"/>
      <c r="I22" s="73"/>
      <c r="J22" s="73"/>
      <c r="K22" s="83"/>
    </row>
    <row r="23" spans="1:11" ht="21.95" customHeight="1" x14ac:dyDescent="0.25">
      <c r="A23" s="343" t="s">
        <v>433</v>
      </c>
      <c r="B23" s="339"/>
      <c r="C23" s="339"/>
      <c r="D23" s="339"/>
      <c r="E23" s="339"/>
      <c r="F23" s="339"/>
      <c r="G23" s="339"/>
      <c r="H23" s="339"/>
      <c r="I23" s="339"/>
      <c r="J23" s="339"/>
      <c r="K23" s="339"/>
    </row>
    <row r="24" spans="1:11" ht="18" customHeight="1" x14ac:dyDescent="0.25">
      <c r="A24" s="74" t="s">
        <v>385</v>
      </c>
      <c r="B24" s="74" t="s">
        <v>387</v>
      </c>
      <c r="C24" s="75"/>
      <c r="D24" s="75" t="s">
        <v>434</v>
      </c>
      <c r="E24" s="75" t="s">
        <v>2</v>
      </c>
      <c r="F24" s="75" t="s">
        <v>435</v>
      </c>
      <c r="G24" s="75" t="s">
        <v>436</v>
      </c>
      <c r="H24" s="75" t="s">
        <v>390</v>
      </c>
      <c r="I24" s="75"/>
      <c r="J24" s="75"/>
      <c r="K24" s="75"/>
    </row>
    <row r="25" spans="1:11" ht="96" customHeight="1" x14ac:dyDescent="0.25">
      <c r="A25" s="71" t="s">
        <v>437</v>
      </c>
      <c r="B25" s="71" t="s">
        <v>438</v>
      </c>
      <c r="C25" s="72"/>
      <c r="D25" s="72" t="s">
        <v>439</v>
      </c>
      <c r="E25" s="72">
        <v>177</v>
      </c>
      <c r="F25" s="72" t="s">
        <v>440</v>
      </c>
      <c r="G25" s="72" t="s">
        <v>441</v>
      </c>
      <c r="H25" s="76" t="s">
        <v>412</v>
      </c>
      <c r="I25" s="72"/>
      <c r="J25" s="72"/>
      <c r="K25" s="72"/>
    </row>
    <row r="26" spans="1:11" ht="18" customHeight="1" x14ac:dyDescent="0.25">
      <c r="A26" s="74">
        <v>6312</v>
      </c>
      <c r="B26" s="74" t="s">
        <v>225</v>
      </c>
      <c r="C26" s="75"/>
      <c r="D26" s="75" t="s">
        <v>279</v>
      </c>
      <c r="E26" s="75">
        <v>578</v>
      </c>
      <c r="F26" s="75" t="s">
        <v>442</v>
      </c>
      <c r="G26" s="75" t="s">
        <v>443</v>
      </c>
      <c r="H26" s="75" t="s">
        <v>393</v>
      </c>
      <c r="I26" s="75"/>
      <c r="J26" s="75"/>
      <c r="K26" s="75"/>
    </row>
    <row r="27" spans="1:11" ht="72" customHeight="1" x14ac:dyDescent="0.25">
      <c r="A27" s="71">
        <v>6338</v>
      </c>
      <c r="B27" s="71" t="s">
        <v>218</v>
      </c>
      <c r="C27" s="72"/>
      <c r="D27" s="72" t="s">
        <v>279</v>
      </c>
      <c r="E27" s="72" t="s">
        <v>444</v>
      </c>
      <c r="F27" s="72" t="s">
        <v>445</v>
      </c>
      <c r="G27" s="72" t="s">
        <v>446</v>
      </c>
      <c r="H27" s="76" t="s">
        <v>393</v>
      </c>
      <c r="I27" s="72"/>
      <c r="J27" s="72"/>
      <c r="K27" s="72"/>
    </row>
    <row r="28" spans="1:11" ht="108" customHeight="1" x14ac:dyDescent="0.25">
      <c r="A28" s="78">
        <v>5814</v>
      </c>
      <c r="B28" s="78" t="s">
        <v>176</v>
      </c>
      <c r="C28" s="79"/>
      <c r="D28" s="79" t="s">
        <v>281</v>
      </c>
      <c r="E28" s="79" t="s">
        <v>444</v>
      </c>
      <c r="F28" s="79" t="s">
        <v>445</v>
      </c>
      <c r="G28" s="79" t="s">
        <v>447</v>
      </c>
      <c r="H28" s="80" t="s">
        <v>393</v>
      </c>
      <c r="I28" s="79"/>
      <c r="J28" s="79"/>
      <c r="K28" s="79"/>
    </row>
    <row r="29" spans="1:11" ht="18" customHeight="1" x14ac:dyDescent="0.25">
      <c r="A29" s="74">
        <v>6312</v>
      </c>
      <c r="B29" s="74" t="s">
        <v>225</v>
      </c>
      <c r="C29" s="75"/>
      <c r="D29" s="75" t="s">
        <v>278</v>
      </c>
      <c r="E29" s="75">
        <v>186</v>
      </c>
      <c r="F29" s="75" t="s">
        <v>448</v>
      </c>
      <c r="G29" s="75" t="s">
        <v>449</v>
      </c>
      <c r="H29" s="75" t="s">
        <v>431</v>
      </c>
      <c r="I29" s="75"/>
      <c r="J29" s="75"/>
      <c r="K29" s="75"/>
    </row>
    <row r="30" spans="1:11" ht="18" customHeight="1" x14ac:dyDescent="0.25">
      <c r="A30" s="74">
        <v>6077</v>
      </c>
      <c r="B30" s="74" t="s">
        <v>450</v>
      </c>
      <c r="C30" s="75"/>
      <c r="D30" s="75" t="s">
        <v>278</v>
      </c>
      <c r="E30" s="75">
        <v>186</v>
      </c>
      <c r="F30" s="75" t="s">
        <v>448</v>
      </c>
      <c r="G30" s="75" t="s">
        <v>451</v>
      </c>
      <c r="H30" s="75" t="s">
        <v>431</v>
      </c>
      <c r="I30" s="75"/>
      <c r="J30" s="75"/>
      <c r="K30" s="75"/>
    </row>
    <row r="31" spans="1:11" ht="72" customHeight="1" x14ac:dyDescent="0.25">
      <c r="A31" s="71">
        <v>6530</v>
      </c>
      <c r="B31" s="71" t="s">
        <v>236</v>
      </c>
      <c r="C31" s="72"/>
      <c r="D31" s="72" t="s">
        <v>278</v>
      </c>
      <c r="E31" s="72">
        <v>186</v>
      </c>
      <c r="F31" s="72" t="s">
        <v>448</v>
      </c>
      <c r="G31" s="72" t="s">
        <v>452</v>
      </c>
      <c r="H31" s="86" t="s">
        <v>431</v>
      </c>
      <c r="I31" s="72"/>
      <c r="J31" s="72"/>
      <c r="K31" s="72"/>
    </row>
    <row r="32" spans="1:11" ht="18" customHeight="1" x14ac:dyDescent="0.25">
      <c r="A32" s="74">
        <v>6531</v>
      </c>
      <c r="B32" s="74" t="s">
        <v>237</v>
      </c>
      <c r="C32" s="75"/>
      <c r="D32" s="75" t="s">
        <v>278</v>
      </c>
      <c r="E32" s="75">
        <v>186</v>
      </c>
      <c r="F32" s="75" t="s">
        <v>448</v>
      </c>
      <c r="G32" s="75" t="s">
        <v>453</v>
      </c>
      <c r="H32" s="75" t="s">
        <v>431</v>
      </c>
      <c r="I32" s="75"/>
      <c r="J32" s="75"/>
      <c r="K32" s="75"/>
    </row>
    <row r="33" spans="1:11" ht="6" customHeight="1" x14ac:dyDescent="0.25">
      <c r="A33" s="84"/>
      <c r="B33" s="73"/>
      <c r="C33" s="73"/>
      <c r="D33" s="73"/>
      <c r="E33" s="73"/>
      <c r="F33" s="73"/>
      <c r="G33" s="73"/>
      <c r="H33" s="73"/>
      <c r="I33" s="73"/>
      <c r="J33" s="73"/>
      <c r="K33" s="82"/>
    </row>
    <row r="34" spans="1:11" ht="21.95" customHeight="1" x14ac:dyDescent="0.25">
      <c r="A34" s="343" t="s">
        <v>454</v>
      </c>
      <c r="B34" s="339"/>
      <c r="C34" s="339"/>
      <c r="D34" s="339"/>
      <c r="E34" s="339"/>
      <c r="F34" s="339"/>
      <c r="G34" s="339"/>
      <c r="H34" s="339"/>
      <c r="I34" s="339"/>
      <c r="J34" s="339"/>
      <c r="K34" s="339"/>
    </row>
    <row r="35" spans="1:11" ht="18" customHeight="1" x14ac:dyDescent="0.25">
      <c r="A35" s="74" t="s">
        <v>385</v>
      </c>
      <c r="B35" s="74" t="s">
        <v>386</v>
      </c>
      <c r="C35" s="75" t="s">
        <v>387</v>
      </c>
      <c r="D35" s="75" t="s">
        <v>405</v>
      </c>
      <c r="E35" s="75" t="s">
        <v>455</v>
      </c>
      <c r="F35" s="75" t="s">
        <v>456</v>
      </c>
      <c r="G35" s="75" t="s">
        <v>457</v>
      </c>
      <c r="H35" s="75" t="s">
        <v>458</v>
      </c>
      <c r="I35" s="75" t="s">
        <v>435</v>
      </c>
      <c r="J35" s="75"/>
      <c r="K35" s="75"/>
    </row>
    <row r="36" spans="1:11" x14ac:dyDescent="0.25">
      <c r="A36" s="71">
        <v>6337</v>
      </c>
      <c r="B36" s="71">
        <v>166</v>
      </c>
      <c r="C36" s="72" t="s">
        <v>459</v>
      </c>
      <c r="D36" s="72" t="s">
        <v>277</v>
      </c>
      <c r="E36" s="72">
        <v>170</v>
      </c>
      <c r="F36" s="72" t="s">
        <v>34</v>
      </c>
      <c r="G36" s="72">
        <v>3595</v>
      </c>
      <c r="H36" s="72" t="s">
        <v>331</v>
      </c>
      <c r="I36" s="72" t="s">
        <v>460</v>
      </c>
      <c r="J36" s="72"/>
      <c r="K36" s="72"/>
    </row>
    <row r="37" spans="1:11" x14ac:dyDescent="0.25">
      <c r="A37" s="78">
        <v>6337</v>
      </c>
      <c r="B37" s="78">
        <v>166</v>
      </c>
      <c r="C37" s="79" t="s">
        <v>459</v>
      </c>
      <c r="D37" s="79" t="s">
        <v>272</v>
      </c>
      <c r="E37" s="79">
        <v>1065</v>
      </c>
      <c r="F37" s="79" t="s">
        <v>275</v>
      </c>
      <c r="G37" s="79">
        <v>4155</v>
      </c>
      <c r="H37" s="79" t="s">
        <v>276</v>
      </c>
      <c r="I37" s="79" t="s">
        <v>429</v>
      </c>
      <c r="J37" s="79"/>
      <c r="K37" s="79"/>
    </row>
    <row r="38" spans="1:11" x14ac:dyDescent="0.25">
      <c r="A38" s="71">
        <v>6338</v>
      </c>
      <c r="B38" s="71">
        <v>167</v>
      </c>
      <c r="C38" s="72" t="s">
        <v>218</v>
      </c>
      <c r="D38" s="72" t="s">
        <v>277</v>
      </c>
      <c r="E38" s="72">
        <v>170</v>
      </c>
      <c r="F38" s="72" t="s">
        <v>34</v>
      </c>
      <c r="G38" s="72">
        <v>3595</v>
      </c>
      <c r="H38" s="72" t="s">
        <v>331</v>
      </c>
      <c r="I38" s="72" t="s">
        <v>461</v>
      </c>
      <c r="J38" s="72"/>
      <c r="K38" s="72"/>
    </row>
    <row r="39" spans="1:11" x14ac:dyDescent="0.25">
      <c r="A39" s="78">
        <v>6338</v>
      </c>
      <c r="B39" s="78">
        <v>167</v>
      </c>
      <c r="C39" s="79" t="s">
        <v>218</v>
      </c>
      <c r="D39" s="79" t="s">
        <v>272</v>
      </c>
      <c r="E39" s="79">
        <v>184</v>
      </c>
      <c r="F39" s="79" t="s">
        <v>273</v>
      </c>
      <c r="G39" s="79">
        <v>185</v>
      </c>
      <c r="H39" s="79" t="s">
        <v>28</v>
      </c>
      <c r="I39" s="79" t="s">
        <v>462</v>
      </c>
      <c r="J39" s="79"/>
      <c r="K39" s="79"/>
    </row>
    <row r="40" spans="1:11" x14ac:dyDescent="0.25">
      <c r="A40" s="71">
        <v>6312</v>
      </c>
      <c r="B40" s="71">
        <v>157</v>
      </c>
      <c r="C40" s="72" t="s">
        <v>463</v>
      </c>
      <c r="D40" s="72" t="s">
        <v>277</v>
      </c>
      <c r="E40" s="72">
        <v>170</v>
      </c>
      <c r="F40" s="72" t="s">
        <v>34</v>
      </c>
      <c r="G40" s="72">
        <v>3595</v>
      </c>
      <c r="H40" s="72" t="s">
        <v>331</v>
      </c>
      <c r="I40" s="72" t="s">
        <v>460</v>
      </c>
      <c r="J40" s="72"/>
      <c r="K40" s="72"/>
    </row>
    <row r="41" spans="1:11" x14ac:dyDescent="0.25">
      <c r="A41" s="78">
        <v>6312</v>
      </c>
      <c r="B41" s="78">
        <v>157</v>
      </c>
      <c r="C41" s="79" t="s">
        <v>463</v>
      </c>
      <c r="D41" s="79" t="s">
        <v>272</v>
      </c>
      <c r="E41" s="79">
        <v>1065</v>
      </c>
      <c r="F41" s="79" t="s">
        <v>275</v>
      </c>
      <c r="G41" s="79">
        <v>4155</v>
      </c>
      <c r="H41" s="79" t="s">
        <v>276</v>
      </c>
      <c r="I41" s="79" t="s">
        <v>429</v>
      </c>
      <c r="J41" s="79"/>
      <c r="K41" s="79"/>
    </row>
    <row r="42" spans="1:11" x14ac:dyDescent="0.25">
      <c r="A42" s="71">
        <v>6228</v>
      </c>
      <c r="B42" s="71">
        <v>150</v>
      </c>
      <c r="C42" s="72" t="s">
        <v>464</v>
      </c>
      <c r="D42" s="72" t="s">
        <v>277</v>
      </c>
      <c r="E42" s="72">
        <v>170</v>
      </c>
      <c r="F42" s="72" t="s">
        <v>34</v>
      </c>
      <c r="G42" s="72">
        <v>3595</v>
      </c>
      <c r="H42" s="72" t="s">
        <v>331</v>
      </c>
      <c r="I42" s="72" t="s">
        <v>465</v>
      </c>
      <c r="J42" s="72"/>
      <c r="K42" s="72"/>
    </row>
    <row r="43" spans="1:11" x14ac:dyDescent="0.25">
      <c r="A43" s="78">
        <v>5782</v>
      </c>
      <c r="B43" s="78">
        <v>70</v>
      </c>
      <c r="C43" s="79" t="s">
        <v>234</v>
      </c>
      <c r="D43" s="79" t="s">
        <v>277</v>
      </c>
      <c r="E43" s="79">
        <v>170</v>
      </c>
      <c r="F43" s="79" t="s">
        <v>34</v>
      </c>
      <c r="G43" s="79">
        <v>3595</v>
      </c>
      <c r="H43" s="79" t="s">
        <v>331</v>
      </c>
      <c r="I43" s="79" t="s">
        <v>416</v>
      </c>
      <c r="J43" s="79"/>
      <c r="K43" s="79"/>
    </row>
    <row r="44" spans="1:11" x14ac:dyDescent="0.25">
      <c r="A44" s="71">
        <v>5782</v>
      </c>
      <c r="B44" s="71">
        <v>70</v>
      </c>
      <c r="C44" s="72" t="s">
        <v>234</v>
      </c>
      <c r="D44" s="72" t="s">
        <v>272</v>
      </c>
      <c r="E44" s="72">
        <v>184</v>
      </c>
      <c r="F44" s="72" t="s">
        <v>273</v>
      </c>
      <c r="G44" s="72">
        <v>185</v>
      </c>
      <c r="H44" s="72" t="s">
        <v>28</v>
      </c>
      <c r="I44" s="72" t="s">
        <v>466</v>
      </c>
      <c r="J44" s="72"/>
      <c r="K44" s="72"/>
    </row>
    <row r="45" spans="1:11" x14ac:dyDescent="0.25">
      <c r="A45" s="78">
        <v>3447</v>
      </c>
      <c r="B45" s="78">
        <v>34</v>
      </c>
      <c r="C45" s="79" t="s">
        <v>210</v>
      </c>
      <c r="D45" s="79" t="s">
        <v>277</v>
      </c>
      <c r="E45" s="79">
        <v>4156</v>
      </c>
      <c r="F45" s="79" t="s">
        <v>39</v>
      </c>
      <c r="G45" s="79">
        <v>3595</v>
      </c>
      <c r="H45" s="79" t="s">
        <v>331</v>
      </c>
      <c r="I45" s="79" t="s">
        <v>467</v>
      </c>
      <c r="J45" s="79"/>
      <c r="K45" s="79"/>
    </row>
    <row r="46" spans="1:11" x14ac:dyDescent="0.25">
      <c r="A46" s="71">
        <v>3447</v>
      </c>
      <c r="B46" s="71">
        <v>34</v>
      </c>
      <c r="C46" s="72" t="s">
        <v>210</v>
      </c>
      <c r="D46" s="72" t="s">
        <v>279</v>
      </c>
      <c r="E46" s="72">
        <v>3866</v>
      </c>
      <c r="F46" s="72" t="s">
        <v>468</v>
      </c>
      <c r="G46" s="72">
        <v>68</v>
      </c>
      <c r="H46" s="72" t="s">
        <v>469</v>
      </c>
      <c r="I46" s="72" t="s">
        <v>442</v>
      </c>
      <c r="J46" s="72"/>
      <c r="K46" s="72"/>
    </row>
    <row r="47" spans="1:11" x14ac:dyDescent="0.25">
      <c r="A47" s="78">
        <v>3447</v>
      </c>
      <c r="B47" s="78">
        <v>34</v>
      </c>
      <c r="C47" s="79" t="s">
        <v>210</v>
      </c>
      <c r="D47" s="79" t="s">
        <v>272</v>
      </c>
      <c r="E47" s="79">
        <v>184</v>
      </c>
      <c r="F47" s="79" t="s">
        <v>273</v>
      </c>
      <c r="G47" s="79">
        <v>185</v>
      </c>
      <c r="H47" s="79" t="s">
        <v>28</v>
      </c>
      <c r="I47" s="79" t="s">
        <v>462</v>
      </c>
      <c r="J47" s="79"/>
      <c r="K47" s="79"/>
    </row>
    <row r="48" spans="1:11" x14ac:dyDescent="0.25">
      <c r="A48" s="71">
        <v>5732</v>
      </c>
      <c r="B48" s="71">
        <v>33</v>
      </c>
      <c r="C48" s="72" t="s">
        <v>424</v>
      </c>
      <c r="D48" s="72" t="s">
        <v>277</v>
      </c>
      <c r="E48" s="72">
        <v>4156</v>
      </c>
      <c r="F48" s="72" t="s">
        <v>39</v>
      </c>
      <c r="G48" s="72">
        <v>3595</v>
      </c>
      <c r="H48" s="72" t="s">
        <v>331</v>
      </c>
      <c r="I48" s="72" t="s">
        <v>470</v>
      </c>
      <c r="J48" s="72"/>
      <c r="K48" s="72"/>
    </row>
    <row r="49" spans="1:11" x14ac:dyDescent="0.25">
      <c r="A49" s="78">
        <v>5732</v>
      </c>
      <c r="B49" s="78">
        <v>33</v>
      </c>
      <c r="C49" s="79" t="s">
        <v>424</v>
      </c>
      <c r="D49" s="79" t="s">
        <v>279</v>
      </c>
      <c r="E49" s="79">
        <v>4044</v>
      </c>
      <c r="F49" s="79" t="s">
        <v>471</v>
      </c>
      <c r="G49" s="79">
        <v>6971</v>
      </c>
      <c r="H49" s="79" t="s">
        <v>472</v>
      </c>
      <c r="I49" s="79" t="s">
        <v>442</v>
      </c>
      <c r="J49" s="79"/>
      <c r="K49" s="79"/>
    </row>
    <row r="50" spans="1:11" x14ac:dyDescent="0.25">
      <c r="A50" s="71">
        <v>5732</v>
      </c>
      <c r="B50" s="71">
        <v>33</v>
      </c>
      <c r="C50" s="72" t="s">
        <v>424</v>
      </c>
      <c r="D50" s="72" t="s">
        <v>272</v>
      </c>
      <c r="E50" s="72">
        <v>184</v>
      </c>
      <c r="F50" s="72" t="s">
        <v>273</v>
      </c>
      <c r="G50" s="72">
        <v>185</v>
      </c>
      <c r="H50" s="72" t="s">
        <v>28</v>
      </c>
      <c r="I50" s="72" t="s">
        <v>473</v>
      </c>
      <c r="J50" s="72"/>
      <c r="K50" s="72"/>
    </row>
    <row r="51" spans="1:11" x14ac:dyDescent="0.25">
      <c r="A51" s="78">
        <v>5731</v>
      </c>
      <c r="B51" s="78">
        <v>32</v>
      </c>
      <c r="C51" s="79" t="s">
        <v>419</v>
      </c>
      <c r="D51" s="79" t="s">
        <v>277</v>
      </c>
      <c r="E51" s="79">
        <v>4156</v>
      </c>
      <c r="F51" s="79" t="s">
        <v>39</v>
      </c>
      <c r="G51" s="79">
        <v>3595</v>
      </c>
      <c r="H51" s="79" t="s">
        <v>331</v>
      </c>
      <c r="I51" s="79" t="s">
        <v>470</v>
      </c>
      <c r="J51" s="79"/>
      <c r="K51" s="79"/>
    </row>
    <row r="52" spans="1:11" x14ac:dyDescent="0.25">
      <c r="A52" s="71">
        <v>5731</v>
      </c>
      <c r="B52" s="71">
        <v>32</v>
      </c>
      <c r="C52" s="72" t="s">
        <v>419</v>
      </c>
      <c r="D52" s="72" t="s">
        <v>279</v>
      </c>
      <c r="E52" s="72">
        <v>4044</v>
      </c>
      <c r="F52" s="72" t="s">
        <v>471</v>
      </c>
      <c r="G52" s="72">
        <v>6971</v>
      </c>
      <c r="H52" s="72" t="s">
        <v>472</v>
      </c>
      <c r="I52" s="72" t="s">
        <v>442</v>
      </c>
      <c r="J52" s="72"/>
      <c r="K52" s="72"/>
    </row>
    <row r="53" spans="1:11" x14ac:dyDescent="0.25">
      <c r="A53" s="78">
        <v>5731</v>
      </c>
      <c r="B53" s="78">
        <v>32</v>
      </c>
      <c r="C53" s="79" t="s">
        <v>419</v>
      </c>
      <c r="D53" s="79" t="s">
        <v>272</v>
      </c>
      <c r="E53" s="79">
        <v>184</v>
      </c>
      <c r="F53" s="79" t="s">
        <v>273</v>
      </c>
      <c r="G53" s="79">
        <v>185</v>
      </c>
      <c r="H53" s="79" t="s">
        <v>28</v>
      </c>
      <c r="I53" s="79" t="s">
        <v>473</v>
      </c>
      <c r="J53" s="79"/>
      <c r="K53" s="79"/>
    </row>
    <row r="54" spans="1:11" x14ac:dyDescent="0.25">
      <c r="A54" s="71">
        <v>6532</v>
      </c>
      <c r="B54" s="71">
        <v>181</v>
      </c>
      <c r="C54" s="72" t="s">
        <v>213</v>
      </c>
      <c r="D54" s="72" t="s">
        <v>277</v>
      </c>
      <c r="E54" s="72">
        <v>170</v>
      </c>
      <c r="F54" s="72" t="s">
        <v>34</v>
      </c>
      <c r="G54" s="72">
        <v>3595</v>
      </c>
      <c r="H54" s="72" t="s">
        <v>331</v>
      </c>
      <c r="I54" s="72" t="s">
        <v>465</v>
      </c>
      <c r="J54" s="72"/>
      <c r="K54" s="72"/>
    </row>
    <row r="55" spans="1:11" x14ac:dyDescent="0.25">
      <c r="A55" s="78">
        <v>6532</v>
      </c>
      <c r="B55" s="78">
        <v>181</v>
      </c>
      <c r="C55" s="79" t="s">
        <v>213</v>
      </c>
      <c r="D55" s="79" t="s">
        <v>272</v>
      </c>
      <c r="E55" s="79">
        <v>184</v>
      </c>
      <c r="F55" s="79" t="s">
        <v>273</v>
      </c>
      <c r="G55" s="79">
        <v>185</v>
      </c>
      <c r="H55" s="79" t="s">
        <v>28</v>
      </c>
      <c r="I55" s="79" t="s">
        <v>474</v>
      </c>
      <c r="J55" s="79"/>
      <c r="K55" s="79"/>
    </row>
    <row r="56" spans="1:11" x14ac:dyDescent="0.25">
      <c r="A56" s="71">
        <v>3726</v>
      </c>
      <c r="B56" s="71">
        <v>9</v>
      </c>
      <c r="C56" s="72" t="s">
        <v>211</v>
      </c>
      <c r="D56" s="72" t="s">
        <v>277</v>
      </c>
      <c r="E56" s="72">
        <v>170</v>
      </c>
      <c r="F56" s="72" t="s">
        <v>34</v>
      </c>
      <c r="G56" s="72">
        <v>3595</v>
      </c>
      <c r="H56" s="72" t="s">
        <v>331</v>
      </c>
      <c r="I56" s="72" t="s">
        <v>465</v>
      </c>
      <c r="J56" s="72"/>
      <c r="K56" s="72"/>
    </row>
    <row r="57" spans="1:11" x14ac:dyDescent="0.25">
      <c r="A57" s="78">
        <v>3726</v>
      </c>
      <c r="B57" s="78">
        <v>9</v>
      </c>
      <c r="C57" s="79" t="s">
        <v>211</v>
      </c>
      <c r="D57" s="79" t="s">
        <v>272</v>
      </c>
      <c r="E57" s="79">
        <v>184</v>
      </c>
      <c r="F57" s="79" t="s">
        <v>273</v>
      </c>
      <c r="G57" s="79">
        <v>185</v>
      </c>
      <c r="H57" s="79" t="s">
        <v>28</v>
      </c>
      <c r="I57" s="79" t="s">
        <v>474</v>
      </c>
      <c r="J57" s="79"/>
      <c r="K57" s="79"/>
    </row>
    <row r="58" spans="1:11" x14ac:dyDescent="0.25">
      <c r="A58" s="71">
        <v>6077</v>
      </c>
      <c r="B58" s="71">
        <v>138</v>
      </c>
      <c r="C58" s="72" t="s">
        <v>450</v>
      </c>
      <c r="D58" s="72" t="s">
        <v>277</v>
      </c>
      <c r="E58" s="72">
        <v>170</v>
      </c>
      <c r="F58" s="72" t="s">
        <v>34</v>
      </c>
      <c r="G58" s="72">
        <v>3595</v>
      </c>
      <c r="H58" s="72" t="s">
        <v>331</v>
      </c>
      <c r="I58" s="72" t="s">
        <v>475</v>
      </c>
      <c r="J58" s="72"/>
      <c r="K58" s="72"/>
    </row>
    <row r="59" spans="1:11" x14ac:dyDescent="0.25">
      <c r="A59" s="78">
        <v>5814</v>
      </c>
      <c r="B59" s="78">
        <v>95</v>
      </c>
      <c r="C59" s="79" t="s">
        <v>176</v>
      </c>
      <c r="D59" s="79" t="s">
        <v>277</v>
      </c>
      <c r="E59" s="79">
        <v>170</v>
      </c>
      <c r="F59" s="79" t="s">
        <v>34</v>
      </c>
      <c r="G59" s="79">
        <v>3595</v>
      </c>
      <c r="H59" s="79" t="s">
        <v>331</v>
      </c>
      <c r="I59" s="79" t="s">
        <v>476</v>
      </c>
      <c r="J59" s="79"/>
      <c r="K59" s="79"/>
    </row>
    <row r="60" spans="1:11" x14ac:dyDescent="0.25">
      <c r="A60" s="71">
        <v>5814</v>
      </c>
      <c r="B60" s="71">
        <v>95</v>
      </c>
      <c r="C60" s="72" t="s">
        <v>176</v>
      </c>
      <c r="D60" s="72" t="s">
        <v>272</v>
      </c>
      <c r="E60" s="72">
        <v>1065</v>
      </c>
      <c r="F60" s="72" t="s">
        <v>275</v>
      </c>
      <c r="G60" s="72">
        <v>4155</v>
      </c>
      <c r="H60" s="72" t="s">
        <v>276</v>
      </c>
      <c r="I60" s="72" t="s">
        <v>477</v>
      </c>
      <c r="J60" s="72"/>
      <c r="K60" s="72"/>
    </row>
    <row r="61" spans="1:11" x14ac:dyDescent="0.25">
      <c r="A61" s="78">
        <v>9002</v>
      </c>
      <c r="B61" s="78">
        <v>901</v>
      </c>
      <c r="C61" s="79" t="s">
        <v>229</v>
      </c>
      <c r="D61" s="79" t="s">
        <v>277</v>
      </c>
      <c r="E61" s="79">
        <v>170</v>
      </c>
      <c r="F61" s="79" t="s">
        <v>34</v>
      </c>
      <c r="G61" s="79">
        <v>3595</v>
      </c>
      <c r="H61" s="79" t="s">
        <v>331</v>
      </c>
      <c r="I61" s="79" t="s">
        <v>460</v>
      </c>
      <c r="J61" s="79"/>
      <c r="K61" s="79"/>
    </row>
    <row r="62" spans="1:11" x14ac:dyDescent="0.25">
      <c r="A62" s="71">
        <v>9002</v>
      </c>
      <c r="B62" s="71">
        <v>901</v>
      </c>
      <c r="C62" s="72" t="s">
        <v>229</v>
      </c>
      <c r="D62" s="72" t="s">
        <v>272</v>
      </c>
      <c r="E62" s="72">
        <v>1065</v>
      </c>
      <c r="F62" s="72" t="s">
        <v>275</v>
      </c>
      <c r="G62" s="72">
        <v>4155</v>
      </c>
      <c r="H62" s="72" t="s">
        <v>276</v>
      </c>
      <c r="I62" s="72" t="s">
        <v>429</v>
      </c>
      <c r="J62" s="72"/>
      <c r="K62" s="72"/>
    </row>
    <row r="63" spans="1:11" x14ac:dyDescent="0.25">
      <c r="A63" s="78">
        <v>9002</v>
      </c>
      <c r="B63" s="78">
        <v>901</v>
      </c>
      <c r="C63" s="79" t="s">
        <v>229</v>
      </c>
      <c r="D63" s="79" t="s">
        <v>281</v>
      </c>
      <c r="E63" s="79">
        <v>3988</v>
      </c>
      <c r="F63" s="79" t="s">
        <v>340</v>
      </c>
      <c r="G63" s="79">
        <v>3598</v>
      </c>
      <c r="H63" s="79" t="s">
        <v>78</v>
      </c>
      <c r="I63" s="79" t="s">
        <v>478</v>
      </c>
      <c r="J63" s="79"/>
      <c r="K63" s="79"/>
    </row>
    <row r="64" spans="1:11" ht="6" customHeight="1" x14ac:dyDescent="0.25">
      <c r="A64" s="87"/>
      <c r="B64" s="73"/>
      <c r="C64" s="73"/>
      <c r="D64" s="73"/>
      <c r="E64" s="73"/>
      <c r="F64" s="73"/>
      <c r="G64" s="73"/>
      <c r="H64" s="73"/>
      <c r="I64" s="73"/>
      <c r="J64" s="88"/>
      <c r="K64" s="88"/>
    </row>
    <row r="65" spans="1:11" ht="21.95" customHeight="1" x14ac:dyDescent="0.25">
      <c r="A65" s="343" t="s">
        <v>479</v>
      </c>
      <c r="B65" s="339"/>
      <c r="C65" s="339"/>
      <c r="D65" s="339"/>
      <c r="E65" s="339"/>
      <c r="F65" s="339"/>
      <c r="G65" s="339"/>
      <c r="H65" s="339"/>
      <c r="I65" s="339"/>
      <c r="J65" s="339"/>
      <c r="K65" s="339"/>
    </row>
    <row r="66" spans="1:11" ht="18" customHeight="1" x14ac:dyDescent="0.25">
      <c r="A66" s="74" t="s">
        <v>3</v>
      </c>
      <c r="B66" s="74" t="s">
        <v>480</v>
      </c>
      <c r="C66" s="75" t="s">
        <v>481</v>
      </c>
      <c r="D66" s="75" t="s">
        <v>482</v>
      </c>
      <c r="E66" s="75" t="s">
        <v>483</v>
      </c>
      <c r="F66" s="75" t="s">
        <v>263</v>
      </c>
      <c r="G66" s="75" t="s">
        <v>390</v>
      </c>
      <c r="H66" s="75"/>
      <c r="I66" s="75"/>
      <c r="J66" s="75"/>
      <c r="K66" s="75"/>
    </row>
    <row r="67" spans="1:11" ht="18" customHeight="1" x14ac:dyDescent="0.25">
      <c r="A67" s="74" t="s">
        <v>484</v>
      </c>
      <c r="B67" s="74" t="s">
        <v>485</v>
      </c>
      <c r="C67" s="75" t="s">
        <v>486</v>
      </c>
      <c r="D67" s="75" t="s">
        <v>487</v>
      </c>
      <c r="E67" s="75" t="s">
        <v>488</v>
      </c>
      <c r="F67" s="75" t="s">
        <v>394</v>
      </c>
      <c r="G67" s="75" t="s">
        <v>393</v>
      </c>
      <c r="H67" s="75"/>
      <c r="I67" s="75"/>
      <c r="J67" s="75"/>
      <c r="K67" s="75"/>
    </row>
    <row r="68" spans="1:11" ht="120" customHeight="1" x14ac:dyDescent="0.25">
      <c r="A68" s="71" t="s">
        <v>489</v>
      </c>
      <c r="B68" s="71" t="s">
        <v>490</v>
      </c>
      <c r="C68" s="72" t="s">
        <v>491</v>
      </c>
      <c r="D68" s="72" t="s">
        <v>492</v>
      </c>
      <c r="E68" s="72" t="s">
        <v>493</v>
      </c>
      <c r="F68" s="72" t="s">
        <v>494</v>
      </c>
      <c r="G68" s="72" t="s">
        <v>495</v>
      </c>
      <c r="H68" s="72"/>
      <c r="I68" s="72"/>
      <c r="J68" s="72"/>
      <c r="K68" s="72"/>
    </row>
    <row r="69" spans="1:11" ht="72" customHeight="1" x14ac:dyDescent="0.25">
      <c r="A69" s="78" t="s">
        <v>496</v>
      </c>
      <c r="B69" s="78" t="s">
        <v>497</v>
      </c>
      <c r="C69" s="79" t="s">
        <v>498</v>
      </c>
      <c r="D69" s="79" t="s">
        <v>499</v>
      </c>
      <c r="E69" s="79" t="s">
        <v>500</v>
      </c>
      <c r="F69" s="79" t="s">
        <v>501</v>
      </c>
      <c r="G69" s="85" t="s">
        <v>431</v>
      </c>
      <c r="H69" s="79"/>
      <c r="I69" s="79"/>
      <c r="J69" s="79"/>
      <c r="K69" s="79"/>
    </row>
    <row r="70" spans="1:11" ht="72" customHeight="1" x14ac:dyDescent="0.25">
      <c r="A70" s="71" t="s">
        <v>502</v>
      </c>
      <c r="B70" s="71" t="s">
        <v>503</v>
      </c>
      <c r="C70" s="72" t="s">
        <v>504</v>
      </c>
      <c r="D70" s="72" t="s">
        <v>395</v>
      </c>
      <c r="E70" s="72" t="s">
        <v>505</v>
      </c>
      <c r="F70" s="72" t="s">
        <v>501</v>
      </c>
      <c r="G70" s="86" t="s">
        <v>431</v>
      </c>
      <c r="H70" s="72"/>
      <c r="I70" s="72"/>
      <c r="J70" s="72"/>
      <c r="K70" s="72"/>
    </row>
    <row r="71" spans="1:11" ht="132" customHeight="1" x14ac:dyDescent="0.25">
      <c r="A71" s="78" t="s">
        <v>506</v>
      </c>
      <c r="B71" s="78" t="s">
        <v>507</v>
      </c>
      <c r="C71" s="79" t="s">
        <v>508</v>
      </c>
      <c r="D71" s="79" t="s">
        <v>509</v>
      </c>
      <c r="E71" s="79" t="s">
        <v>510</v>
      </c>
      <c r="F71" s="79" t="s">
        <v>511</v>
      </c>
      <c r="G71" s="85" t="s">
        <v>431</v>
      </c>
      <c r="H71" s="79"/>
      <c r="I71" s="79"/>
      <c r="J71" s="79"/>
      <c r="K71" s="79"/>
    </row>
    <row r="72" spans="1:11" ht="108" customHeight="1" x14ac:dyDescent="0.25">
      <c r="A72" s="71" t="s">
        <v>512</v>
      </c>
      <c r="B72" s="71" t="s">
        <v>513</v>
      </c>
      <c r="C72" s="72" t="s">
        <v>514</v>
      </c>
      <c r="D72" s="72" t="s">
        <v>395</v>
      </c>
      <c r="E72" s="72" t="s">
        <v>515</v>
      </c>
      <c r="F72" s="77" t="s">
        <v>394</v>
      </c>
      <c r="G72" s="76" t="s">
        <v>412</v>
      </c>
      <c r="H72" s="72"/>
      <c r="I72" s="72"/>
      <c r="J72" s="72"/>
      <c r="K72" s="72"/>
    </row>
    <row r="73" spans="1:11" ht="132" customHeight="1" x14ac:dyDescent="0.25">
      <c r="A73" s="78" t="s">
        <v>516</v>
      </c>
      <c r="B73" s="78" t="s">
        <v>517</v>
      </c>
      <c r="C73" s="79" t="s">
        <v>518</v>
      </c>
      <c r="D73" s="79" t="s">
        <v>395</v>
      </c>
      <c r="E73" s="79" t="s">
        <v>519</v>
      </c>
      <c r="F73" s="79" t="s">
        <v>511</v>
      </c>
      <c r="G73" s="85" t="s">
        <v>431</v>
      </c>
      <c r="H73" s="79"/>
      <c r="I73" s="79"/>
      <c r="J73" s="79"/>
      <c r="K73" s="79"/>
    </row>
    <row r="74" spans="1:11" ht="6" customHeight="1" x14ac:dyDescent="0.25">
      <c r="A74" s="73"/>
      <c r="B74" s="73"/>
      <c r="C74" s="73"/>
      <c r="D74" s="73"/>
      <c r="E74" s="73"/>
      <c r="F74" s="73"/>
      <c r="G74" s="73"/>
      <c r="H74" s="73"/>
      <c r="I74" s="73"/>
      <c r="J74" s="73"/>
      <c r="K74" s="73"/>
    </row>
    <row r="75" spans="1:11" ht="21.95" customHeight="1" x14ac:dyDescent="0.25">
      <c r="A75" s="343" t="s">
        <v>520</v>
      </c>
      <c r="B75" s="339"/>
      <c r="C75" s="339"/>
      <c r="D75" s="339"/>
      <c r="E75" s="339"/>
      <c r="F75" s="339"/>
      <c r="G75" s="339"/>
      <c r="H75" s="339"/>
      <c r="I75" s="339"/>
      <c r="J75" s="339"/>
      <c r="K75" s="339"/>
    </row>
    <row r="76" spans="1:11" ht="18" customHeight="1" x14ac:dyDescent="0.25">
      <c r="A76" s="74" t="s">
        <v>2</v>
      </c>
      <c r="B76" s="74" t="s">
        <v>521</v>
      </c>
      <c r="C76" s="75"/>
      <c r="D76" s="75" t="s">
        <v>522</v>
      </c>
      <c r="E76" s="75" t="s">
        <v>523</v>
      </c>
      <c r="F76" s="75"/>
      <c r="G76" s="75"/>
      <c r="H76" s="75" t="s">
        <v>390</v>
      </c>
      <c r="I76" s="75"/>
      <c r="J76" s="75"/>
      <c r="K76" s="75"/>
    </row>
    <row r="77" spans="1:11" ht="132" customHeight="1" x14ac:dyDescent="0.25">
      <c r="A77" s="71">
        <v>4155</v>
      </c>
      <c r="B77" s="71" t="s">
        <v>32</v>
      </c>
      <c r="C77" s="72" t="s">
        <v>524</v>
      </c>
      <c r="D77" s="72" t="s">
        <v>276</v>
      </c>
      <c r="E77" s="72" t="s">
        <v>525</v>
      </c>
      <c r="F77" s="72"/>
      <c r="G77" s="72"/>
      <c r="H77" s="76" t="s">
        <v>393</v>
      </c>
      <c r="I77" s="72"/>
      <c r="J77" s="72"/>
      <c r="K77" s="72"/>
    </row>
    <row r="78" spans="1:11" ht="96" customHeight="1" x14ac:dyDescent="0.25">
      <c r="A78" s="78">
        <v>1065</v>
      </c>
      <c r="B78" s="78" t="s">
        <v>31</v>
      </c>
      <c r="C78" s="79" t="s">
        <v>524</v>
      </c>
      <c r="D78" s="79" t="s">
        <v>275</v>
      </c>
      <c r="E78" s="79" t="s">
        <v>526</v>
      </c>
      <c r="F78" s="79"/>
      <c r="G78" s="79"/>
      <c r="H78" s="85" t="s">
        <v>431</v>
      </c>
      <c r="I78" s="79"/>
      <c r="J78" s="79"/>
      <c r="K78" s="79"/>
    </row>
    <row r="79" spans="1:11" ht="96" customHeight="1" x14ac:dyDescent="0.25">
      <c r="A79" s="71">
        <v>184</v>
      </c>
      <c r="B79" s="71" t="s">
        <v>26</v>
      </c>
      <c r="C79" s="72" t="s">
        <v>524</v>
      </c>
      <c r="D79" s="72" t="s">
        <v>273</v>
      </c>
      <c r="E79" s="72" t="s">
        <v>527</v>
      </c>
      <c r="F79" s="72"/>
      <c r="G79" s="72"/>
      <c r="H79" s="86" t="s">
        <v>431</v>
      </c>
      <c r="I79" s="72"/>
      <c r="J79" s="72"/>
      <c r="K79" s="72"/>
    </row>
    <row r="80" spans="1:11" ht="6" customHeight="1" x14ac:dyDescent="0.25">
      <c r="A80" s="73"/>
      <c r="B80" s="73"/>
      <c r="C80" s="73"/>
      <c r="D80" s="73"/>
      <c r="E80" s="73"/>
      <c r="F80" s="73"/>
      <c r="G80" s="73"/>
      <c r="H80" s="73"/>
      <c r="I80" s="73"/>
      <c r="J80" s="73"/>
      <c r="K80" s="73"/>
    </row>
    <row r="81" spans="1:11" ht="21.95" customHeight="1" x14ac:dyDescent="0.25">
      <c r="A81" s="343" t="s">
        <v>528</v>
      </c>
      <c r="B81" s="339"/>
      <c r="C81" s="339"/>
      <c r="D81" s="339"/>
      <c r="E81" s="339"/>
      <c r="F81" s="339"/>
      <c r="G81" s="339"/>
      <c r="H81" s="339"/>
      <c r="I81" s="339"/>
      <c r="J81" s="339"/>
      <c r="K81" s="339"/>
    </row>
    <row r="82" spans="1:11" ht="18" customHeight="1" x14ac:dyDescent="0.25">
      <c r="A82" s="74" t="s">
        <v>385</v>
      </c>
      <c r="B82" s="74" t="s">
        <v>386</v>
      </c>
      <c r="C82" s="75" t="s">
        <v>387</v>
      </c>
      <c r="D82" s="75" t="s">
        <v>529</v>
      </c>
      <c r="E82" s="75" t="s">
        <v>530</v>
      </c>
      <c r="F82" s="75" t="s">
        <v>389</v>
      </c>
      <c r="G82" s="75"/>
      <c r="H82" s="75" t="s">
        <v>390</v>
      </c>
      <c r="I82" s="75"/>
      <c r="J82" s="75"/>
      <c r="K82" s="75"/>
    </row>
    <row r="83" spans="1:11" ht="24" customHeight="1" x14ac:dyDescent="0.25">
      <c r="A83" s="71">
        <v>6337</v>
      </c>
      <c r="B83" s="71">
        <v>166</v>
      </c>
      <c r="C83" s="72" t="s">
        <v>228</v>
      </c>
      <c r="D83" s="72" t="s">
        <v>531</v>
      </c>
      <c r="E83" s="72" t="s">
        <v>532</v>
      </c>
      <c r="F83" s="72" t="s">
        <v>533</v>
      </c>
      <c r="G83" s="72"/>
      <c r="H83" s="76" t="s">
        <v>393</v>
      </c>
      <c r="I83" s="72"/>
      <c r="J83" s="72"/>
      <c r="K83" s="72"/>
    </row>
    <row r="84" spans="1:11" ht="24" customHeight="1" x14ac:dyDescent="0.25">
      <c r="A84" s="78">
        <v>6416</v>
      </c>
      <c r="B84" s="78">
        <v>171</v>
      </c>
      <c r="C84" s="79" t="s">
        <v>227</v>
      </c>
      <c r="D84" s="79" t="s">
        <v>531</v>
      </c>
      <c r="E84" s="79" t="s">
        <v>532</v>
      </c>
      <c r="F84" s="79" t="s">
        <v>533</v>
      </c>
      <c r="G84" s="79"/>
      <c r="H84" s="80" t="s">
        <v>393</v>
      </c>
      <c r="I84" s="79"/>
      <c r="J84" s="79"/>
      <c r="K84" s="79"/>
    </row>
    <row r="85" spans="1:11" ht="24" customHeight="1" x14ac:dyDescent="0.25">
      <c r="A85" s="71">
        <v>6206</v>
      </c>
      <c r="B85" s="71">
        <v>120</v>
      </c>
      <c r="C85" s="72" t="s">
        <v>174</v>
      </c>
      <c r="D85" s="72" t="s">
        <v>531</v>
      </c>
      <c r="E85" s="72" t="s">
        <v>532</v>
      </c>
      <c r="F85" s="72" t="s">
        <v>533</v>
      </c>
      <c r="G85" s="72"/>
      <c r="H85" s="76" t="s">
        <v>393</v>
      </c>
      <c r="I85" s="72"/>
      <c r="J85" s="72"/>
      <c r="K85" s="72"/>
    </row>
    <row r="86" spans="1:11" ht="24" customHeight="1" x14ac:dyDescent="0.25">
      <c r="A86" s="78">
        <v>5814</v>
      </c>
      <c r="B86" s="78">
        <v>95</v>
      </c>
      <c r="C86" s="79" t="s">
        <v>176</v>
      </c>
      <c r="D86" s="79" t="s">
        <v>531</v>
      </c>
      <c r="E86" s="79" t="s">
        <v>532</v>
      </c>
      <c r="F86" s="79" t="s">
        <v>533</v>
      </c>
      <c r="G86" s="79"/>
      <c r="H86" s="80" t="s">
        <v>393</v>
      </c>
      <c r="I86" s="79"/>
      <c r="J86" s="79"/>
      <c r="K86" s="79"/>
    </row>
    <row r="87" spans="1:11" ht="24" customHeight="1" x14ac:dyDescent="0.25">
      <c r="A87" s="71">
        <v>9002</v>
      </c>
      <c r="B87" s="71">
        <v>901</v>
      </c>
      <c r="C87" s="72" t="s">
        <v>229</v>
      </c>
      <c r="D87" s="72" t="s">
        <v>531</v>
      </c>
      <c r="E87" s="72" t="s">
        <v>532</v>
      </c>
      <c r="F87" s="72" t="s">
        <v>533</v>
      </c>
      <c r="G87" s="72"/>
      <c r="H87" s="76" t="s">
        <v>393</v>
      </c>
      <c r="I87" s="72"/>
      <c r="J87" s="72"/>
      <c r="K87" s="72"/>
    </row>
    <row r="88" spans="1:11" ht="24" customHeight="1" x14ac:dyDescent="0.25">
      <c r="A88" s="78">
        <v>4050</v>
      </c>
      <c r="B88" s="78">
        <v>142</v>
      </c>
      <c r="C88" s="79" t="s">
        <v>224</v>
      </c>
      <c r="D88" s="79" t="s">
        <v>531</v>
      </c>
      <c r="E88" s="79" t="s">
        <v>532</v>
      </c>
      <c r="F88" s="79" t="s">
        <v>533</v>
      </c>
      <c r="G88" s="79"/>
      <c r="H88" s="80" t="s">
        <v>393</v>
      </c>
      <c r="I88" s="79"/>
      <c r="J88" s="79"/>
      <c r="K88" s="79"/>
    </row>
    <row r="89" spans="1:11" ht="24" customHeight="1" x14ac:dyDescent="0.25">
      <c r="A89" s="71">
        <v>6312</v>
      </c>
      <c r="B89" s="71">
        <v>157</v>
      </c>
      <c r="C89" s="72" t="s">
        <v>225</v>
      </c>
      <c r="D89" s="72" t="s">
        <v>531</v>
      </c>
      <c r="E89" s="72" t="s">
        <v>532</v>
      </c>
      <c r="F89" s="72" t="s">
        <v>533</v>
      </c>
      <c r="G89" s="72"/>
      <c r="H89" s="76" t="s">
        <v>393</v>
      </c>
      <c r="I89" s="72"/>
      <c r="J89" s="72"/>
      <c r="K89" s="72"/>
    </row>
    <row r="90" spans="1:11" ht="24" customHeight="1" x14ac:dyDescent="0.25">
      <c r="A90" s="78">
        <v>6595</v>
      </c>
      <c r="B90" s="78">
        <v>192</v>
      </c>
      <c r="C90" s="79" t="s">
        <v>222</v>
      </c>
      <c r="D90" s="79" t="s">
        <v>531</v>
      </c>
      <c r="E90" s="79" t="s">
        <v>532</v>
      </c>
      <c r="F90" s="79" t="s">
        <v>533</v>
      </c>
      <c r="G90" s="79"/>
      <c r="H90" s="80" t="s">
        <v>393</v>
      </c>
      <c r="I90" s="79"/>
      <c r="J90" s="79"/>
      <c r="K90" s="79"/>
    </row>
    <row r="91" spans="1:11" ht="6" customHeight="1" x14ac:dyDescent="0.25">
      <c r="A91" s="82"/>
      <c r="B91" s="73"/>
      <c r="C91" s="73"/>
      <c r="D91" s="73"/>
      <c r="E91" s="73"/>
      <c r="F91" s="73"/>
      <c r="G91" s="73"/>
      <c r="H91" s="73"/>
      <c r="I91" s="73"/>
      <c r="J91" s="73"/>
      <c r="K91" s="73"/>
    </row>
    <row r="92" spans="1:11" ht="21.95" customHeight="1" x14ac:dyDescent="0.25">
      <c r="A92" s="343" t="s">
        <v>534</v>
      </c>
      <c r="B92" s="339"/>
      <c r="C92" s="339"/>
      <c r="D92" s="339"/>
      <c r="E92" s="339"/>
      <c r="F92" s="339"/>
      <c r="G92" s="339"/>
      <c r="H92" s="339"/>
      <c r="I92" s="339"/>
      <c r="J92" s="339"/>
      <c r="K92" s="339"/>
    </row>
    <row r="93" spans="1:11" x14ac:dyDescent="0.25">
      <c r="A93" s="71" t="s">
        <v>535</v>
      </c>
      <c r="B93" s="71"/>
      <c r="C93" s="72"/>
      <c r="D93" s="72"/>
      <c r="E93" s="72"/>
      <c r="F93" s="72"/>
      <c r="G93" s="72"/>
      <c r="H93" s="72"/>
      <c r="I93" s="72"/>
      <c r="J93" s="72"/>
      <c r="K93" s="72"/>
    </row>
    <row r="94" spans="1:11" ht="18" customHeight="1" x14ac:dyDescent="0.25">
      <c r="A94" s="74" t="s">
        <v>536</v>
      </c>
      <c r="B94" s="74"/>
      <c r="C94" s="75" t="s">
        <v>480</v>
      </c>
      <c r="D94" s="75"/>
      <c r="E94" s="75"/>
      <c r="F94" s="75"/>
      <c r="G94" s="75"/>
      <c r="H94" s="75"/>
      <c r="I94" s="75"/>
      <c r="J94" s="75"/>
      <c r="K94" s="75"/>
    </row>
    <row r="95" spans="1:11" ht="24" customHeight="1" x14ac:dyDescent="0.25">
      <c r="A95" s="71" t="s">
        <v>537</v>
      </c>
      <c r="B95" s="71"/>
      <c r="C95" s="72" t="s">
        <v>538</v>
      </c>
      <c r="D95" s="72"/>
      <c r="E95" s="72"/>
      <c r="F95" s="72"/>
      <c r="G95" s="72"/>
      <c r="H95" s="72"/>
      <c r="I95" s="72"/>
      <c r="J95" s="72"/>
      <c r="K95" s="72"/>
    </row>
    <row r="96" spans="1:11" ht="24" customHeight="1" x14ac:dyDescent="0.25">
      <c r="A96" s="78" t="s">
        <v>539</v>
      </c>
      <c r="B96" s="78"/>
      <c r="C96" s="79" t="s">
        <v>540</v>
      </c>
      <c r="D96" s="79"/>
      <c r="E96" s="79"/>
      <c r="F96" s="79"/>
      <c r="G96" s="79"/>
      <c r="H96" s="79"/>
      <c r="I96" s="79"/>
      <c r="J96" s="79"/>
      <c r="K96" s="79"/>
    </row>
    <row r="97" spans="1:11" x14ac:dyDescent="0.25">
      <c r="A97" s="71" t="s">
        <v>541</v>
      </c>
      <c r="B97" s="71"/>
      <c r="C97" s="72" t="s">
        <v>542</v>
      </c>
      <c r="D97" s="72"/>
      <c r="E97" s="72"/>
      <c r="F97" s="72"/>
      <c r="G97" s="72"/>
      <c r="H97" s="72"/>
      <c r="I97" s="72"/>
      <c r="J97" s="72"/>
      <c r="K97" s="72"/>
    </row>
    <row r="98" spans="1:11" ht="24" customHeight="1" x14ac:dyDescent="0.25">
      <c r="A98" s="78" t="s">
        <v>543</v>
      </c>
      <c r="B98" s="78"/>
      <c r="C98" s="79" t="s">
        <v>544</v>
      </c>
      <c r="D98" s="79"/>
      <c r="E98" s="79"/>
      <c r="F98" s="79"/>
      <c r="G98" s="79"/>
      <c r="H98" s="79"/>
      <c r="I98" s="79"/>
      <c r="J98" s="79"/>
      <c r="K98" s="79"/>
    </row>
    <row r="99" spans="1:11" ht="24" customHeight="1" x14ac:dyDescent="0.25">
      <c r="A99" s="71" t="s">
        <v>545</v>
      </c>
      <c r="B99" s="71"/>
      <c r="C99" s="72" t="s">
        <v>546</v>
      </c>
      <c r="D99" s="72"/>
      <c r="E99" s="72"/>
      <c r="F99" s="72"/>
      <c r="G99" s="72"/>
      <c r="H99" s="72"/>
      <c r="I99" s="72"/>
      <c r="J99" s="72"/>
      <c r="K99" s="72"/>
    </row>
    <row r="100" spans="1:11" ht="36" customHeight="1" x14ac:dyDescent="0.25">
      <c r="A100" s="78" t="s">
        <v>547</v>
      </c>
      <c r="B100" s="78"/>
      <c r="C100" s="79" t="s">
        <v>548</v>
      </c>
      <c r="D100" s="79"/>
      <c r="E100" s="79"/>
      <c r="F100" s="79"/>
      <c r="G100" s="79"/>
      <c r="H100" s="79"/>
      <c r="I100" s="79"/>
      <c r="J100" s="79"/>
      <c r="K100" s="79"/>
    </row>
    <row r="101" spans="1:11" ht="6" customHeight="1" x14ac:dyDescent="0.25">
      <c r="A101" s="73"/>
      <c r="B101" s="73"/>
      <c r="C101" s="73"/>
      <c r="D101" s="73"/>
      <c r="E101" s="73"/>
      <c r="F101" s="73"/>
      <c r="G101" s="73"/>
      <c r="H101" s="73"/>
      <c r="I101" s="73"/>
      <c r="J101" s="73"/>
      <c r="K101" s="73"/>
    </row>
    <row r="102" spans="1:11" ht="18" customHeight="1" x14ac:dyDescent="0.25">
      <c r="A102" s="74" t="s">
        <v>549</v>
      </c>
      <c r="B102" s="74" t="s">
        <v>550</v>
      </c>
      <c r="C102" s="75" t="s">
        <v>551</v>
      </c>
      <c r="D102" s="75"/>
      <c r="E102" s="75"/>
      <c r="F102" s="75"/>
      <c r="G102" s="75"/>
      <c r="H102" s="75" t="s">
        <v>390</v>
      </c>
      <c r="I102" s="75"/>
      <c r="J102" s="75"/>
      <c r="K102" s="75"/>
    </row>
    <row r="103" spans="1:11" ht="36" customHeight="1" x14ac:dyDescent="0.25">
      <c r="A103" s="71" t="s">
        <v>489</v>
      </c>
      <c r="B103" s="71" t="s">
        <v>552</v>
      </c>
      <c r="C103" s="72" t="s">
        <v>553</v>
      </c>
      <c r="D103" s="72"/>
      <c r="E103" s="72"/>
      <c r="F103" s="72"/>
      <c r="G103" s="72"/>
      <c r="H103" s="76" t="s">
        <v>393</v>
      </c>
      <c r="I103" s="72"/>
      <c r="J103" s="72"/>
      <c r="K103" s="72"/>
    </row>
    <row r="104" spans="1:11" ht="24" customHeight="1" x14ac:dyDescent="0.25">
      <c r="A104" s="78" t="s">
        <v>554</v>
      </c>
      <c r="B104" s="78" t="s">
        <v>555</v>
      </c>
      <c r="C104" s="79" t="s">
        <v>556</v>
      </c>
      <c r="D104" s="79"/>
      <c r="E104" s="79"/>
      <c r="F104" s="79"/>
      <c r="G104" s="79"/>
      <c r="H104" s="85" t="s">
        <v>431</v>
      </c>
      <c r="I104" s="79"/>
      <c r="J104" s="79"/>
      <c r="K104" s="79"/>
    </row>
    <row r="105" spans="1:11" ht="24" customHeight="1" x14ac:dyDescent="0.25">
      <c r="A105" s="71" t="s">
        <v>557</v>
      </c>
      <c r="B105" s="71" t="s">
        <v>558</v>
      </c>
      <c r="C105" s="72" t="s">
        <v>559</v>
      </c>
      <c r="D105" s="72"/>
      <c r="E105" s="72"/>
      <c r="F105" s="72"/>
      <c r="G105" s="72"/>
      <c r="H105" s="86" t="s">
        <v>431</v>
      </c>
      <c r="I105" s="72"/>
      <c r="J105" s="72"/>
      <c r="K105" s="72"/>
    </row>
    <row r="106" spans="1:11" ht="24" customHeight="1" x14ac:dyDescent="0.25">
      <c r="A106" s="78" t="s">
        <v>560</v>
      </c>
      <c r="B106" s="78" t="s">
        <v>561</v>
      </c>
      <c r="C106" s="79" t="s">
        <v>562</v>
      </c>
      <c r="D106" s="79"/>
      <c r="E106" s="79"/>
      <c r="F106" s="79"/>
      <c r="G106" s="79"/>
      <c r="H106" s="79" t="s">
        <v>495</v>
      </c>
      <c r="I106" s="79"/>
      <c r="J106" s="79"/>
      <c r="K106" s="79"/>
    </row>
    <row r="107" spans="1:11" ht="6" customHeight="1" x14ac:dyDescent="0.25">
      <c r="A107" s="82"/>
      <c r="B107" s="73"/>
      <c r="C107" s="82"/>
      <c r="D107" s="73"/>
      <c r="E107" s="82"/>
      <c r="F107" s="73"/>
      <c r="G107" s="82"/>
      <c r="H107" s="73"/>
      <c r="I107" s="82"/>
      <c r="J107" s="82"/>
      <c r="K107" s="73"/>
    </row>
    <row r="108" spans="1:11" ht="18" customHeight="1" x14ac:dyDescent="0.25">
      <c r="A108" s="74" t="s">
        <v>563</v>
      </c>
      <c r="B108" s="74" t="s">
        <v>2</v>
      </c>
      <c r="C108" s="75" t="s">
        <v>564</v>
      </c>
      <c r="D108" s="75"/>
      <c r="E108" s="75" t="s">
        <v>565</v>
      </c>
      <c r="F108" s="75"/>
      <c r="G108" s="75" t="s">
        <v>566</v>
      </c>
      <c r="H108" s="75" t="s">
        <v>567</v>
      </c>
      <c r="I108" s="75" t="s">
        <v>568</v>
      </c>
      <c r="J108" s="75"/>
      <c r="K108" s="75"/>
    </row>
    <row r="109" spans="1:11" x14ac:dyDescent="0.25">
      <c r="A109" s="71">
        <v>1</v>
      </c>
      <c r="B109" s="71">
        <v>3734</v>
      </c>
      <c r="C109" s="72" t="s">
        <v>98</v>
      </c>
      <c r="D109" s="72"/>
      <c r="E109" s="72">
        <v>55</v>
      </c>
      <c r="F109" s="72"/>
      <c r="G109" s="72">
        <v>4.58</v>
      </c>
      <c r="H109" s="72">
        <v>6.38</v>
      </c>
      <c r="I109" s="72" t="s">
        <v>569</v>
      </c>
      <c r="J109" s="72"/>
      <c r="K109" s="72"/>
    </row>
    <row r="110" spans="1:11" x14ac:dyDescent="0.25">
      <c r="A110" s="78">
        <v>2</v>
      </c>
      <c r="B110" s="78">
        <v>6038</v>
      </c>
      <c r="C110" s="79" t="s">
        <v>110</v>
      </c>
      <c r="D110" s="79"/>
      <c r="E110" s="79">
        <v>25</v>
      </c>
      <c r="F110" s="79"/>
      <c r="G110" s="79">
        <v>2.08</v>
      </c>
      <c r="H110" s="79">
        <v>2.9</v>
      </c>
      <c r="I110" s="79" t="s">
        <v>570</v>
      </c>
      <c r="J110" s="79"/>
      <c r="K110" s="79"/>
    </row>
    <row r="111" spans="1:11" x14ac:dyDescent="0.25">
      <c r="A111" s="71">
        <v>3</v>
      </c>
      <c r="B111" s="71">
        <v>3858</v>
      </c>
      <c r="C111" s="72" t="s">
        <v>104</v>
      </c>
      <c r="D111" s="72"/>
      <c r="E111" s="89">
        <v>24.1</v>
      </c>
      <c r="F111" s="72"/>
      <c r="G111" s="89">
        <v>2.0099999999999998</v>
      </c>
      <c r="H111" s="72">
        <v>2.8</v>
      </c>
      <c r="I111" s="72" t="s">
        <v>571</v>
      </c>
      <c r="J111" s="72"/>
      <c r="K111" s="72"/>
    </row>
    <row r="112" spans="1:11" x14ac:dyDescent="0.25">
      <c r="A112" s="78">
        <v>4</v>
      </c>
      <c r="B112" s="78">
        <v>3754</v>
      </c>
      <c r="C112" s="79" t="s">
        <v>100</v>
      </c>
      <c r="D112" s="79"/>
      <c r="E112" s="90">
        <v>23</v>
      </c>
      <c r="F112" s="79"/>
      <c r="G112" s="90">
        <v>1.92</v>
      </c>
      <c r="H112" s="79">
        <v>2.67</v>
      </c>
      <c r="I112" s="79" t="s">
        <v>572</v>
      </c>
      <c r="J112" s="79"/>
      <c r="K112" s="79"/>
    </row>
    <row r="113" spans="1:11" x14ac:dyDescent="0.25">
      <c r="A113" s="71">
        <v>5</v>
      </c>
      <c r="B113" s="71">
        <v>3755</v>
      </c>
      <c r="C113" s="72" t="s">
        <v>101</v>
      </c>
      <c r="D113" s="72"/>
      <c r="E113" s="89">
        <v>21</v>
      </c>
      <c r="F113" s="72"/>
      <c r="G113" s="89">
        <v>1.75</v>
      </c>
      <c r="H113" s="72">
        <v>2.44</v>
      </c>
      <c r="I113" s="72" t="s">
        <v>573</v>
      </c>
      <c r="J113" s="72"/>
      <c r="K113" s="72"/>
    </row>
    <row r="114" spans="1:11" x14ac:dyDescent="0.25">
      <c r="A114" s="78">
        <v>6</v>
      </c>
      <c r="B114" s="78">
        <v>1928</v>
      </c>
      <c r="C114" s="79" t="s">
        <v>574</v>
      </c>
      <c r="D114" s="79"/>
      <c r="E114" s="90">
        <v>20</v>
      </c>
      <c r="F114" s="79"/>
      <c r="G114" s="90">
        <v>1.67</v>
      </c>
      <c r="H114" s="79">
        <v>2.3199999999999998</v>
      </c>
      <c r="I114" s="79" t="s">
        <v>575</v>
      </c>
      <c r="J114" s="79"/>
      <c r="K114" s="79"/>
    </row>
    <row r="115" spans="1:11" x14ac:dyDescent="0.25">
      <c r="A115" s="71">
        <v>7</v>
      </c>
      <c r="B115" s="71">
        <v>7094</v>
      </c>
      <c r="C115" s="72" t="s">
        <v>576</v>
      </c>
      <c r="D115" s="72"/>
      <c r="E115" s="89">
        <v>20</v>
      </c>
      <c r="F115" s="72"/>
      <c r="G115" s="89">
        <v>1.67</v>
      </c>
      <c r="H115" s="72">
        <v>2.3199999999999998</v>
      </c>
      <c r="I115" s="72" t="s">
        <v>575</v>
      </c>
      <c r="J115" s="72"/>
      <c r="K115" s="72"/>
    </row>
    <row r="116" spans="1:11" x14ac:dyDescent="0.25">
      <c r="A116" s="78">
        <v>8</v>
      </c>
      <c r="B116" s="78">
        <v>3736</v>
      </c>
      <c r="C116" s="79" t="s">
        <v>99</v>
      </c>
      <c r="D116" s="79"/>
      <c r="E116" s="90">
        <v>13.8</v>
      </c>
      <c r="F116" s="79"/>
      <c r="G116" s="90">
        <v>1.1499999999999999</v>
      </c>
      <c r="H116" s="79">
        <v>1.6</v>
      </c>
      <c r="I116" s="79" t="s">
        <v>577</v>
      </c>
      <c r="J116" s="79"/>
      <c r="K116" s="79"/>
    </row>
    <row r="117" spans="1:11" x14ac:dyDescent="0.25">
      <c r="A117" s="71">
        <v>9</v>
      </c>
      <c r="B117" s="71">
        <v>3955</v>
      </c>
      <c r="C117" s="72" t="s">
        <v>105</v>
      </c>
      <c r="D117" s="72"/>
      <c r="E117" s="89">
        <v>11</v>
      </c>
      <c r="F117" s="72"/>
      <c r="G117" s="89">
        <v>0.92</v>
      </c>
      <c r="H117" s="72">
        <v>1.28</v>
      </c>
      <c r="I117" s="72" t="s">
        <v>578</v>
      </c>
      <c r="J117" s="72"/>
      <c r="K117" s="72"/>
    </row>
    <row r="118" spans="1:11" x14ac:dyDescent="0.25">
      <c r="A118" s="78">
        <v>10</v>
      </c>
      <c r="B118" s="78">
        <v>7398</v>
      </c>
      <c r="C118" s="79" t="s">
        <v>116</v>
      </c>
      <c r="D118" s="79"/>
      <c r="E118" s="90">
        <v>9</v>
      </c>
      <c r="F118" s="79"/>
      <c r="G118" s="90">
        <v>0.75</v>
      </c>
      <c r="H118" s="79">
        <v>1.04</v>
      </c>
      <c r="I118" s="79" t="s">
        <v>579</v>
      </c>
      <c r="J118" s="79"/>
      <c r="K118" s="79"/>
    </row>
    <row r="119" spans="1:11" x14ac:dyDescent="0.25">
      <c r="A119" s="71" t="s">
        <v>580</v>
      </c>
      <c r="B119" s="71"/>
      <c r="C119" s="72"/>
      <c r="D119" s="72"/>
      <c r="E119" s="89"/>
      <c r="F119" s="72"/>
      <c r="G119" s="89"/>
      <c r="H119" s="72"/>
      <c r="I119" s="72"/>
      <c r="J119" s="72"/>
      <c r="K119" s="72"/>
    </row>
    <row r="120" spans="1:11" ht="6" customHeight="1" x14ac:dyDescent="0.25">
      <c r="A120" s="82"/>
      <c r="B120" s="82"/>
      <c r="C120" s="82"/>
      <c r="D120" s="73"/>
      <c r="E120" s="91"/>
      <c r="F120" s="73"/>
      <c r="G120" s="91"/>
      <c r="H120" s="73"/>
      <c r="I120" s="82"/>
      <c r="J120" s="82"/>
      <c r="K120" s="73"/>
    </row>
    <row r="121" spans="1:11" ht="6" customHeight="1" x14ac:dyDescent="0.25">
      <c r="A121" s="82"/>
      <c r="B121" s="82"/>
      <c r="C121" s="82"/>
      <c r="D121" s="73"/>
      <c r="E121" s="91"/>
      <c r="F121" s="73"/>
      <c r="G121" s="91"/>
      <c r="H121" s="73"/>
      <c r="I121" s="82"/>
      <c r="J121" s="82"/>
      <c r="K121" s="73"/>
    </row>
    <row r="122" spans="1:11" ht="6" customHeight="1" x14ac:dyDescent="0.25">
      <c r="A122" s="82"/>
      <c r="B122" s="82"/>
      <c r="C122" s="82"/>
      <c r="D122" s="73"/>
      <c r="E122" s="91"/>
      <c r="F122" s="73"/>
      <c r="G122" s="91"/>
      <c r="H122" s="73"/>
      <c r="I122" s="82"/>
      <c r="J122" s="82"/>
      <c r="K122" s="73"/>
    </row>
    <row r="123" spans="1:11" ht="6" customHeight="1" x14ac:dyDescent="0.25">
      <c r="A123" s="82"/>
      <c r="B123" s="82"/>
      <c r="C123" s="82"/>
      <c r="D123" s="73"/>
      <c r="E123" s="91"/>
      <c r="F123" s="73"/>
      <c r="G123" s="91"/>
      <c r="H123" s="73"/>
      <c r="I123" s="82"/>
      <c r="J123" s="82"/>
      <c r="K123" s="73"/>
    </row>
    <row r="124" spans="1:11" ht="6" customHeight="1" x14ac:dyDescent="0.25">
      <c r="A124" s="82"/>
      <c r="B124" s="82"/>
      <c r="C124" s="82"/>
      <c r="D124" s="73"/>
      <c r="E124" s="91"/>
      <c r="F124" s="73"/>
      <c r="G124" s="91"/>
      <c r="H124" s="73"/>
      <c r="I124" s="82"/>
      <c r="J124" s="82"/>
      <c r="K124" s="73"/>
    </row>
    <row r="125" spans="1:11" ht="6" customHeight="1" x14ac:dyDescent="0.25">
      <c r="A125" s="92"/>
      <c r="B125" s="73"/>
      <c r="C125" s="73"/>
      <c r="D125" s="73"/>
      <c r="E125" s="73"/>
      <c r="F125" s="73"/>
      <c r="G125" s="73"/>
      <c r="H125" s="73"/>
      <c r="I125" s="73"/>
      <c r="J125" s="73"/>
      <c r="K125" s="73"/>
    </row>
    <row r="126" spans="1:11" ht="6" customHeight="1" x14ac:dyDescent="0.25">
      <c r="A126" s="92"/>
      <c r="B126" s="73"/>
      <c r="C126" s="82"/>
      <c r="D126" s="73"/>
      <c r="E126" s="73"/>
      <c r="F126" s="73"/>
      <c r="G126" s="73"/>
      <c r="H126" s="73"/>
      <c r="I126" s="73"/>
      <c r="J126" s="73"/>
      <c r="K126" s="73"/>
    </row>
    <row r="127" spans="1:11" ht="6" customHeight="1" x14ac:dyDescent="0.25">
      <c r="A127" s="92"/>
      <c r="B127" s="73"/>
      <c r="C127" s="82"/>
      <c r="D127" s="73"/>
      <c r="E127" s="73"/>
      <c r="F127" s="73"/>
      <c r="G127" s="73"/>
      <c r="H127" s="73"/>
      <c r="I127" s="73"/>
      <c r="J127" s="73"/>
      <c r="K127" s="73"/>
    </row>
    <row r="128" spans="1:11" ht="6" customHeight="1" x14ac:dyDescent="0.25">
      <c r="A128" s="92"/>
      <c r="B128" s="73"/>
      <c r="C128" s="82"/>
      <c r="D128" s="73"/>
      <c r="E128" s="73"/>
      <c r="F128" s="73"/>
      <c r="G128" s="73"/>
      <c r="H128" s="73"/>
      <c r="I128" s="73"/>
      <c r="J128" s="73"/>
      <c r="K128" s="73"/>
    </row>
    <row r="129" spans="1:11" ht="6" customHeight="1" x14ac:dyDescent="0.25">
      <c r="A129" s="92"/>
      <c r="B129" s="73"/>
      <c r="C129" s="82"/>
      <c r="D129" s="73"/>
      <c r="E129" s="73"/>
      <c r="F129" s="73"/>
      <c r="G129" s="73"/>
      <c r="H129" s="73"/>
      <c r="I129" s="73"/>
      <c r="J129" s="73"/>
      <c r="K129" s="73"/>
    </row>
    <row r="130" spans="1:11" ht="6" customHeight="1" x14ac:dyDescent="0.25">
      <c r="A130" s="92"/>
      <c r="B130" s="73"/>
      <c r="C130" s="82"/>
      <c r="D130" s="73"/>
      <c r="E130" s="73"/>
      <c r="F130" s="73"/>
      <c r="G130" s="73"/>
      <c r="H130" s="73"/>
      <c r="I130" s="73"/>
      <c r="J130" s="73"/>
      <c r="K130" s="73"/>
    </row>
    <row r="131" spans="1:11" ht="6" customHeight="1" x14ac:dyDescent="0.25">
      <c r="A131" s="92"/>
      <c r="B131" s="73"/>
      <c r="C131" s="73"/>
      <c r="D131" s="73"/>
      <c r="E131" s="73"/>
      <c r="F131" s="73"/>
      <c r="G131" s="73"/>
      <c r="H131" s="73"/>
      <c r="I131" s="73"/>
      <c r="J131" s="73"/>
      <c r="K131" s="73"/>
    </row>
    <row r="132" spans="1:11" ht="6" customHeight="1" x14ac:dyDescent="0.25">
      <c r="A132" s="93"/>
      <c r="B132" s="93"/>
      <c r="C132" s="93"/>
      <c r="D132" s="73"/>
      <c r="E132" s="73"/>
      <c r="F132" s="73"/>
      <c r="G132" s="73"/>
      <c r="H132" s="73"/>
      <c r="I132" s="93"/>
      <c r="J132" s="73"/>
      <c r="K132" s="73"/>
    </row>
    <row r="133" spans="1:11" ht="6" customHeight="1" x14ac:dyDescent="0.25">
      <c r="A133" s="92"/>
      <c r="B133" s="93"/>
      <c r="C133" s="82"/>
      <c r="D133" s="73"/>
      <c r="E133" s="73"/>
      <c r="F133" s="73"/>
      <c r="G133" s="73"/>
      <c r="H133" s="73"/>
      <c r="I133" s="93"/>
      <c r="J133" s="73"/>
      <c r="K133" s="73"/>
    </row>
    <row r="134" spans="1:11" ht="6" customHeight="1" x14ac:dyDescent="0.25">
      <c r="A134" s="92"/>
      <c r="B134" s="93"/>
      <c r="C134" s="82"/>
      <c r="D134" s="73"/>
      <c r="E134" s="73"/>
      <c r="F134" s="73"/>
      <c r="G134" s="73"/>
      <c r="H134" s="73"/>
      <c r="I134" s="93"/>
      <c r="J134" s="73"/>
      <c r="K134" s="73"/>
    </row>
    <row r="135" spans="1:11" ht="6" customHeight="1" x14ac:dyDescent="0.25">
      <c r="A135" s="92"/>
      <c r="B135" s="93"/>
      <c r="C135" s="82"/>
      <c r="D135" s="73"/>
      <c r="E135" s="73"/>
      <c r="F135" s="73"/>
      <c r="G135" s="73"/>
      <c r="H135" s="73"/>
      <c r="I135" s="93"/>
      <c r="J135" s="73"/>
      <c r="K135" s="73"/>
    </row>
    <row r="136" spans="1:11" ht="6" customHeight="1" x14ac:dyDescent="0.25">
      <c r="A136" s="92"/>
      <c r="B136" s="93"/>
      <c r="C136" s="82"/>
      <c r="D136" s="73"/>
      <c r="E136" s="73"/>
      <c r="F136" s="73"/>
      <c r="G136" s="73"/>
      <c r="H136" s="73"/>
      <c r="I136" s="93"/>
      <c r="J136" s="73"/>
      <c r="K136" s="73"/>
    </row>
    <row r="137" spans="1:11" ht="6" customHeight="1" x14ac:dyDescent="0.25">
      <c r="A137" s="92"/>
      <c r="B137" s="93"/>
      <c r="C137" s="82"/>
      <c r="D137" s="73"/>
      <c r="E137" s="73"/>
      <c r="F137" s="73"/>
      <c r="G137" s="73"/>
      <c r="H137" s="73"/>
      <c r="I137" s="93"/>
      <c r="J137" s="73"/>
      <c r="K137" s="73"/>
    </row>
    <row r="138" spans="1:11" ht="6" customHeight="1" x14ac:dyDescent="0.25">
      <c r="A138" s="92"/>
      <c r="B138" s="73"/>
      <c r="C138" s="73"/>
      <c r="D138" s="73"/>
      <c r="E138" s="73"/>
      <c r="F138" s="73"/>
      <c r="G138" s="73"/>
      <c r="H138" s="73"/>
      <c r="I138" s="73"/>
      <c r="J138" s="73"/>
      <c r="K138" s="73"/>
    </row>
    <row r="139" spans="1:11" ht="6" customHeight="1" x14ac:dyDescent="0.25">
      <c r="A139" s="93"/>
      <c r="B139" s="93"/>
      <c r="C139" s="93"/>
      <c r="D139" s="73"/>
      <c r="E139" s="93"/>
      <c r="F139" s="73"/>
      <c r="G139" s="93"/>
      <c r="H139" s="73"/>
      <c r="I139" s="93"/>
      <c r="J139" s="73"/>
      <c r="K139" s="93"/>
    </row>
    <row r="140" spans="1:11" ht="6" customHeight="1" x14ac:dyDescent="0.25">
      <c r="A140" s="93"/>
      <c r="B140" s="93"/>
      <c r="C140" s="93"/>
      <c r="D140" s="73"/>
      <c r="E140" s="94"/>
      <c r="F140" s="73"/>
      <c r="G140" s="95"/>
      <c r="H140" s="73"/>
      <c r="I140" s="95"/>
      <c r="J140" s="73"/>
      <c r="K140" s="93"/>
    </row>
    <row r="141" spans="1:11" ht="6" customHeight="1" x14ac:dyDescent="0.25">
      <c r="A141" s="93"/>
      <c r="B141" s="93"/>
      <c r="C141" s="93"/>
      <c r="D141" s="73"/>
      <c r="E141" s="94"/>
      <c r="F141" s="73"/>
      <c r="G141" s="95"/>
      <c r="H141" s="73"/>
      <c r="I141" s="95"/>
      <c r="J141" s="73"/>
      <c r="K141" s="93"/>
    </row>
    <row r="142" spans="1:11" ht="6" customHeight="1" x14ac:dyDescent="0.25">
      <c r="A142" s="93"/>
      <c r="B142" s="93"/>
      <c r="C142" s="93"/>
      <c r="D142" s="73"/>
      <c r="E142" s="94"/>
      <c r="F142" s="73"/>
      <c r="G142" s="95"/>
      <c r="H142" s="73"/>
      <c r="I142" s="95"/>
      <c r="J142" s="73"/>
      <c r="K142" s="93"/>
    </row>
    <row r="143" spans="1:11" ht="6" customHeight="1" x14ac:dyDescent="0.25">
      <c r="A143" s="93"/>
      <c r="B143" s="93"/>
      <c r="C143" s="93"/>
      <c r="D143" s="73"/>
      <c r="E143" s="94"/>
      <c r="F143" s="73"/>
      <c r="G143" s="95"/>
      <c r="H143" s="73"/>
      <c r="I143" s="95"/>
      <c r="J143" s="73"/>
      <c r="K143" s="93"/>
    </row>
    <row r="144" spans="1:11" ht="6" customHeight="1" x14ac:dyDescent="0.25">
      <c r="A144" s="93"/>
      <c r="B144" s="93"/>
      <c r="C144" s="93"/>
      <c r="D144" s="73"/>
      <c r="E144" s="94"/>
      <c r="F144" s="73"/>
      <c r="G144" s="95"/>
      <c r="H144" s="73"/>
      <c r="I144" s="95"/>
      <c r="J144" s="73"/>
      <c r="K144" s="93"/>
    </row>
    <row r="145" spans="1:11" ht="6" customHeight="1" x14ac:dyDescent="0.25">
      <c r="A145" s="93"/>
      <c r="B145" s="93"/>
      <c r="C145" s="93"/>
      <c r="D145" s="73"/>
      <c r="E145" s="94"/>
      <c r="F145" s="73"/>
      <c r="G145" s="95"/>
      <c r="H145" s="73"/>
      <c r="I145" s="95"/>
      <c r="J145" s="73"/>
      <c r="K145" s="93"/>
    </row>
    <row r="146" spans="1:11" ht="6" customHeight="1" x14ac:dyDescent="0.25">
      <c r="A146" s="93"/>
      <c r="B146" s="93"/>
      <c r="C146" s="93"/>
      <c r="D146" s="73"/>
      <c r="E146" s="94"/>
      <c r="F146" s="73"/>
      <c r="G146" s="95"/>
      <c r="H146" s="73"/>
      <c r="I146" s="95"/>
      <c r="J146" s="73"/>
      <c r="K146" s="93"/>
    </row>
    <row r="147" spans="1:11" ht="6" customHeight="1" x14ac:dyDescent="0.25">
      <c r="A147" s="93"/>
      <c r="B147" s="93"/>
      <c r="C147" s="93"/>
      <c r="D147" s="73"/>
      <c r="E147" s="94"/>
      <c r="F147" s="73"/>
      <c r="G147" s="95"/>
      <c r="H147" s="73"/>
      <c r="I147" s="95"/>
      <c r="J147" s="73"/>
      <c r="K147" s="93"/>
    </row>
    <row r="148" spans="1:11" ht="6" customHeight="1" x14ac:dyDescent="0.25">
      <c r="A148" s="93"/>
      <c r="B148" s="93"/>
      <c r="C148" s="93"/>
      <c r="D148" s="73"/>
      <c r="E148" s="94"/>
      <c r="F148" s="73"/>
      <c r="G148" s="95"/>
      <c r="H148" s="73"/>
      <c r="I148" s="95"/>
      <c r="J148" s="73"/>
      <c r="K148" s="93"/>
    </row>
    <row r="149" spans="1:11" ht="6" customHeight="1" x14ac:dyDescent="0.25">
      <c r="A149" s="93"/>
      <c r="B149" s="93"/>
      <c r="C149" s="93"/>
      <c r="D149" s="73"/>
      <c r="E149" s="94"/>
      <c r="F149" s="73"/>
      <c r="G149" s="95"/>
      <c r="H149" s="73"/>
      <c r="I149" s="95"/>
      <c r="J149" s="73"/>
      <c r="K149" s="93"/>
    </row>
    <row r="150" spans="1:11" ht="6" customHeight="1" x14ac:dyDescent="0.25">
      <c r="A150" s="82"/>
      <c r="B150" s="73"/>
      <c r="C150" s="73"/>
      <c r="D150" s="73"/>
      <c r="E150" s="73"/>
      <c r="F150" s="73"/>
      <c r="G150" s="73"/>
      <c r="H150" s="73"/>
      <c r="I150" s="73"/>
      <c r="J150" s="73"/>
      <c r="K150" s="73"/>
    </row>
    <row r="151" spans="1:11" ht="6" customHeight="1" x14ac:dyDescent="0.25">
      <c r="A151" s="73"/>
      <c r="B151" s="73"/>
      <c r="C151" s="73"/>
      <c r="D151" s="73"/>
      <c r="E151" s="73"/>
      <c r="F151" s="73"/>
      <c r="G151" s="73"/>
      <c r="H151" s="73"/>
      <c r="I151" s="73"/>
      <c r="J151" s="73"/>
      <c r="K151" s="73"/>
    </row>
    <row r="152" spans="1:11" ht="6" customHeight="1" x14ac:dyDescent="0.25">
      <c r="A152" s="73"/>
      <c r="B152" s="73"/>
      <c r="C152" s="73"/>
      <c r="D152" s="73"/>
      <c r="E152" s="73"/>
      <c r="F152" s="73"/>
      <c r="G152" s="73"/>
      <c r="H152" s="73"/>
      <c r="I152" s="73"/>
      <c r="J152" s="73"/>
      <c r="K152" s="73"/>
    </row>
    <row r="153" spans="1:11" ht="6" customHeight="1" x14ac:dyDescent="0.25">
      <c r="A153" s="73"/>
      <c r="B153" s="73"/>
      <c r="C153" s="73"/>
      <c r="D153" s="73"/>
      <c r="E153" s="73"/>
      <c r="F153" s="73"/>
      <c r="G153" s="73"/>
      <c r="H153" s="73"/>
      <c r="I153" s="73"/>
      <c r="J153" s="73"/>
      <c r="K153" s="73"/>
    </row>
    <row r="154" spans="1:11" ht="6" customHeight="1" x14ac:dyDescent="0.25">
      <c r="A154" s="73"/>
      <c r="B154" s="73"/>
      <c r="C154" s="73"/>
      <c r="D154" s="73"/>
      <c r="E154" s="73"/>
      <c r="F154" s="73"/>
      <c r="G154" s="73"/>
      <c r="H154" s="73"/>
      <c r="I154" s="73"/>
      <c r="J154" s="73"/>
      <c r="K154" s="73"/>
    </row>
    <row r="155" spans="1:11" ht="6" customHeight="1" x14ac:dyDescent="0.25">
      <c r="A155" s="73"/>
      <c r="B155" s="73"/>
      <c r="C155" s="73"/>
      <c r="D155" s="73"/>
      <c r="E155" s="73"/>
      <c r="F155" s="73"/>
      <c r="G155" s="73"/>
      <c r="H155" s="73"/>
      <c r="I155" s="73"/>
      <c r="J155" s="73"/>
      <c r="K155" s="73"/>
    </row>
    <row r="156" spans="1:11" ht="6" customHeight="1" x14ac:dyDescent="0.25">
      <c r="A156" s="73"/>
      <c r="B156" s="73"/>
      <c r="C156" s="73"/>
      <c r="D156" s="73"/>
      <c r="E156" s="73"/>
      <c r="F156" s="73"/>
      <c r="G156" s="73"/>
      <c r="H156" s="73"/>
      <c r="I156" s="73"/>
      <c r="J156" s="73"/>
      <c r="K156" s="73"/>
    </row>
    <row r="157" spans="1:11" ht="6" customHeight="1" x14ac:dyDescent="0.25">
      <c r="A157" s="73"/>
      <c r="B157" s="73"/>
      <c r="C157" s="73"/>
      <c r="D157" s="73"/>
      <c r="E157" s="73"/>
      <c r="F157" s="73"/>
      <c r="G157" s="73"/>
      <c r="H157" s="73"/>
      <c r="I157" s="73"/>
      <c r="J157" s="73"/>
      <c r="K157" s="73"/>
    </row>
    <row r="158" spans="1:11" ht="6" customHeight="1" x14ac:dyDescent="0.25">
      <c r="A158" s="73"/>
      <c r="B158" s="73"/>
      <c r="C158" s="73"/>
      <c r="D158" s="73"/>
      <c r="E158" s="73"/>
      <c r="F158" s="73"/>
      <c r="G158" s="73"/>
      <c r="H158" s="73"/>
      <c r="I158" s="73"/>
      <c r="J158" s="73"/>
      <c r="K158" s="73"/>
    </row>
    <row r="159" spans="1:11" ht="6" customHeight="1" x14ac:dyDescent="0.25">
      <c r="A159" s="73"/>
      <c r="B159" s="73"/>
      <c r="C159" s="73"/>
      <c r="D159" s="73"/>
      <c r="E159" s="73"/>
      <c r="F159" s="73"/>
      <c r="G159" s="73"/>
      <c r="H159" s="73"/>
      <c r="I159" s="73"/>
      <c r="J159" s="73"/>
      <c r="K159" s="73"/>
    </row>
    <row r="160" spans="1:11" ht="3.75" customHeight="1" x14ac:dyDescent="0.25"/>
    <row r="161" ht="15.75" customHeight="1" x14ac:dyDescent="0.25"/>
    <row r="162" ht="30" customHeight="1" x14ac:dyDescent="0.25"/>
    <row r="163" ht="30" customHeight="1" x14ac:dyDescent="0.25"/>
    <row r="164" ht="30" customHeight="1" x14ac:dyDescent="0.25"/>
  </sheetData>
  <autoFilter ref="A52:J64" xr:uid="{00000000-0009-0000-0000-000006000000}">
    <sortState xmlns:xlrd2="http://schemas.microsoft.com/office/spreadsheetml/2017/richdata2" ref="A53:J64">
      <sortCondition ref="A53:A64"/>
    </sortState>
  </autoFilter>
  <mergeCells count="9">
    <mergeCell ref="A1:K1"/>
    <mergeCell ref="A75:K75"/>
    <mergeCell ref="A34:K34"/>
    <mergeCell ref="A12:K12"/>
    <mergeCell ref="A4:K4"/>
    <mergeCell ref="A92:K92"/>
    <mergeCell ref="A23:K23"/>
    <mergeCell ref="A65:K65"/>
    <mergeCell ref="A81:K8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99"/>
  <sheetViews>
    <sheetView showGridLines="0" topLeftCell="C1" zoomScaleNormal="100" workbookViewId="0">
      <pane ySplit="3" topLeftCell="A4" activePane="bottomLeft" state="frozen"/>
      <selection pane="bottomLeft" activeCell="F13" sqref="F13"/>
    </sheetView>
  </sheetViews>
  <sheetFormatPr defaultColWidth="8.7109375" defaultRowHeight="15" x14ac:dyDescent="0.25"/>
  <cols>
    <col min="1" max="1" width="5" customWidth="1"/>
    <col min="2" max="2" width="8" customWidth="1"/>
    <col min="3" max="3" width="38.140625" customWidth="1"/>
    <col min="4" max="4" width="38" customWidth="1"/>
    <col min="5" max="5" width="10" customWidth="1"/>
    <col min="6" max="7" width="14" customWidth="1"/>
    <col min="8" max="8" width="36" customWidth="1"/>
    <col min="9" max="9" width="36" style="1" customWidth="1"/>
  </cols>
  <sheetData>
    <row r="1" spans="1:12" ht="30" customHeight="1" x14ac:dyDescent="0.25">
      <c r="A1" s="345" t="s">
        <v>581</v>
      </c>
      <c r="B1" s="339"/>
      <c r="C1" s="339"/>
      <c r="D1" s="339"/>
      <c r="E1" s="339"/>
      <c r="F1" s="339"/>
      <c r="G1" s="339"/>
      <c r="H1" s="339"/>
    </row>
    <row r="2" spans="1:12" ht="15.75" customHeight="1" x14ac:dyDescent="0.25">
      <c r="A2" s="344" t="s">
        <v>582</v>
      </c>
      <c r="B2" s="339"/>
      <c r="C2" s="339"/>
      <c r="D2" s="339"/>
      <c r="E2" s="339"/>
      <c r="F2" s="339"/>
      <c r="G2" s="339"/>
      <c r="H2" s="339"/>
    </row>
    <row r="3" spans="1:12" ht="19.5" customHeight="1" x14ac:dyDescent="0.25">
      <c r="A3" s="69" t="s">
        <v>583</v>
      </c>
      <c r="B3" s="69" t="s">
        <v>385</v>
      </c>
      <c r="C3" s="69" t="s">
        <v>157</v>
      </c>
      <c r="D3" s="69" t="s">
        <v>584</v>
      </c>
      <c r="E3" s="69" t="s">
        <v>585</v>
      </c>
      <c r="F3" s="69" t="s">
        <v>586</v>
      </c>
      <c r="G3" s="69" t="s">
        <v>263</v>
      </c>
      <c r="H3" s="69" t="s">
        <v>587</v>
      </c>
      <c r="I3" s="69" t="s">
        <v>588</v>
      </c>
    </row>
    <row r="4" spans="1:12" ht="15" customHeight="1" x14ac:dyDescent="0.25">
      <c r="A4" s="271">
        <v>1</v>
      </c>
      <c r="B4" s="271">
        <v>6206</v>
      </c>
      <c r="C4" s="272" t="s">
        <v>173</v>
      </c>
      <c r="D4" s="272" t="s">
        <v>174</v>
      </c>
      <c r="E4" s="271" t="s">
        <v>589</v>
      </c>
      <c r="F4" s="273">
        <v>21000</v>
      </c>
      <c r="G4" s="271" t="s">
        <v>590</v>
      </c>
      <c r="H4" s="274" t="s">
        <v>591</v>
      </c>
      <c r="I4" s="275"/>
      <c r="J4" s="276"/>
      <c r="K4" s="276"/>
      <c r="L4" s="276"/>
    </row>
    <row r="5" spans="1:12" ht="15" customHeight="1" x14ac:dyDescent="0.25">
      <c r="A5" s="271">
        <v>2</v>
      </c>
      <c r="B5" s="271">
        <v>4050</v>
      </c>
      <c r="C5" s="272" t="s">
        <v>223</v>
      </c>
      <c r="D5" s="272" t="s">
        <v>224</v>
      </c>
      <c r="E5" s="271" t="s">
        <v>589</v>
      </c>
      <c r="F5" s="273">
        <v>9450</v>
      </c>
      <c r="G5" s="271" t="s">
        <v>590</v>
      </c>
      <c r="H5" s="274" t="s">
        <v>591</v>
      </c>
      <c r="I5" s="275"/>
      <c r="J5" s="276"/>
      <c r="K5" s="276"/>
      <c r="L5" s="276"/>
    </row>
    <row r="6" spans="1:12" ht="15" customHeight="1" x14ac:dyDescent="0.25">
      <c r="A6" s="271">
        <v>3</v>
      </c>
      <c r="B6" s="271">
        <v>6337</v>
      </c>
      <c r="C6" s="272" t="s">
        <v>226</v>
      </c>
      <c r="D6" s="272" t="s">
        <v>228</v>
      </c>
      <c r="E6" s="271" t="s">
        <v>589</v>
      </c>
      <c r="F6" s="273">
        <v>15680</v>
      </c>
      <c r="G6" s="271" t="s">
        <v>590</v>
      </c>
      <c r="H6" s="274" t="s">
        <v>591</v>
      </c>
      <c r="I6" s="275"/>
      <c r="J6" s="276"/>
      <c r="K6" s="276"/>
      <c r="L6" s="276"/>
    </row>
    <row r="7" spans="1:12" ht="15" customHeight="1" x14ac:dyDescent="0.25">
      <c r="A7" s="271">
        <v>4</v>
      </c>
      <c r="B7" s="271">
        <v>6416</v>
      </c>
      <c r="C7" s="272" t="s">
        <v>226</v>
      </c>
      <c r="D7" s="272" t="s">
        <v>227</v>
      </c>
      <c r="E7" s="271" t="s">
        <v>589</v>
      </c>
      <c r="F7" s="273">
        <v>15435</v>
      </c>
      <c r="G7" s="271" t="s">
        <v>590</v>
      </c>
      <c r="H7" s="274" t="s">
        <v>591</v>
      </c>
      <c r="I7" s="275"/>
      <c r="J7" s="276"/>
      <c r="K7" s="276"/>
      <c r="L7" s="276"/>
    </row>
    <row r="8" spans="1:12" ht="15" customHeight="1" x14ac:dyDescent="0.25">
      <c r="A8" s="271">
        <v>5</v>
      </c>
      <c r="B8" s="271">
        <v>5782</v>
      </c>
      <c r="C8" s="272" t="s">
        <v>233</v>
      </c>
      <c r="D8" s="272" t="s">
        <v>234</v>
      </c>
      <c r="E8" s="271" t="s">
        <v>592</v>
      </c>
      <c r="F8" s="273">
        <v>74464</v>
      </c>
      <c r="G8" s="271" t="s">
        <v>590</v>
      </c>
      <c r="H8" s="274" t="s">
        <v>591</v>
      </c>
      <c r="I8" s="275"/>
      <c r="J8" s="276"/>
      <c r="K8" s="276"/>
      <c r="L8" s="276"/>
    </row>
    <row r="9" spans="1:12" ht="15" customHeight="1" x14ac:dyDescent="0.25">
      <c r="A9" s="271">
        <v>6</v>
      </c>
      <c r="B9" s="271">
        <v>6531</v>
      </c>
      <c r="C9" s="272" t="s">
        <v>235</v>
      </c>
      <c r="D9" s="272" t="s">
        <v>237</v>
      </c>
      <c r="E9" s="271" t="s">
        <v>593</v>
      </c>
      <c r="F9" s="273">
        <v>4320</v>
      </c>
      <c r="G9" s="271" t="s">
        <v>590</v>
      </c>
      <c r="H9" s="274" t="s">
        <v>591</v>
      </c>
      <c r="I9" s="275"/>
      <c r="J9" s="276"/>
      <c r="K9" s="276"/>
      <c r="L9" s="276"/>
    </row>
    <row r="10" spans="1:12" ht="15" customHeight="1" x14ac:dyDescent="0.25">
      <c r="A10" s="271">
        <v>7</v>
      </c>
      <c r="B10" s="271">
        <v>6530</v>
      </c>
      <c r="C10" s="272" t="s">
        <v>235</v>
      </c>
      <c r="D10" s="272" t="s">
        <v>236</v>
      </c>
      <c r="E10" s="271" t="s">
        <v>593</v>
      </c>
      <c r="F10" s="273">
        <v>4500</v>
      </c>
      <c r="G10" s="271" t="s">
        <v>590</v>
      </c>
      <c r="H10" s="274" t="s">
        <v>591</v>
      </c>
      <c r="I10" s="275"/>
      <c r="J10" s="276"/>
      <c r="K10" s="276"/>
      <c r="L10" s="276"/>
    </row>
    <row r="11" spans="1:12" ht="15" customHeight="1" x14ac:dyDescent="0.25">
      <c r="A11" s="271">
        <v>8</v>
      </c>
      <c r="B11" s="271">
        <v>3726</v>
      </c>
      <c r="C11" s="272" t="s">
        <v>168</v>
      </c>
      <c r="D11" s="272" t="s">
        <v>211</v>
      </c>
      <c r="E11" s="271" t="s">
        <v>594</v>
      </c>
      <c r="F11" s="273">
        <v>23520</v>
      </c>
      <c r="G11" s="271" t="s">
        <v>590</v>
      </c>
      <c r="H11" s="274" t="s">
        <v>595</v>
      </c>
      <c r="I11" s="275"/>
      <c r="J11" s="276"/>
      <c r="K11" s="276"/>
      <c r="L11" s="276"/>
    </row>
    <row r="12" spans="1:12" ht="15" customHeight="1" x14ac:dyDescent="0.25">
      <c r="A12" s="277">
        <v>9</v>
      </c>
      <c r="B12" s="277">
        <v>8001</v>
      </c>
      <c r="C12" s="278" t="s">
        <v>187</v>
      </c>
      <c r="D12" s="278" t="s">
        <v>317</v>
      </c>
      <c r="E12" s="277" t="s">
        <v>596</v>
      </c>
      <c r="F12" s="279">
        <v>15295</v>
      </c>
      <c r="G12" s="277" t="s">
        <v>597</v>
      </c>
      <c r="H12" s="280" t="s">
        <v>598</v>
      </c>
      <c r="I12" s="275"/>
      <c r="J12" s="276"/>
      <c r="K12" s="276"/>
      <c r="L12" s="276"/>
    </row>
    <row r="13" spans="1:12" ht="15" customHeight="1" x14ac:dyDescent="0.25">
      <c r="A13" s="277">
        <v>10</v>
      </c>
      <c r="B13" s="277">
        <v>3726</v>
      </c>
      <c r="C13" s="278" t="s">
        <v>168</v>
      </c>
      <c r="D13" s="278" t="s">
        <v>211</v>
      </c>
      <c r="E13" s="277" t="s">
        <v>594</v>
      </c>
      <c r="F13" s="279">
        <v>43008</v>
      </c>
      <c r="G13" s="277" t="s">
        <v>599</v>
      </c>
      <c r="H13" s="280" t="s">
        <v>600</v>
      </c>
      <c r="I13" s="275"/>
      <c r="J13" s="276"/>
      <c r="K13" s="276"/>
      <c r="L13" s="276"/>
    </row>
    <row r="14" spans="1:12" ht="15" customHeight="1" x14ac:dyDescent="0.25">
      <c r="A14" s="277">
        <v>11</v>
      </c>
      <c r="B14" s="277">
        <v>6206</v>
      </c>
      <c r="C14" s="278" t="s">
        <v>173</v>
      </c>
      <c r="D14" s="278" t="s">
        <v>174</v>
      </c>
      <c r="E14" s="277" t="s">
        <v>589</v>
      </c>
      <c r="F14" s="279">
        <v>32868</v>
      </c>
      <c r="G14" s="277" t="s">
        <v>599</v>
      </c>
      <c r="H14" s="280" t="s">
        <v>598</v>
      </c>
      <c r="I14" s="275"/>
      <c r="J14" s="276"/>
      <c r="K14" s="276"/>
      <c r="L14" s="276"/>
    </row>
    <row r="15" spans="1:12" ht="15" customHeight="1" x14ac:dyDescent="0.25">
      <c r="A15" s="277">
        <v>12</v>
      </c>
      <c r="B15" s="277">
        <v>6530</v>
      </c>
      <c r="C15" s="278" t="s">
        <v>235</v>
      </c>
      <c r="D15" s="278" t="s">
        <v>236</v>
      </c>
      <c r="E15" s="277" t="s">
        <v>593</v>
      </c>
      <c r="F15" s="279">
        <v>11340</v>
      </c>
      <c r="G15" s="277" t="s">
        <v>599</v>
      </c>
      <c r="H15" s="280" t="s">
        <v>601</v>
      </c>
      <c r="I15" s="275"/>
      <c r="J15" s="276"/>
      <c r="K15" s="276"/>
      <c r="L15" s="276"/>
    </row>
    <row r="16" spans="1:12" ht="15" customHeight="1" x14ac:dyDescent="0.25">
      <c r="A16" s="271">
        <v>13</v>
      </c>
      <c r="B16" s="271">
        <v>5699</v>
      </c>
      <c r="C16" s="272" t="s">
        <v>168</v>
      </c>
      <c r="D16" s="272" t="s">
        <v>203</v>
      </c>
      <c r="E16" s="271" t="s">
        <v>602</v>
      </c>
      <c r="F16" s="273">
        <v>14790</v>
      </c>
      <c r="G16" s="271" t="s">
        <v>590</v>
      </c>
      <c r="H16" s="274" t="s">
        <v>603</v>
      </c>
      <c r="I16" s="275"/>
      <c r="J16" s="276"/>
      <c r="K16" s="276"/>
      <c r="L16" s="276"/>
    </row>
    <row r="17" spans="1:12" ht="15" customHeight="1" x14ac:dyDescent="0.25">
      <c r="A17" s="271">
        <v>14</v>
      </c>
      <c r="B17" s="271">
        <v>5731</v>
      </c>
      <c r="C17" s="272" t="s">
        <v>168</v>
      </c>
      <c r="D17" s="272" t="s">
        <v>205</v>
      </c>
      <c r="E17" s="271" t="s">
        <v>602</v>
      </c>
      <c r="F17" s="273">
        <v>13770</v>
      </c>
      <c r="G17" s="271" t="s">
        <v>590</v>
      </c>
      <c r="H17" s="274" t="s">
        <v>603</v>
      </c>
      <c r="I17" s="275"/>
      <c r="J17" s="276"/>
      <c r="K17" s="276"/>
      <c r="L17" s="276"/>
    </row>
    <row r="18" spans="1:12" ht="15" customHeight="1" x14ac:dyDescent="0.25">
      <c r="A18" s="277">
        <v>15</v>
      </c>
      <c r="B18" s="277">
        <v>6624</v>
      </c>
      <c r="C18" s="278" t="s">
        <v>168</v>
      </c>
      <c r="D18" s="278" t="s">
        <v>199</v>
      </c>
      <c r="E18" s="277" t="s">
        <v>604</v>
      </c>
      <c r="F18" s="279">
        <v>15876</v>
      </c>
      <c r="G18" s="277" t="s">
        <v>599</v>
      </c>
      <c r="H18" s="280" t="s">
        <v>603</v>
      </c>
      <c r="I18" s="275"/>
      <c r="J18" s="276"/>
      <c r="K18" s="276"/>
      <c r="L18" s="276"/>
    </row>
    <row r="19" spans="1:12" ht="15" customHeight="1" x14ac:dyDescent="0.25">
      <c r="A19" s="277">
        <v>16</v>
      </c>
      <c r="B19" s="277">
        <v>5731</v>
      </c>
      <c r="C19" s="278" t="s">
        <v>168</v>
      </c>
      <c r="D19" s="278" t="s">
        <v>205</v>
      </c>
      <c r="E19" s="277" t="s">
        <v>602</v>
      </c>
      <c r="F19" s="279">
        <v>33660</v>
      </c>
      <c r="G19" s="277" t="s">
        <v>599</v>
      </c>
      <c r="H19" s="280" t="s">
        <v>603</v>
      </c>
      <c r="I19" s="275"/>
      <c r="J19" s="276"/>
      <c r="K19" s="276"/>
      <c r="L19" s="276"/>
    </row>
    <row r="20" spans="1:12" ht="15" customHeight="1" x14ac:dyDescent="0.25">
      <c r="A20" s="281"/>
      <c r="B20" s="281"/>
      <c r="C20" s="282"/>
      <c r="D20" s="282"/>
      <c r="E20" s="281"/>
      <c r="F20" s="283"/>
      <c r="G20" s="281"/>
      <c r="H20" s="284"/>
      <c r="I20" s="275"/>
      <c r="J20" s="276"/>
      <c r="K20" s="276"/>
      <c r="L20" s="276"/>
    </row>
    <row r="21" spans="1:12" ht="15" customHeight="1" x14ac:dyDescent="0.25">
      <c r="A21" s="281"/>
      <c r="B21" s="281"/>
      <c r="C21" s="282"/>
      <c r="D21" s="282"/>
      <c r="E21" s="281"/>
      <c r="F21" s="283"/>
      <c r="G21" s="281"/>
      <c r="H21" s="284"/>
      <c r="I21" s="275"/>
      <c r="J21" s="276"/>
      <c r="K21" s="276"/>
      <c r="L21" s="276"/>
    </row>
    <row r="22" spans="1:12" ht="15" customHeight="1" x14ac:dyDescent="0.25">
      <c r="A22" s="281"/>
      <c r="B22" s="281"/>
      <c r="C22" s="282"/>
      <c r="D22" s="282"/>
      <c r="E22" s="281"/>
      <c r="F22" s="283"/>
      <c r="G22" s="281"/>
      <c r="H22" s="284"/>
      <c r="I22" s="275"/>
      <c r="J22" s="276"/>
      <c r="K22" s="276"/>
      <c r="L22" s="276"/>
    </row>
    <row r="23" spans="1:12" ht="15" customHeight="1" x14ac:dyDescent="0.25">
      <c r="A23" s="281"/>
      <c r="B23" s="281"/>
      <c r="C23" s="282"/>
      <c r="D23" s="282"/>
      <c r="E23" s="281"/>
      <c r="F23" s="283"/>
      <c r="G23" s="281"/>
      <c r="H23" s="284"/>
      <c r="I23" s="275"/>
      <c r="J23" s="276"/>
      <c r="K23" s="276"/>
      <c r="L23" s="276"/>
    </row>
    <row r="24" spans="1:12" ht="15" customHeight="1" x14ac:dyDescent="0.25">
      <c r="A24" s="281"/>
      <c r="B24" s="281"/>
      <c r="C24" s="282"/>
      <c r="D24" s="282"/>
      <c r="E24" s="281"/>
      <c r="F24" s="283"/>
      <c r="G24" s="281"/>
      <c r="H24" s="284"/>
      <c r="I24" s="275"/>
      <c r="J24" s="276"/>
      <c r="K24" s="276"/>
      <c r="L24" s="276"/>
    </row>
    <row r="25" spans="1:12" ht="15" customHeight="1" x14ac:dyDescent="0.25">
      <c r="A25" s="281"/>
      <c r="B25" s="281"/>
      <c r="C25" s="282"/>
      <c r="D25" s="282"/>
      <c r="E25" s="281"/>
      <c r="F25" s="283"/>
      <c r="G25" s="281"/>
      <c r="H25" s="284"/>
      <c r="I25" s="275"/>
      <c r="J25" s="276"/>
      <c r="K25" s="276"/>
      <c r="L25" s="276"/>
    </row>
    <row r="26" spans="1:12" ht="15" customHeight="1" x14ac:dyDescent="0.25">
      <c r="A26" s="281"/>
      <c r="B26" s="281"/>
      <c r="C26" s="282"/>
      <c r="D26" s="282"/>
      <c r="E26" s="281"/>
      <c r="F26" s="283"/>
      <c r="G26" s="281"/>
      <c r="H26" s="284"/>
      <c r="I26" s="275"/>
      <c r="J26" s="276"/>
      <c r="K26" s="276"/>
      <c r="L26" s="276"/>
    </row>
    <row r="27" spans="1:12" ht="15" customHeight="1" x14ac:dyDescent="0.25">
      <c r="A27" s="281"/>
      <c r="B27" s="281"/>
      <c r="C27" s="282"/>
      <c r="D27" s="282"/>
      <c r="E27" s="281"/>
      <c r="F27" s="283"/>
      <c r="G27" s="281"/>
      <c r="H27" s="284"/>
      <c r="I27" s="275"/>
      <c r="J27" s="276"/>
      <c r="K27" s="276"/>
      <c r="L27" s="276"/>
    </row>
    <row r="28" spans="1:12" ht="15" customHeight="1" x14ac:dyDescent="0.25">
      <c r="A28" s="276"/>
      <c r="B28" s="276"/>
      <c r="C28" s="276"/>
      <c r="D28" s="276"/>
      <c r="E28" s="276"/>
      <c r="F28" s="276"/>
      <c r="G28" s="276"/>
      <c r="H28" s="276"/>
      <c r="I28" s="285"/>
      <c r="J28" s="276"/>
      <c r="K28" s="276"/>
      <c r="L28" s="276"/>
    </row>
    <row r="29" spans="1:12" ht="15" customHeight="1" x14ac:dyDescent="0.25">
      <c r="A29" s="276"/>
      <c r="B29" s="276"/>
      <c r="C29" s="276"/>
      <c r="D29" s="276"/>
      <c r="E29" s="276"/>
      <c r="F29" s="276"/>
      <c r="G29" s="276"/>
      <c r="H29" s="276"/>
      <c r="I29" s="285"/>
      <c r="J29" s="276"/>
      <c r="K29" s="276"/>
      <c r="L29" s="276"/>
    </row>
    <row r="30" spans="1:12" ht="15" customHeight="1" x14ac:dyDescent="0.25">
      <c r="A30" s="276"/>
      <c r="B30" s="276"/>
      <c r="C30" s="276"/>
      <c r="D30" s="276"/>
      <c r="E30" s="276"/>
      <c r="F30" s="276"/>
      <c r="G30" s="276"/>
      <c r="H30" s="276"/>
      <c r="I30" s="285"/>
      <c r="J30" s="276"/>
      <c r="K30" s="276"/>
      <c r="L30" s="276"/>
    </row>
    <row r="31" spans="1:12" ht="15" customHeight="1" x14ac:dyDescent="0.25">
      <c r="A31" s="276"/>
      <c r="B31" s="276"/>
      <c r="C31" s="276"/>
      <c r="D31" s="276"/>
      <c r="E31" s="276"/>
      <c r="F31" s="276"/>
      <c r="G31" s="276"/>
      <c r="H31" s="276"/>
      <c r="I31" s="285"/>
      <c r="J31" s="276"/>
      <c r="K31" s="276"/>
      <c r="L31" s="276"/>
    </row>
    <row r="32" spans="1:12" ht="15" customHeight="1" x14ac:dyDescent="0.25">
      <c r="A32" s="276"/>
      <c r="B32" s="276"/>
      <c r="C32" s="276"/>
      <c r="D32" s="276"/>
      <c r="E32" s="276"/>
      <c r="F32" s="276"/>
      <c r="G32" s="276"/>
      <c r="H32" s="276"/>
      <c r="I32" s="285"/>
      <c r="J32" s="276"/>
      <c r="K32" s="276"/>
      <c r="L32" s="276"/>
    </row>
    <row r="33" spans="1:12" ht="15" customHeight="1" x14ac:dyDescent="0.25">
      <c r="A33" s="276"/>
      <c r="B33" s="276"/>
      <c r="C33" s="276"/>
      <c r="D33" s="276"/>
      <c r="E33" s="276"/>
      <c r="F33" s="276"/>
      <c r="G33" s="276"/>
      <c r="H33" s="276"/>
      <c r="I33" s="285"/>
      <c r="J33" s="276"/>
      <c r="K33" s="276"/>
      <c r="L33" s="276"/>
    </row>
    <row r="34" spans="1:12" ht="15" customHeight="1" x14ac:dyDescent="0.25">
      <c r="A34" s="276"/>
      <c r="B34" s="276"/>
      <c r="C34" s="276"/>
      <c r="D34" s="276"/>
      <c r="E34" s="276"/>
      <c r="F34" s="276"/>
      <c r="G34" s="276"/>
      <c r="H34" s="276"/>
      <c r="I34" s="285"/>
      <c r="J34" s="276"/>
      <c r="K34" s="276"/>
      <c r="L34" s="276"/>
    </row>
    <row r="35" spans="1:12" ht="15" customHeight="1" x14ac:dyDescent="0.25">
      <c r="A35" s="276"/>
      <c r="B35" s="276"/>
      <c r="C35" s="276"/>
      <c r="D35" s="276"/>
      <c r="E35" s="276"/>
      <c r="F35" s="276"/>
      <c r="G35" s="276"/>
      <c r="H35" s="276"/>
      <c r="I35" s="285"/>
      <c r="J35" s="276"/>
      <c r="K35" s="276"/>
      <c r="L35" s="276"/>
    </row>
    <row r="36" spans="1:12" ht="15" customHeight="1" x14ac:dyDescent="0.25">
      <c r="A36" s="276"/>
      <c r="B36" s="276"/>
      <c r="C36" s="276"/>
      <c r="D36" s="276"/>
      <c r="E36" s="276"/>
      <c r="F36" s="276"/>
      <c r="G36" s="276"/>
      <c r="H36" s="276"/>
      <c r="I36" s="285"/>
      <c r="J36" s="276"/>
      <c r="K36" s="276"/>
      <c r="L36" s="276"/>
    </row>
    <row r="37" spans="1:12" ht="15" customHeight="1" x14ac:dyDescent="0.25">
      <c r="A37" s="276"/>
      <c r="B37" s="276"/>
      <c r="C37" s="276"/>
      <c r="D37" s="276"/>
      <c r="E37" s="276"/>
      <c r="F37" s="276"/>
      <c r="G37" s="276"/>
      <c r="H37" s="276"/>
      <c r="I37" s="285"/>
      <c r="J37" s="276"/>
      <c r="K37" s="276"/>
      <c r="L37" s="276"/>
    </row>
    <row r="38" spans="1:12" ht="15" customHeight="1" x14ac:dyDescent="0.25">
      <c r="A38" s="276"/>
      <c r="B38" s="276"/>
      <c r="C38" s="276"/>
      <c r="D38" s="276"/>
      <c r="E38" s="276"/>
      <c r="F38" s="276"/>
      <c r="G38" s="276"/>
      <c r="H38" s="276"/>
      <c r="I38" s="285"/>
      <c r="J38" s="276"/>
      <c r="K38" s="276"/>
      <c r="L38" s="276"/>
    </row>
    <row r="39" spans="1:12" ht="15" customHeight="1" x14ac:dyDescent="0.25">
      <c r="A39" s="276"/>
      <c r="B39" s="276"/>
      <c r="C39" s="276"/>
      <c r="D39" s="276"/>
      <c r="E39" s="276"/>
      <c r="F39" s="276"/>
      <c r="G39" s="276"/>
      <c r="H39" s="276"/>
      <c r="I39" s="285"/>
      <c r="J39" s="276"/>
      <c r="K39" s="276"/>
      <c r="L39" s="276"/>
    </row>
    <row r="40" spans="1:12" ht="15" customHeight="1" x14ac:dyDescent="0.25">
      <c r="A40" s="276"/>
      <c r="B40" s="276"/>
      <c r="C40" s="276"/>
      <c r="D40" s="276"/>
      <c r="E40" s="276"/>
      <c r="F40" s="276"/>
      <c r="G40" s="276"/>
      <c r="H40" s="276"/>
      <c r="I40" s="285"/>
      <c r="J40" s="276"/>
      <c r="K40" s="276"/>
      <c r="L40" s="276"/>
    </row>
    <row r="41" spans="1:12" ht="15" customHeight="1" x14ac:dyDescent="0.25">
      <c r="A41" s="276"/>
      <c r="B41" s="276"/>
      <c r="C41" s="276"/>
      <c r="D41" s="276"/>
      <c r="E41" s="276"/>
      <c r="F41" s="276"/>
      <c r="G41" s="276"/>
      <c r="H41" s="276"/>
      <c r="I41" s="285"/>
      <c r="J41" s="276"/>
      <c r="K41" s="276"/>
      <c r="L41" s="276"/>
    </row>
    <row r="42" spans="1:12" ht="15" customHeight="1" x14ac:dyDescent="0.25">
      <c r="A42" s="276"/>
      <c r="B42" s="276"/>
      <c r="C42" s="276"/>
      <c r="D42" s="276"/>
      <c r="E42" s="276"/>
      <c r="F42" s="276"/>
      <c r="G42" s="276"/>
      <c r="H42" s="276"/>
      <c r="I42" s="285"/>
      <c r="J42" s="276"/>
      <c r="K42" s="276"/>
      <c r="L42" s="276"/>
    </row>
    <row r="43" spans="1:12" ht="15" customHeight="1" x14ac:dyDescent="0.25">
      <c r="A43" s="276"/>
      <c r="B43" s="276"/>
      <c r="C43" s="276"/>
      <c r="D43" s="276"/>
      <c r="E43" s="276"/>
      <c r="F43" s="276"/>
      <c r="G43" s="276"/>
      <c r="H43" s="276"/>
      <c r="I43" s="285"/>
      <c r="J43" s="276"/>
      <c r="K43" s="276"/>
      <c r="L43" s="276"/>
    </row>
    <row r="44" spans="1:12" ht="15" customHeight="1" x14ac:dyDescent="0.25">
      <c r="A44" s="276"/>
      <c r="B44" s="276"/>
      <c r="C44" s="276"/>
      <c r="D44" s="276"/>
      <c r="E44" s="276"/>
      <c r="F44" s="276"/>
      <c r="G44" s="276"/>
      <c r="H44" s="276"/>
      <c r="I44" s="285"/>
      <c r="J44" s="276"/>
      <c r="K44" s="276"/>
      <c r="L44" s="276"/>
    </row>
    <row r="45" spans="1:12" ht="15" customHeight="1" x14ac:dyDescent="0.25">
      <c r="A45" s="276"/>
      <c r="B45" s="276"/>
      <c r="C45" s="276"/>
      <c r="D45" s="276"/>
      <c r="E45" s="276"/>
      <c r="F45" s="276"/>
      <c r="G45" s="276"/>
      <c r="H45" s="276"/>
      <c r="I45" s="285"/>
      <c r="J45" s="276"/>
      <c r="K45" s="276"/>
      <c r="L45" s="276"/>
    </row>
    <row r="46" spans="1:12" ht="15" customHeight="1" x14ac:dyDescent="0.25">
      <c r="A46" s="276"/>
      <c r="B46" s="276"/>
      <c r="C46" s="276"/>
      <c r="D46" s="276"/>
      <c r="E46" s="276"/>
      <c r="F46" s="276"/>
      <c r="G46" s="276"/>
      <c r="H46" s="276"/>
      <c r="I46" s="285"/>
      <c r="J46" s="276"/>
      <c r="K46" s="276"/>
      <c r="L46" s="276"/>
    </row>
    <row r="47" spans="1:12" ht="15" customHeight="1" x14ac:dyDescent="0.25">
      <c r="A47" s="276"/>
      <c r="B47" s="276"/>
      <c r="C47" s="276"/>
      <c r="D47" s="276"/>
      <c r="E47" s="276"/>
      <c r="F47" s="276"/>
      <c r="G47" s="276"/>
      <c r="H47" s="276"/>
      <c r="I47" s="285"/>
      <c r="J47" s="276"/>
      <c r="K47" s="276"/>
      <c r="L47" s="276"/>
    </row>
    <row r="48" spans="1:12" ht="15" customHeight="1" x14ac:dyDescent="0.25">
      <c r="A48" s="276"/>
      <c r="B48" s="276"/>
      <c r="C48" s="276"/>
      <c r="D48" s="276"/>
      <c r="E48" s="276"/>
      <c r="F48" s="276"/>
      <c r="G48" s="276"/>
      <c r="H48" s="276"/>
      <c r="I48" s="285"/>
      <c r="J48" s="276"/>
      <c r="K48" s="276"/>
      <c r="L48" s="276"/>
    </row>
    <row r="49" spans="1:12" ht="15" customHeight="1" x14ac:dyDescent="0.25">
      <c r="A49" s="276"/>
      <c r="B49" s="276"/>
      <c r="C49" s="276"/>
      <c r="D49" s="276"/>
      <c r="E49" s="276"/>
      <c r="F49" s="276"/>
      <c r="G49" s="276"/>
      <c r="H49" s="276"/>
      <c r="I49" s="285"/>
      <c r="J49" s="276"/>
      <c r="K49" s="276"/>
      <c r="L49" s="276"/>
    </row>
    <row r="50" spans="1:12" ht="15" customHeight="1" x14ac:dyDescent="0.25">
      <c r="A50" s="276"/>
      <c r="B50" s="276"/>
      <c r="C50" s="276"/>
      <c r="D50" s="276"/>
      <c r="E50" s="276"/>
      <c r="F50" s="276"/>
      <c r="G50" s="276"/>
      <c r="H50" s="276"/>
      <c r="I50" s="285"/>
      <c r="J50" s="276"/>
      <c r="K50" s="276"/>
      <c r="L50" s="276"/>
    </row>
    <row r="51" spans="1:12" ht="15" customHeight="1" x14ac:dyDescent="0.25">
      <c r="A51" s="276"/>
      <c r="B51" s="276"/>
      <c r="C51" s="276"/>
      <c r="D51" s="276"/>
      <c r="E51" s="276"/>
      <c r="F51" s="276"/>
      <c r="G51" s="276"/>
      <c r="H51" s="276"/>
      <c r="I51" s="285"/>
      <c r="J51" s="276"/>
      <c r="K51" s="276"/>
      <c r="L51" s="276"/>
    </row>
    <row r="52" spans="1:12" ht="15" customHeight="1" x14ac:dyDescent="0.25">
      <c r="A52" s="276"/>
      <c r="B52" s="276"/>
      <c r="C52" s="276"/>
      <c r="D52" s="276"/>
      <c r="E52" s="276"/>
      <c r="F52" s="276"/>
      <c r="G52" s="276"/>
      <c r="H52" s="276"/>
      <c r="I52" s="285"/>
      <c r="J52" s="276"/>
      <c r="K52" s="276"/>
      <c r="L52" s="276"/>
    </row>
    <row r="53" spans="1:12" ht="15" customHeight="1" x14ac:dyDescent="0.25">
      <c r="A53" s="276"/>
      <c r="B53" s="276"/>
      <c r="C53" s="276"/>
      <c r="D53" s="276"/>
      <c r="E53" s="276"/>
      <c r="F53" s="276"/>
      <c r="G53" s="276"/>
      <c r="H53" s="276"/>
      <c r="I53" s="285"/>
      <c r="J53" s="276"/>
      <c r="K53" s="276"/>
      <c r="L53" s="276"/>
    </row>
    <row r="54" spans="1:12" ht="15" customHeight="1" x14ac:dyDescent="0.25">
      <c r="A54" s="276"/>
      <c r="B54" s="276"/>
      <c r="C54" s="276"/>
      <c r="D54" s="276"/>
      <c r="E54" s="276"/>
      <c r="F54" s="276"/>
      <c r="G54" s="276"/>
      <c r="H54" s="276"/>
      <c r="I54" s="285"/>
      <c r="J54" s="276"/>
      <c r="K54" s="276"/>
      <c r="L54" s="276"/>
    </row>
    <row r="55" spans="1:12" ht="15" customHeight="1" x14ac:dyDescent="0.25">
      <c r="A55" s="276"/>
      <c r="B55" s="276"/>
      <c r="C55" s="276"/>
      <c r="D55" s="276"/>
      <c r="E55" s="276"/>
      <c r="F55" s="276"/>
      <c r="G55" s="276"/>
      <c r="H55" s="276"/>
      <c r="I55" s="285"/>
      <c r="J55" s="276"/>
      <c r="K55" s="276"/>
      <c r="L55" s="276"/>
    </row>
    <row r="56" spans="1:12" ht="15" customHeight="1" x14ac:dyDescent="0.25">
      <c r="A56" s="276"/>
      <c r="B56" s="276"/>
      <c r="C56" s="276"/>
      <c r="D56" s="276"/>
      <c r="E56" s="276"/>
      <c r="F56" s="276"/>
      <c r="G56" s="276"/>
      <c r="H56" s="276"/>
      <c r="I56" s="285"/>
      <c r="J56" s="276"/>
      <c r="K56" s="276"/>
      <c r="L56" s="276"/>
    </row>
    <row r="57" spans="1:12" ht="15" customHeight="1" x14ac:dyDescent="0.25">
      <c r="A57" s="276"/>
      <c r="B57" s="276"/>
      <c r="C57" s="276"/>
      <c r="D57" s="276"/>
      <c r="E57" s="276"/>
      <c r="F57" s="276"/>
      <c r="G57" s="276"/>
      <c r="H57" s="276"/>
      <c r="I57" s="285"/>
      <c r="J57" s="276"/>
      <c r="K57" s="276"/>
      <c r="L57" s="276"/>
    </row>
    <row r="58" spans="1:12" ht="15" customHeight="1" x14ac:dyDescent="0.25">
      <c r="A58" s="276"/>
      <c r="B58" s="276"/>
      <c r="C58" s="276"/>
      <c r="D58" s="276"/>
      <c r="E58" s="276"/>
      <c r="F58" s="276"/>
      <c r="G58" s="276"/>
      <c r="H58" s="276"/>
      <c r="I58" s="285"/>
      <c r="J58" s="276"/>
      <c r="K58" s="276"/>
      <c r="L58" s="276"/>
    </row>
    <row r="59" spans="1:12" ht="15" customHeight="1" x14ac:dyDescent="0.25">
      <c r="A59" s="276"/>
      <c r="B59" s="276"/>
      <c r="C59" s="276"/>
      <c r="D59" s="276"/>
      <c r="E59" s="276"/>
      <c r="F59" s="276"/>
      <c r="G59" s="276"/>
      <c r="H59" s="276"/>
      <c r="I59" s="285"/>
      <c r="J59" s="276"/>
      <c r="K59" s="276"/>
      <c r="L59" s="276"/>
    </row>
    <row r="60" spans="1:12" ht="15" customHeight="1" x14ac:dyDescent="0.25">
      <c r="A60" s="276"/>
      <c r="B60" s="276"/>
      <c r="C60" s="276"/>
      <c r="D60" s="276"/>
      <c r="E60" s="276"/>
      <c r="F60" s="276"/>
      <c r="G60" s="276"/>
      <c r="H60" s="276"/>
      <c r="I60" s="285"/>
      <c r="J60" s="276"/>
      <c r="K60" s="276"/>
      <c r="L60" s="276"/>
    </row>
    <row r="61" spans="1:12" ht="15" customHeight="1" x14ac:dyDescent="0.25">
      <c r="A61" s="276"/>
      <c r="B61" s="276"/>
      <c r="C61" s="276"/>
      <c r="D61" s="276"/>
      <c r="E61" s="276"/>
      <c r="F61" s="276"/>
      <c r="G61" s="276"/>
      <c r="H61" s="276"/>
      <c r="I61" s="285"/>
      <c r="J61" s="276"/>
      <c r="K61" s="276"/>
      <c r="L61" s="276"/>
    </row>
    <row r="62" spans="1:12" ht="15" customHeight="1" x14ac:dyDescent="0.25">
      <c r="A62" s="276"/>
      <c r="B62" s="276"/>
      <c r="C62" s="276"/>
      <c r="D62" s="276"/>
      <c r="E62" s="276"/>
      <c r="F62" s="276"/>
      <c r="G62" s="276"/>
      <c r="H62" s="276"/>
      <c r="I62" s="285"/>
      <c r="J62" s="276"/>
      <c r="K62" s="276"/>
      <c r="L62" s="276"/>
    </row>
    <row r="63" spans="1:12" ht="15" customHeight="1" x14ac:dyDescent="0.25">
      <c r="A63" s="276"/>
      <c r="B63" s="276"/>
      <c r="C63" s="276"/>
      <c r="D63" s="276"/>
      <c r="E63" s="276"/>
      <c r="F63" s="276"/>
      <c r="G63" s="276"/>
      <c r="H63" s="276"/>
      <c r="I63" s="285"/>
      <c r="J63" s="276"/>
      <c r="K63" s="276"/>
      <c r="L63" s="276"/>
    </row>
    <row r="64" spans="1:12" ht="15" customHeight="1" x14ac:dyDescent="0.25">
      <c r="A64" s="276"/>
      <c r="B64" s="276"/>
      <c r="C64" s="276"/>
      <c r="D64" s="276"/>
      <c r="E64" s="276"/>
      <c r="F64" s="276"/>
      <c r="G64" s="276"/>
      <c r="H64" s="276"/>
      <c r="I64" s="285"/>
      <c r="J64" s="276"/>
      <c r="K64" s="276"/>
      <c r="L64" s="276"/>
    </row>
    <row r="65" spans="1:12" ht="15" customHeight="1" x14ac:dyDescent="0.25">
      <c r="A65" s="276"/>
      <c r="B65" s="276"/>
      <c r="C65" s="276"/>
      <c r="D65" s="276"/>
      <c r="E65" s="276"/>
      <c r="F65" s="276"/>
      <c r="G65" s="276"/>
      <c r="H65" s="276"/>
      <c r="I65" s="285"/>
      <c r="J65" s="276"/>
      <c r="K65" s="276"/>
      <c r="L65" s="276"/>
    </row>
    <row r="66" spans="1:12" ht="15" customHeight="1" x14ac:dyDescent="0.25">
      <c r="A66" s="276"/>
      <c r="B66" s="276"/>
      <c r="C66" s="276"/>
      <c r="D66" s="276"/>
      <c r="E66" s="276"/>
      <c r="F66" s="276"/>
      <c r="G66" s="276"/>
      <c r="H66" s="276"/>
      <c r="I66" s="285"/>
      <c r="J66" s="276"/>
      <c r="K66" s="276"/>
      <c r="L66" s="276"/>
    </row>
    <row r="67" spans="1:12" ht="15" customHeight="1" x14ac:dyDescent="0.25">
      <c r="A67" s="276"/>
      <c r="B67" s="276"/>
      <c r="C67" s="276"/>
      <c r="D67" s="276"/>
      <c r="E67" s="276"/>
      <c r="F67" s="276"/>
      <c r="G67" s="276"/>
      <c r="H67" s="276"/>
      <c r="I67" s="285"/>
      <c r="J67" s="276"/>
      <c r="K67" s="276"/>
      <c r="L67" s="276"/>
    </row>
    <row r="68" spans="1:12" ht="15" customHeight="1" x14ac:dyDescent="0.25">
      <c r="A68" s="276"/>
      <c r="B68" s="276"/>
      <c r="C68" s="276"/>
      <c r="D68" s="276"/>
      <c r="E68" s="276"/>
      <c r="F68" s="276"/>
      <c r="G68" s="276"/>
      <c r="H68" s="276"/>
      <c r="I68" s="285"/>
      <c r="J68" s="276"/>
      <c r="K68" s="276"/>
      <c r="L68" s="276"/>
    </row>
    <row r="69" spans="1:12" ht="15" customHeight="1" x14ac:dyDescent="0.25">
      <c r="A69" s="276"/>
      <c r="B69" s="276"/>
      <c r="C69" s="276"/>
      <c r="D69" s="276"/>
      <c r="E69" s="276"/>
      <c r="F69" s="276"/>
      <c r="G69" s="276"/>
      <c r="H69" s="276"/>
      <c r="I69" s="285"/>
      <c r="J69" s="276"/>
      <c r="K69" s="276"/>
      <c r="L69" s="276"/>
    </row>
    <row r="70" spans="1:12" ht="15" customHeight="1" x14ac:dyDescent="0.25">
      <c r="A70" s="276"/>
      <c r="B70" s="276"/>
      <c r="C70" s="276"/>
      <c r="D70" s="276"/>
      <c r="E70" s="276"/>
      <c r="F70" s="276"/>
      <c r="G70" s="276"/>
      <c r="H70" s="276"/>
      <c r="I70" s="285"/>
      <c r="J70" s="276"/>
      <c r="K70" s="276"/>
      <c r="L70" s="276"/>
    </row>
    <row r="71" spans="1:12" ht="15" customHeight="1" x14ac:dyDescent="0.25">
      <c r="A71" s="276"/>
      <c r="B71" s="276"/>
      <c r="C71" s="276"/>
      <c r="D71" s="276"/>
      <c r="E71" s="276"/>
      <c r="F71" s="276"/>
      <c r="G71" s="276"/>
      <c r="H71" s="276"/>
      <c r="I71" s="285"/>
      <c r="J71" s="276"/>
      <c r="K71" s="276"/>
      <c r="L71" s="276"/>
    </row>
    <row r="72" spans="1:12" ht="15" customHeight="1" x14ac:dyDescent="0.25">
      <c r="A72" s="276"/>
      <c r="B72" s="276"/>
      <c r="C72" s="276"/>
      <c r="D72" s="276"/>
      <c r="E72" s="276"/>
      <c r="F72" s="276"/>
      <c r="G72" s="276"/>
      <c r="H72" s="276"/>
      <c r="I72" s="285"/>
      <c r="J72" s="276"/>
      <c r="K72" s="276"/>
      <c r="L72" s="276"/>
    </row>
    <row r="73" spans="1:12" ht="15" customHeight="1" x14ac:dyDescent="0.25">
      <c r="A73" s="276"/>
      <c r="B73" s="276"/>
      <c r="C73" s="276"/>
      <c r="D73" s="276"/>
      <c r="E73" s="276"/>
      <c r="F73" s="276"/>
      <c r="G73" s="276"/>
      <c r="H73" s="276"/>
      <c r="I73" s="285"/>
      <c r="J73" s="276"/>
      <c r="K73" s="276"/>
      <c r="L73" s="276"/>
    </row>
    <row r="74" spans="1:12" ht="15" customHeight="1" x14ac:dyDescent="0.25">
      <c r="A74" s="276"/>
      <c r="B74" s="276"/>
      <c r="C74" s="276"/>
      <c r="D74" s="276"/>
      <c r="E74" s="276"/>
      <c r="F74" s="276"/>
      <c r="G74" s="276"/>
      <c r="H74" s="276"/>
      <c r="I74" s="285"/>
      <c r="J74" s="276"/>
      <c r="K74" s="276"/>
      <c r="L74" s="276"/>
    </row>
    <row r="75" spans="1:12" ht="15" customHeight="1" x14ac:dyDescent="0.25">
      <c r="A75" s="276"/>
      <c r="B75" s="276"/>
      <c r="C75" s="276"/>
      <c r="D75" s="276"/>
      <c r="E75" s="276"/>
      <c r="F75" s="276"/>
      <c r="G75" s="276"/>
      <c r="H75" s="276"/>
      <c r="I75" s="285"/>
      <c r="J75" s="276"/>
      <c r="K75" s="276"/>
      <c r="L75" s="276"/>
    </row>
    <row r="76" spans="1:12" ht="15" customHeight="1" x14ac:dyDescent="0.25">
      <c r="A76" s="276"/>
      <c r="B76" s="276"/>
      <c r="C76" s="276"/>
      <c r="D76" s="276"/>
      <c r="E76" s="276"/>
      <c r="F76" s="276"/>
      <c r="G76" s="276"/>
      <c r="H76" s="276"/>
      <c r="I76" s="285"/>
      <c r="J76" s="276"/>
      <c r="K76" s="276"/>
      <c r="L76" s="276"/>
    </row>
    <row r="77" spans="1:12" ht="15" customHeight="1" x14ac:dyDescent="0.25">
      <c r="A77" s="276"/>
      <c r="B77" s="276"/>
      <c r="C77" s="276"/>
      <c r="D77" s="276"/>
      <c r="E77" s="276"/>
      <c r="F77" s="276"/>
      <c r="G77" s="276"/>
      <c r="H77" s="276"/>
      <c r="I77" s="285"/>
      <c r="J77" s="276"/>
      <c r="K77" s="276"/>
      <c r="L77" s="276"/>
    </row>
    <row r="78" spans="1:12" ht="15" customHeight="1" x14ac:dyDescent="0.25">
      <c r="A78" s="276"/>
      <c r="B78" s="276"/>
      <c r="C78" s="276"/>
      <c r="D78" s="276"/>
      <c r="E78" s="276"/>
      <c r="F78" s="276"/>
      <c r="G78" s="276"/>
      <c r="H78" s="276"/>
      <c r="I78" s="285"/>
      <c r="J78" s="276"/>
      <c r="K78" s="276"/>
      <c r="L78" s="276"/>
    </row>
    <row r="79" spans="1:12" ht="15" customHeight="1" x14ac:dyDescent="0.25">
      <c r="A79" s="276"/>
      <c r="B79" s="276"/>
      <c r="C79" s="276"/>
      <c r="D79" s="276"/>
      <c r="E79" s="276"/>
      <c r="F79" s="276"/>
      <c r="G79" s="276"/>
      <c r="H79" s="276"/>
      <c r="I79" s="285"/>
      <c r="J79" s="276"/>
      <c r="K79" s="276"/>
      <c r="L79" s="276"/>
    </row>
    <row r="80" spans="1:12" ht="15" customHeight="1" x14ac:dyDescent="0.25">
      <c r="A80" s="276"/>
      <c r="B80" s="276"/>
      <c r="C80" s="276"/>
      <c r="D80" s="276"/>
      <c r="E80" s="276"/>
      <c r="F80" s="276"/>
      <c r="G80" s="276"/>
      <c r="H80" s="276"/>
      <c r="I80" s="285"/>
      <c r="J80" s="276"/>
      <c r="K80" s="276"/>
      <c r="L80" s="276"/>
    </row>
    <row r="81" spans="1:12" ht="15" customHeight="1" x14ac:dyDescent="0.25">
      <c r="A81" s="276"/>
      <c r="B81" s="276"/>
      <c r="C81" s="276"/>
      <c r="D81" s="276"/>
      <c r="E81" s="276"/>
      <c r="F81" s="276"/>
      <c r="G81" s="276"/>
      <c r="H81" s="276"/>
      <c r="I81" s="285"/>
      <c r="J81" s="276"/>
      <c r="K81" s="276"/>
      <c r="L81" s="276"/>
    </row>
    <row r="82" spans="1:12" ht="15" customHeight="1" x14ac:dyDescent="0.25">
      <c r="A82" s="276"/>
      <c r="B82" s="276"/>
      <c r="C82" s="276"/>
      <c r="D82" s="276"/>
      <c r="E82" s="276"/>
      <c r="F82" s="276"/>
      <c r="G82" s="276"/>
      <c r="H82" s="276"/>
      <c r="I82" s="285"/>
      <c r="J82" s="276"/>
      <c r="K82" s="276"/>
      <c r="L82" s="276"/>
    </row>
    <row r="83" spans="1:12" ht="15" customHeight="1" x14ac:dyDescent="0.25">
      <c r="A83" s="276"/>
      <c r="B83" s="276"/>
      <c r="C83" s="276"/>
      <c r="D83" s="276"/>
      <c r="E83" s="276"/>
      <c r="F83" s="276"/>
      <c r="G83" s="276"/>
      <c r="H83" s="276"/>
      <c r="I83" s="285"/>
      <c r="J83" s="276"/>
      <c r="K83" s="276"/>
      <c r="L83" s="276"/>
    </row>
    <row r="84" spans="1:12" ht="15" customHeight="1" x14ac:dyDescent="0.25">
      <c r="A84" s="276"/>
      <c r="B84" s="276"/>
      <c r="C84" s="276"/>
      <c r="D84" s="276"/>
      <c r="E84" s="276"/>
      <c r="F84" s="276"/>
      <c r="G84" s="276"/>
      <c r="H84" s="276"/>
      <c r="I84" s="285"/>
      <c r="J84" s="276"/>
      <c r="K84" s="276"/>
      <c r="L84" s="276"/>
    </row>
    <row r="85" spans="1:12" ht="15" customHeight="1" x14ac:dyDescent="0.25">
      <c r="A85" s="276"/>
      <c r="B85" s="276"/>
      <c r="C85" s="276"/>
      <c r="D85" s="276"/>
      <c r="E85" s="276"/>
      <c r="F85" s="276"/>
      <c r="G85" s="276"/>
      <c r="H85" s="276"/>
      <c r="I85" s="285"/>
      <c r="J85" s="276"/>
      <c r="K85" s="276"/>
      <c r="L85" s="276"/>
    </row>
    <row r="86" spans="1:12" ht="15" customHeight="1" x14ac:dyDescent="0.25">
      <c r="A86" s="276"/>
      <c r="B86" s="276"/>
      <c r="C86" s="276"/>
      <c r="D86" s="276"/>
      <c r="E86" s="276"/>
      <c r="F86" s="276"/>
      <c r="G86" s="276"/>
      <c r="H86" s="276"/>
      <c r="I86" s="285"/>
      <c r="J86" s="276"/>
      <c r="K86" s="276"/>
      <c r="L86" s="276"/>
    </row>
    <row r="87" spans="1:12" ht="15" customHeight="1" x14ac:dyDescent="0.25">
      <c r="A87" s="276"/>
      <c r="B87" s="276"/>
      <c r="C87" s="276"/>
      <c r="D87" s="276"/>
      <c r="E87" s="276"/>
      <c r="F87" s="276"/>
      <c r="G87" s="276"/>
      <c r="H87" s="276"/>
      <c r="I87" s="285"/>
      <c r="J87" s="276"/>
      <c r="K87" s="276"/>
      <c r="L87" s="276"/>
    </row>
    <row r="88" spans="1:12" ht="15" customHeight="1" x14ac:dyDescent="0.25">
      <c r="A88" s="276"/>
      <c r="B88" s="276"/>
      <c r="C88" s="276"/>
      <c r="D88" s="276"/>
      <c r="E88" s="276"/>
      <c r="F88" s="276"/>
      <c r="G88" s="276"/>
      <c r="H88" s="276"/>
      <c r="I88" s="285"/>
      <c r="J88" s="276"/>
      <c r="K88" s="276"/>
      <c r="L88" s="276"/>
    </row>
    <row r="89" spans="1:12" ht="15" customHeight="1" x14ac:dyDescent="0.25">
      <c r="A89" s="276"/>
      <c r="B89" s="276"/>
      <c r="C89" s="276"/>
      <c r="D89" s="276"/>
      <c r="E89" s="276"/>
      <c r="F89" s="276"/>
      <c r="G89" s="276"/>
      <c r="H89" s="276"/>
      <c r="I89" s="285"/>
      <c r="J89" s="276"/>
      <c r="K89" s="276"/>
      <c r="L89" s="276"/>
    </row>
    <row r="90" spans="1:12" ht="15" customHeight="1" x14ac:dyDescent="0.25">
      <c r="A90" s="276"/>
      <c r="B90" s="276"/>
      <c r="C90" s="276"/>
      <c r="D90" s="276"/>
      <c r="E90" s="276"/>
      <c r="F90" s="276"/>
      <c r="G90" s="276"/>
      <c r="H90" s="276"/>
      <c r="I90" s="285"/>
      <c r="J90" s="276"/>
      <c r="K90" s="276"/>
      <c r="L90" s="276"/>
    </row>
    <row r="91" spans="1:12" ht="15" customHeight="1" x14ac:dyDescent="0.25">
      <c r="A91" s="276"/>
      <c r="B91" s="276"/>
      <c r="C91" s="276"/>
      <c r="D91" s="276"/>
      <c r="E91" s="276"/>
      <c r="F91" s="276"/>
      <c r="G91" s="276"/>
      <c r="H91" s="276"/>
      <c r="I91" s="285"/>
      <c r="J91" s="276"/>
      <c r="K91" s="276"/>
      <c r="L91" s="276"/>
    </row>
    <row r="92" spans="1:12" ht="15" customHeight="1" x14ac:dyDescent="0.25">
      <c r="A92" s="276"/>
      <c r="B92" s="276"/>
      <c r="C92" s="276"/>
      <c r="D92" s="276"/>
      <c r="E92" s="276"/>
      <c r="F92" s="276"/>
      <c r="G92" s="276"/>
      <c r="H92" s="276"/>
      <c r="I92" s="285"/>
      <c r="J92" s="276"/>
      <c r="K92" s="276"/>
      <c r="L92" s="276"/>
    </row>
    <row r="93" spans="1:12" ht="15" customHeight="1" x14ac:dyDescent="0.25">
      <c r="A93" s="276"/>
      <c r="B93" s="276"/>
      <c r="C93" s="276"/>
      <c r="D93" s="276"/>
      <c r="E93" s="276"/>
      <c r="F93" s="276"/>
      <c r="G93" s="276"/>
      <c r="H93" s="276"/>
      <c r="I93" s="285"/>
      <c r="J93" s="276"/>
      <c r="K93" s="276"/>
      <c r="L93" s="276"/>
    </row>
    <row r="94" spans="1:12" ht="15" customHeight="1" x14ac:dyDescent="0.25">
      <c r="A94" s="276"/>
      <c r="B94" s="276"/>
      <c r="C94" s="276"/>
      <c r="D94" s="276"/>
      <c r="E94" s="276"/>
      <c r="F94" s="276"/>
      <c r="G94" s="276"/>
      <c r="H94" s="276"/>
      <c r="I94" s="285"/>
      <c r="J94" s="276"/>
      <c r="K94" s="276"/>
      <c r="L94" s="276"/>
    </row>
    <row r="95" spans="1:12" ht="15" customHeight="1" x14ac:dyDescent="0.25">
      <c r="A95" s="276"/>
      <c r="B95" s="276"/>
      <c r="C95" s="276"/>
      <c r="D95" s="276"/>
      <c r="E95" s="276"/>
      <c r="F95" s="276"/>
      <c r="G95" s="276"/>
      <c r="H95" s="276"/>
      <c r="I95" s="285"/>
      <c r="J95" s="276"/>
      <c r="K95" s="276"/>
      <c r="L95" s="276"/>
    </row>
    <row r="96" spans="1:12" ht="15" customHeight="1" x14ac:dyDescent="0.25">
      <c r="A96" s="276"/>
      <c r="B96" s="276"/>
      <c r="C96" s="276"/>
      <c r="D96" s="276"/>
      <c r="E96" s="276"/>
      <c r="F96" s="276"/>
      <c r="G96" s="276"/>
      <c r="H96" s="276"/>
      <c r="I96" s="285"/>
      <c r="J96" s="276"/>
      <c r="K96" s="276"/>
      <c r="L96" s="276"/>
    </row>
    <row r="97" spans="1:12" ht="15" customHeight="1" x14ac:dyDescent="0.25">
      <c r="A97" s="276"/>
      <c r="B97" s="276"/>
      <c r="C97" s="276"/>
      <c r="D97" s="276"/>
      <c r="E97" s="276"/>
      <c r="F97" s="276"/>
      <c r="G97" s="276"/>
      <c r="H97" s="276"/>
      <c r="I97" s="285"/>
      <c r="J97" s="276"/>
      <c r="K97" s="276"/>
      <c r="L97" s="276"/>
    </row>
    <row r="98" spans="1:12" ht="15" customHeight="1" x14ac:dyDescent="0.25">
      <c r="A98" s="276"/>
      <c r="B98" s="276"/>
      <c r="C98" s="276"/>
      <c r="D98" s="276"/>
      <c r="E98" s="276"/>
      <c r="F98" s="276"/>
      <c r="G98" s="276"/>
      <c r="H98" s="276"/>
      <c r="I98" s="285"/>
      <c r="J98" s="276"/>
      <c r="K98" s="276"/>
      <c r="L98" s="276"/>
    </row>
    <row r="99" spans="1:12" ht="15" customHeight="1" x14ac:dyDescent="0.25">
      <c r="A99" s="276"/>
      <c r="B99" s="276"/>
      <c r="C99" s="276"/>
      <c r="D99" s="276"/>
      <c r="E99" s="276"/>
      <c r="F99" s="276"/>
      <c r="G99" s="276"/>
      <c r="H99" s="276"/>
      <c r="I99" s="285"/>
      <c r="J99" s="276"/>
      <c r="K99" s="276"/>
      <c r="L99" s="276"/>
    </row>
  </sheetData>
  <mergeCells count="2">
    <mergeCell ref="A2:H2"/>
    <mergeCell ref="A1:H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4"/>
  <sheetViews>
    <sheetView workbookViewId="0"/>
  </sheetViews>
  <sheetFormatPr defaultRowHeight="15" x14ac:dyDescent="0.25"/>
  <cols>
    <col min="1" max="1" width="13" customWidth="1"/>
    <col min="2" max="2" width="22" customWidth="1"/>
    <col min="3" max="3" width="30" customWidth="1"/>
    <col min="4" max="4" width="45" customWidth="1"/>
    <col min="5" max="5" width="80" customWidth="1"/>
    <col min="6" max="7" width="20" customWidth="1"/>
  </cols>
  <sheetData>
    <row r="1" spans="1:7" ht="36" customHeight="1" x14ac:dyDescent="0.25">
      <c r="A1" s="346" t="s">
        <v>605</v>
      </c>
      <c r="B1" s="339"/>
      <c r="C1" s="339"/>
      <c r="D1" s="339"/>
      <c r="E1" s="339"/>
      <c r="F1" s="339"/>
      <c r="G1" s="339"/>
    </row>
    <row r="2" spans="1:7" ht="27.95" customHeight="1" x14ac:dyDescent="0.25">
      <c r="A2" s="220" t="s">
        <v>606</v>
      </c>
      <c r="B2" s="220" t="s">
        <v>607</v>
      </c>
      <c r="C2" s="220" t="s">
        <v>608</v>
      </c>
      <c r="D2" s="220" t="s">
        <v>609</v>
      </c>
      <c r="E2" s="220" t="s">
        <v>610</v>
      </c>
      <c r="F2" s="220" t="s">
        <v>263</v>
      </c>
      <c r="G2" s="220" t="s">
        <v>611</v>
      </c>
    </row>
    <row r="3" spans="1:7" ht="285" customHeight="1" x14ac:dyDescent="0.25">
      <c r="A3" s="221" t="s">
        <v>612</v>
      </c>
      <c r="B3" s="222" t="s">
        <v>613</v>
      </c>
      <c r="C3" s="223" t="s">
        <v>614</v>
      </c>
      <c r="D3" s="224" t="s">
        <v>615</v>
      </c>
      <c r="E3" s="225" t="s">
        <v>616</v>
      </c>
      <c r="F3" s="226" t="s">
        <v>617</v>
      </c>
      <c r="G3" s="227" t="s">
        <v>618</v>
      </c>
    </row>
    <row r="4" spans="1:7" ht="225" customHeight="1" x14ac:dyDescent="0.25">
      <c r="A4" s="228" t="s">
        <v>619</v>
      </c>
      <c r="B4" s="229" t="s">
        <v>613</v>
      </c>
      <c r="C4" s="230" t="s">
        <v>620</v>
      </c>
      <c r="D4" s="231" t="s">
        <v>621</v>
      </c>
      <c r="E4" s="232" t="s">
        <v>622</v>
      </c>
      <c r="F4" s="226" t="s">
        <v>617</v>
      </c>
      <c r="G4" s="227" t="s">
        <v>618</v>
      </c>
    </row>
    <row r="5" spans="1:7" ht="255" customHeight="1" x14ac:dyDescent="0.25">
      <c r="A5" s="221" t="s">
        <v>623</v>
      </c>
      <c r="B5" s="222" t="s">
        <v>613</v>
      </c>
      <c r="C5" s="223" t="s">
        <v>624</v>
      </c>
      <c r="D5" s="224" t="s">
        <v>625</v>
      </c>
      <c r="E5" s="225" t="s">
        <v>626</v>
      </c>
      <c r="F5" s="226" t="s">
        <v>617</v>
      </c>
      <c r="G5" s="227" t="s">
        <v>627</v>
      </c>
    </row>
    <row r="6" spans="1:7" ht="255" customHeight="1" x14ac:dyDescent="0.25">
      <c r="A6" s="228" t="s">
        <v>628</v>
      </c>
      <c r="B6" s="229" t="s">
        <v>613</v>
      </c>
      <c r="C6" s="230" t="s">
        <v>629</v>
      </c>
      <c r="D6" s="231" t="s">
        <v>630</v>
      </c>
      <c r="E6" s="232" t="s">
        <v>631</v>
      </c>
      <c r="F6" s="226" t="s">
        <v>617</v>
      </c>
      <c r="G6" s="233" t="s">
        <v>632</v>
      </c>
    </row>
    <row r="7" spans="1:7" ht="255" customHeight="1" x14ac:dyDescent="0.25">
      <c r="A7" s="221" t="s">
        <v>633</v>
      </c>
      <c r="B7" s="222" t="s">
        <v>613</v>
      </c>
      <c r="C7" s="223" t="s">
        <v>634</v>
      </c>
      <c r="D7" s="224" t="s">
        <v>635</v>
      </c>
      <c r="E7" s="225" t="s">
        <v>636</v>
      </c>
      <c r="F7" s="226" t="s">
        <v>617</v>
      </c>
      <c r="G7" s="233" t="s">
        <v>637</v>
      </c>
    </row>
    <row r="8" spans="1:7" ht="240" customHeight="1" x14ac:dyDescent="0.25">
      <c r="A8" s="228" t="s">
        <v>638</v>
      </c>
      <c r="B8" s="229" t="s">
        <v>639</v>
      </c>
      <c r="C8" s="230" t="s">
        <v>640</v>
      </c>
      <c r="D8" s="231" t="s">
        <v>641</v>
      </c>
      <c r="E8" s="232" t="s">
        <v>642</v>
      </c>
      <c r="F8" s="226" t="s">
        <v>617</v>
      </c>
      <c r="G8" s="227" t="s">
        <v>643</v>
      </c>
    </row>
    <row r="9" spans="1:7" ht="270" customHeight="1" x14ac:dyDescent="0.25">
      <c r="A9" s="221" t="s">
        <v>644</v>
      </c>
      <c r="B9" s="222" t="s">
        <v>639</v>
      </c>
      <c r="C9" s="223" t="s">
        <v>645</v>
      </c>
      <c r="D9" s="224" t="s">
        <v>646</v>
      </c>
      <c r="E9" s="225" t="s">
        <v>647</v>
      </c>
      <c r="F9" s="226" t="s">
        <v>617</v>
      </c>
      <c r="G9" s="227" t="s">
        <v>648</v>
      </c>
    </row>
    <row r="10" spans="1:7" ht="270" customHeight="1" x14ac:dyDescent="0.25">
      <c r="A10" s="228" t="s">
        <v>649</v>
      </c>
      <c r="B10" s="229" t="s">
        <v>639</v>
      </c>
      <c r="C10" s="230" t="s">
        <v>650</v>
      </c>
      <c r="D10" s="231" t="s">
        <v>651</v>
      </c>
      <c r="E10" s="232" t="s">
        <v>652</v>
      </c>
      <c r="F10" s="226" t="s">
        <v>617</v>
      </c>
      <c r="G10" s="227" t="s">
        <v>627</v>
      </c>
    </row>
    <row r="11" spans="1:7" ht="240" customHeight="1" x14ac:dyDescent="0.25">
      <c r="A11" s="221" t="s">
        <v>653</v>
      </c>
      <c r="B11" s="222" t="s">
        <v>654</v>
      </c>
      <c r="C11" s="223" t="s">
        <v>655</v>
      </c>
      <c r="D11" s="224" t="s">
        <v>656</v>
      </c>
      <c r="E11" s="225" t="s">
        <v>657</v>
      </c>
      <c r="F11" s="226" t="s">
        <v>617</v>
      </c>
      <c r="G11" s="227" t="s">
        <v>658</v>
      </c>
    </row>
    <row r="12" spans="1:7" ht="240" customHeight="1" x14ac:dyDescent="0.25">
      <c r="A12" s="228" t="s">
        <v>659</v>
      </c>
      <c r="B12" s="229" t="s">
        <v>654</v>
      </c>
      <c r="C12" s="230" t="s">
        <v>660</v>
      </c>
      <c r="D12" s="231" t="s">
        <v>661</v>
      </c>
      <c r="E12" s="232" t="s">
        <v>662</v>
      </c>
      <c r="F12" s="226" t="s">
        <v>617</v>
      </c>
      <c r="G12" s="227" t="s">
        <v>663</v>
      </c>
    </row>
    <row r="13" spans="1:7" ht="240" customHeight="1" x14ac:dyDescent="0.25">
      <c r="A13" s="221" t="s">
        <v>664</v>
      </c>
      <c r="B13" s="222" t="s">
        <v>654</v>
      </c>
      <c r="C13" s="223" t="s">
        <v>665</v>
      </c>
      <c r="D13" s="224" t="s">
        <v>666</v>
      </c>
      <c r="E13" s="225" t="s">
        <v>667</v>
      </c>
      <c r="F13" s="226" t="s">
        <v>617</v>
      </c>
      <c r="G13" s="233" t="s">
        <v>668</v>
      </c>
    </row>
    <row r="14" spans="1:7" ht="375" customHeight="1" x14ac:dyDescent="0.25">
      <c r="A14" s="228" t="s">
        <v>669</v>
      </c>
      <c r="B14" s="229" t="s">
        <v>670</v>
      </c>
      <c r="C14" s="230" t="s">
        <v>671</v>
      </c>
      <c r="D14" s="231" t="s">
        <v>672</v>
      </c>
      <c r="E14" s="232" t="s">
        <v>673</v>
      </c>
      <c r="F14" s="226" t="s">
        <v>617</v>
      </c>
      <c r="G14" s="233" t="s">
        <v>674</v>
      </c>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Tubex_Dashboard</vt:lpstr>
      <vt:lpstr>MRP</vt:lpstr>
      <vt:lpstr>Production_Log</vt:lpstr>
      <vt:lpstr>BOM</vt:lpstr>
      <vt:lpstr>Inventory</vt:lpstr>
      <vt:lpstr>Product_Catalog</vt:lpstr>
      <vt:lpstr>BOM Issues</vt:lpstr>
      <vt:lpstr>FG Stock</vt:lpstr>
      <vt:lpstr>Future_Plans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Alpha Containers Planning System v7.2</dc:title>
  <dc:subject>Planning &amp; Supply Chain — Tubex / Aerosol Plants</dc:subject>
  <dc:creator>Muhammad Sikander</dc:creator>
  <cp:keywords>production inventory planning procurement</cp:keywords>
  <dc:description>Production &amp; Inventory Planning System — Alpha Containers (Pvt.) Ltd</dc:description>
  <cp:lastModifiedBy>Sikander Shahjahan</cp:lastModifiedBy>
  <cp:revision>37</cp:revision>
  <dcterms:created xsi:type="dcterms:W3CDTF">2026-03-01T07:48:13Z</dcterms:created>
  <dcterms:modified xsi:type="dcterms:W3CDTF">2026-08-24T06:08:23Z</dcterms:modified>
  <cp:category>Operations</cp:category>
  <dc:language>en-US</dc:language>
</cp:coreProperties>
</file>