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B01384EC7401AD7241046319E5947A9036A14F9B" xr6:coauthVersionLast="47" xr6:coauthVersionMax="47" xr10:uidLastSave="{00000000-0000-0000-0000-000000000000}"/>
  <bookViews>
    <workbookView xWindow="1950" yWindow="1950" windowWidth="16200" windowHeight="927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J99" i="5"/>
  <c r="H99" i="5"/>
  <c r="H98" i="5"/>
  <c r="J97" i="5"/>
  <c r="H97" i="5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8" i="2"/>
  <c r="F77" i="2"/>
  <c r="F76" i="2"/>
  <c r="F75" i="2"/>
  <c r="F74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K19" i="1"/>
  <c r="G19" i="1"/>
  <c r="H18" i="1"/>
  <c r="T17" i="1"/>
  <c r="U17" i="1" s="1"/>
  <c r="H17" i="1"/>
  <c r="H16" i="1"/>
  <c r="H15" i="1"/>
  <c r="T14" i="1"/>
  <c r="U14" i="1" s="1"/>
  <c r="K14" i="1"/>
  <c r="T13" i="1"/>
  <c r="U13" i="1" s="1"/>
  <c r="H13" i="1"/>
  <c r="G13" i="1"/>
  <c r="T12" i="1"/>
  <c r="U12" i="1" s="1"/>
  <c r="H12" i="1"/>
  <c r="G3" i="2" s="1"/>
  <c r="G12" i="1"/>
  <c r="J11" i="1"/>
  <c r="H11" i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D6" i="1"/>
  <c r="B6" i="1"/>
  <c r="C5" i="1"/>
  <c r="H3" i="1"/>
  <c r="J111" i="5" l="1"/>
  <c r="F106" i="2"/>
  <c r="F88" i="2"/>
  <c r="J107" i="5"/>
  <c r="F105" i="2"/>
  <c r="J106" i="5"/>
  <c r="F104" i="2"/>
  <c r="F87" i="2"/>
  <c r="J105" i="5"/>
  <c r="F83" i="2"/>
  <c r="J102" i="5"/>
  <c r="F102" i="2"/>
  <c r="F80" i="2"/>
  <c r="J96" i="5"/>
  <c r="F100" i="2"/>
  <c r="J63" i="5"/>
  <c r="F73" i="2"/>
  <c r="J62" i="5"/>
  <c r="F72" i="2"/>
  <c r="J61" i="5"/>
  <c r="F71" i="2"/>
  <c r="J60" i="5"/>
  <c r="F103" i="2"/>
  <c r="F68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9" i="5"/>
  <c r="F19" i="2"/>
  <c r="J8" i="5"/>
  <c r="F17" i="2"/>
  <c r="J7" i="5"/>
  <c r="F14" i="2"/>
  <c r="J6" i="5"/>
  <c r="F13" i="2"/>
  <c r="J5" i="5"/>
  <c r="F12" i="2"/>
  <c r="J4" i="5"/>
  <c r="F9" i="2"/>
  <c r="F101" i="2"/>
  <c r="J98" i="5"/>
  <c r="F25" i="2"/>
  <c r="J18" i="5"/>
  <c r="F20" i="2"/>
  <c r="J10" i="5"/>
  <c r="H93" i="2"/>
  <c r="F97" i="2"/>
  <c r="J56" i="1"/>
  <c r="I56" i="1"/>
  <c r="I55" i="1"/>
  <c r="J55" i="1"/>
  <c r="I54" i="1"/>
  <c r="J54" i="1"/>
  <c r="J53" i="1"/>
  <c r="I53" i="1"/>
  <c r="I52" i="1"/>
  <c r="J52" i="1"/>
  <c r="J51" i="1"/>
  <c r="I51" i="1"/>
  <c r="J50" i="1"/>
  <c r="I50" i="1"/>
  <c r="I49" i="1"/>
  <c r="J49" i="1"/>
  <c r="I48" i="1"/>
  <c r="J48" i="1"/>
  <c r="J47" i="1"/>
  <c r="I47" i="1"/>
  <c r="I46" i="1"/>
  <c r="J46" i="1"/>
  <c r="J45" i="1"/>
  <c r="I45" i="1"/>
  <c r="I44" i="1"/>
  <c r="J44" i="1"/>
  <c r="I43" i="1"/>
  <c r="J43" i="1"/>
  <c r="J42" i="1"/>
  <c r="I42" i="1"/>
  <c r="J41" i="1"/>
  <c r="I41" i="1"/>
  <c r="I40" i="1"/>
  <c r="J40" i="1"/>
  <c r="I39" i="1"/>
  <c r="J39" i="1"/>
  <c r="I38" i="1"/>
  <c r="J38" i="1"/>
  <c r="J37" i="1"/>
  <c r="I37" i="1"/>
  <c r="J36" i="1"/>
  <c r="I36" i="1"/>
  <c r="I35" i="1"/>
  <c r="J35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I26" i="1"/>
  <c r="J26" i="1"/>
  <c r="J25" i="1"/>
  <c r="I25" i="1"/>
  <c r="J24" i="1"/>
  <c r="I24" i="1"/>
  <c r="J23" i="1"/>
  <c r="I23" i="1"/>
  <c r="I22" i="1"/>
  <c r="J22" i="1"/>
  <c r="I21" i="1"/>
  <c r="J21" i="1"/>
  <c r="I20" i="1"/>
  <c r="J20" i="1"/>
  <c r="I18" i="1"/>
  <c r="J18" i="1"/>
  <c r="G96" i="2"/>
  <c r="H96" i="2" s="1"/>
  <c r="I17" i="1"/>
  <c r="J17" i="1"/>
  <c r="G95" i="2"/>
  <c r="H95" i="2" s="1"/>
  <c r="I16" i="1"/>
  <c r="G94" i="2"/>
  <c r="H94" i="2" s="1"/>
  <c r="J16" i="1"/>
  <c r="H19" i="1"/>
  <c r="G93" i="2"/>
  <c r="G97" i="2" s="1"/>
  <c r="I15" i="1"/>
  <c r="I19" i="1" s="1"/>
  <c r="J15" i="1"/>
  <c r="J13" i="1"/>
  <c r="I13" i="1"/>
  <c r="H3" i="2"/>
  <c r="G4" i="2"/>
  <c r="G14" i="1"/>
  <c r="J12" i="1"/>
  <c r="I12" i="1"/>
  <c r="I11" i="1"/>
  <c r="I14" i="1" s="1"/>
  <c r="H14" i="1"/>
  <c r="N14" i="1"/>
  <c r="U9" i="1"/>
  <c r="H97" i="2" l="1"/>
  <c r="J105" i="2"/>
  <c r="E101" i="2"/>
  <c r="H100" i="2"/>
  <c r="E100" i="2"/>
  <c r="H106" i="2"/>
  <c r="E106" i="2"/>
  <c r="H105" i="2"/>
  <c r="E105" i="2"/>
  <c r="H104" i="2"/>
  <c r="E104" i="2"/>
  <c r="H103" i="2"/>
  <c r="E103" i="2"/>
  <c r="H102" i="2"/>
  <c r="E102" i="2"/>
  <c r="H101" i="2"/>
  <c r="H4" i="2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E28" i="2"/>
  <c r="H28" i="2"/>
  <c r="J28" i="2"/>
  <c r="E31" i="2"/>
  <c r="H31" i="2"/>
  <c r="J31" i="2"/>
  <c r="E34" i="2"/>
  <c r="H34" i="2"/>
  <c r="J34" i="2"/>
  <c r="E37" i="2"/>
  <c r="H37" i="2"/>
  <c r="J37" i="2"/>
  <c r="E40" i="2"/>
  <c r="H40" i="2"/>
  <c r="J40" i="2"/>
  <c r="E43" i="2"/>
  <c r="H43" i="2"/>
  <c r="J43" i="2"/>
  <c r="E46" i="2"/>
  <c r="H46" i="2"/>
  <c r="J46" i="2"/>
  <c r="E48" i="2"/>
  <c r="H48" i="2"/>
  <c r="J48" i="2"/>
  <c r="E50" i="2"/>
  <c r="H50" i="2"/>
  <c r="J50" i="2"/>
  <c r="E53" i="2"/>
  <c r="H53" i="2"/>
  <c r="J53" i="2"/>
  <c r="E56" i="2"/>
  <c r="H56" i="2"/>
  <c r="J56" i="2"/>
  <c r="E59" i="2"/>
  <c r="H59" i="2"/>
  <c r="J59" i="2"/>
  <c r="E62" i="2"/>
  <c r="G62" i="2" s="1"/>
  <c r="H62" i="2"/>
  <c r="J62" i="2"/>
  <c r="E65" i="2"/>
  <c r="H65" i="2"/>
  <c r="J65" i="2"/>
  <c r="E68" i="2"/>
  <c r="H68" i="2"/>
  <c r="J68" i="2"/>
  <c r="E71" i="2"/>
  <c r="H71" i="2"/>
  <c r="J71" i="2"/>
  <c r="E73" i="2"/>
  <c r="H73" i="2"/>
  <c r="J73" i="2"/>
  <c r="E75" i="2"/>
  <c r="H75" i="2"/>
  <c r="J75" i="2"/>
  <c r="E77" i="2"/>
  <c r="H77" i="2"/>
  <c r="J77" i="2"/>
  <c r="E79" i="2"/>
  <c r="H79" i="2"/>
  <c r="J79" i="2"/>
  <c r="E81" i="2"/>
  <c r="H81" i="2"/>
  <c r="J81" i="2"/>
  <c r="E83" i="2"/>
  <c r="H83" i="2"/>
  <c r="J83" i="2"/>
  <c r="E85" i="2"/>
  <c r="H85" i="2"/>
  <c r="J85" i="2"/>
  <c r="E87" i="2"/>
  <c r="H27" i="2"/>
  <c r="J27" i="2"/>
  <c r="E30" i="2"/>
  <c r="H30" i="2"/>
  <c r="J30" i="2"/>
  <c r="E33" i="2"/>
  <c r="H33" i="2"/>
  <c r="J33" i="2"/>
  <c r="E36" i="2"/>
  <c r="H36" i="2"/>
  <c r="J36" i="2"/>
  <c r="E39" i="2"/>
  <c r="H39" i="2"/>
  <c r="J39" i="2"/>
  <c r="E42" i="2"/>
  <c r="H42" i="2"/>
  <c r="J42" i="2"/>
  <c r="E45" i="2"/>
  <c r="H45" i="2"/>
  <c r="J45" i="2"/>
  <c r="E52" i="2"/>
  <c r="H52" i="2"/>
  <c r="J52" i="2"/>
  <c r="E55" i="2"/>
  <c r="H55" i="2"/>
  <c r="J55" i="2"/>
  <c r="E58" i="2"/>
  <c r="H58" i="2"/>
  <c r="J58" i="2"/>
  <c r="E61" i="2"/>
  <c r="G61" i="2" s="1"/>
  <c r="H61" i="2"/>
  <c r="J61" i="2"/>
  <c r="E64" i="2"/>
  <c r="H64" i="2"/>
  <c r="J64" i="2"/>
  <c r="E67" i="2"/>
  <c r="H67" i="2"/>
  <c r="J67" i="2"/>
  <c r="E70" i="2"/>
  <c r="H70" i="2"/>
  <c r="J70" i="2"/>
  <c r="E72" i="2"/>
  <c r="H72" i="2"/>
  <c r="J72" i="2"/>
  <c r="E74" i="2"/>
  <c r="H74" i="2"/>
  <c r="J74" i="2"/>
  <c r="E76" i="2"/>
  <c r="H76" i="2"/>
  <c r="J76" i="2"/>
  <c r="E78" i="2"/>
  <c r="H78" i="2"/>
  <c r="J78" i="2"/>
  <c r="E80" i="2"/>
  <c r="H80" i="2"/>
  <c r="J80" i="2"/>
  <c r="E82" i="2"/>
  <c r="H82" i="2"/>
  <c r="J82" i="2"/>
  <c r="E84" i="2"/>
  <c r="H84" i="2"/>
  <c r="J84" i="2"/>
  <c r="E86" i="2"/>
  <c r="H86" i="2"/>
  <c r="J86" i="2"/>
  <c r="H87" i="2"/>
  <c r="J87" i="2"/>
  <c r="E88" i="2"/>
  <c r="H88" i="2"/>
  <c r="J88" i="2"/>
  <c r="E29" i="2"/>
  <c r="H29" i="2"/>
  <c r="J29" i="2"/>
  <c r="E32" i="2"/>
  <c r="H32" i="2"/>
  <c r="J32" i="2"/>
  <c r="E35" i="2"/>
  <c r="H35" i="2"/>
  <c r="J35" i="2"/>
  <c r="E38" i="2"/>
  <c r="G38" i="2" s="1"/>
  <c r="H38" i="2"/>
  <c r="J38" i="2"/>
  <c r="E41" i="2"/>
  <c r="H41" i="2"/>
  <c r="J41" i="2"/>
  <c r="E44" i="2"/>
  <c r="H44" i="2"/>
  <c r="J44" i="2"/>
  <c r="E47" i="2"/>
  <c r="H47" i="2"/>
  <c r="J47" i="2"/>
  <c r="E49" i="2"/>
  <c r="H49" i="2"/>
  <c r="J49" i="2"/>
  <c r="E51" i="2"/>
  <c r="H51" i="2"/>
  <c r="J51" i="2"/>
  <c r="E54" i="2"/>
  <c r="H54" i="2"/>
  <c r="J54" i="2"/>
  <c r="E57" i="2"/>
  <c r="H57" i="2"/>
  <c r="J57" i="2"/>
  <c r="E60" i="2"/>
  <c r="H60" i="2"/>
  <c r="J60" i="2"/>
  <c r="E63" i="2"/>
  <c r="H63" i="2"/>
  <c r="J63" i="2"/>
  <c r="E66" i="2"/>
  <c r="H66" i="2"/>
  <c r="J66" i="2"/>
  <c r="E69" i="2"/>
  <c r="H69" i="2"/>
  <c r="J69" i="2"/>
  <c r="M10" i="1"/>
  <c r="N10" i="1"/>
  <c r="O10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3" i="1"/>
  <c r="N13" i="1"/>
  <c r="O13" i="1" s="1"/>
  <c r="G101" i="2" l="1"/>
  <c r="I101" i="2"/>
  <c r="G100" i="2"/>
  <c r="I100" i="2"/>
  <c r="G106" i="2"/>
  <c r="I106" i="2"/>
  <c r="G105" i="2"/>
  <c r="I105" i="2"/>
  <c r="G104" i="2"/>
  <c r="I104" i="2"/>
  <c r="G103" i="2"/>
  <c r="I103" i="2"/>
  <c r="G102" i="2"/>
  <c r="I102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8" i="2"/>
  <c r="I48" i="2"/>
  <c r="G50" i="2"/>
  <c r="I50" i="2"/>
  <c r="G53" i="2"/>
  <c r="I53" i="2"/>
  <c r="G56" i="2"/>
  <c r="I56" i="2"/>
  <c r="G59" i="2"/>
  <c r="I59" i="2"/>
  <c r="G65" i="2"/>
  <c r="I65" i="2"/>
  <c r="G68" i="2"/>
  <c r="I68" i="2"/>
  <c r="G71" i="2"/>
  <c r="I71" i="2" s="1"/>
  <c r="G73" i="2"/>
  <c r="I73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30" i="2"/>
  <c r="I30" i="2"/>
  <c r="G33" i="2"/>
  <c r="I33" i="2"/>
  <c r="G36" i="2"/>
  <c r="I36" i="2"/>
  <c r="G39" i="2"/>
  <c r="I39" i="2"/>
  <c r="G42" i="2"/>
  <c r="I42" i="2"/>
  <c r="G45" i="2"/>
  <c r="I45" i="2"/>
  <c r="G52" i="2"/>
  <c r="I52" i="2"/>
  <c r="G55" i="2"/>
  <c r="I55" i="2"/>
  <c r="G58" i="2"/>
  <c r="I58" i="2"/>
  <c r="G64" i="2"/>
  <c r="I64" i="2"/>
  <c r="G67" i="2"/>
  <c r="I67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29" i="2"/>
  <c r="I29" i="2"/>
  <c r="G32" i="2"/>
  <c r="I32" i="2"/>
  <c r="G35" i="2"/>
  <c r="I35" i="2"/>
  <c r="G41" i="2"/>
  <c r="I41" i="2"/>
  <c r="G44" i="2"/>
  <c r="I44" i="2"/>
  <c r="G47" i="2"/>
  <c r="I47" i="2"/>
  <c r="G49" i="2"/>
  <c r="I49" i="2"/>
  <c r="G51" i="2"/>
  <c r="I51" i="2"/>
  <c r="G54" i="2"/>
  <c r="I54" i="2"/>
  <c r="G57" i="2"/>
  <c r="I57" i="2"/>
  <c r="G60" i="2"/>
  <c r="I60" i="2"/>
  <c r="G63" i="2"/>
  <c r="I63" i="2"/>
  <c r="G66" i="2"/>
  <c r="I66" i="2"/>
  <c r="G69" i="2"/>
  <c r="I69" i="2" s="1"/>
</calcChain>
</file>

<file path=xl/sharedStrings.xml><?xml version="1.0" encoding="utf-8"?>
<sst xmlns="http://schemas.openxmlformats.org/spreadsheetml/2006/main" count="4228" uniqueCount="617">
  <si>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</si>
  <si>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</si>
  <si>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</si>
  <si>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</si>
  <si>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</si>
  <si>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</si>
  <si>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</si>
  <si>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</si>
  <si>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</si>
  <si>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</si>
  <si>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</si>
  <si>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</si>
  <si>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</si>
  <si>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</si>
  <si>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</si>
  <si>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</si>
  <si>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</si>
  <si>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</si>
  <si>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</si>
  <si>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</si>
  <si>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</si>
  <si>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</si>
  <si>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</si>
  <si>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</si>
  <si>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</si>
  <si>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</si>
  <si>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</si>
  <si>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</si>
  <si>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</si>
  <si>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</si>
  <si>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</si>
  <si>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</si>
  <si>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</si>
  <si>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Hola Hair</t>
  </si>
  <si>
    <t>H.H 100GM</t>
  </si>
  <si>
    <t>Changeover</t>
  </si>
  <si>
    <t>TOTAL</t>
  </si>
  <si>
    <t>100%</t>
  </si>
  <si>
    <t>Operations</t>
  </si>
  <si>
    <t>PET BOTTLE SMALL (120ML) YELLOW</t>
  </si>
  <si>
    <t>120 ml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</si>
  <si>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</si>
  <si>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</si>
  <si>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</si>
  <si>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</si>
  <si>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</si>
  <si>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</si>
  <si>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Power Shutdown</t>
  </si>
  <si>
    <t>Horizon Chem</t>
  </si>
  <si>
    <t>PET BOTTLE (150ML)TRANSPARENT BODY MIST</t>
  </si>
  <si>
    <t>Workers Shortage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</si>
  <si>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</si>
  <si>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</si>
  <si>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</si>
  <si>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</si>
  <si>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</si>
  <si>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</si>
  <si>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</si>
  <si>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</si>
  <si>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</si>
  <si>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</si>
  <si>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</si>
  <si>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</si>
  <si>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</si>
  <si>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</si>
  <si>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</si>
  <si>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</si>
  <si>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Gas Shutdown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</si>
  <si>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</si>
  <si>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</si>
  <si>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</si>
  <si>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</si>
  <si>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</si>
  <si>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</si>
  <si>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</si>
  <si>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</si>
  <si>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</si>
  <si>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</si>
  <si>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</si>
  <si>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</si>
  <si>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</si>
  <si>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</si>
  <si>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</si>
  <si>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</si>
  <si>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</si>
  <si>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</si>
  <si>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</si>
  <si>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</si>
  <si>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</si>
  <si>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</si>
  <si>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</si>
  <si>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</si>
  <si>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</si>
  <si>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</si>
  <si>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</si>
  <si>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</si>
  <si>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</si>
  <si>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</si>
  <si>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</si>
  <si>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</si>
  <si>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</si>
  <si>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</si>
  <si>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</si>
  <si>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</si>
  <si>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</si>
  <si>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</si>
  <si>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</si>
  <si>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</si>
  <si>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</si>
  <si>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</si>
  <si>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</si>
  <si>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</si>
  <si>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</si>
  <si>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</si>
  <si>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</si>
  <si>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</si>
  <si>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</si>
  <si>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</si>
  <si>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</si>
  <si>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</si>
  <si>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</si>
  <si>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</si>
  <si>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</si>
  <si>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</si>
  <si>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</si>
  <si>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</si>
  <si>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</si>
  <si>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</si>
  <si>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</si>
  <si>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</si>
  <si>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</si>
  <si>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</si>
  <si>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</si>
  <si>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</si>
  <si>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</si>
  <si>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</si>
  <si>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</si>
  <si>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</si>
  <si>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</si>
  <si>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</si>
  <si>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</si>
  <si>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</si>
  <si>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</si>
  <si>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</si>
  <si>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</si>
  <si>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</si>
  <si>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</si>
  <si>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</si>
  <si>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</si>
  <si>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</si>
  <si>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</si>
  <si>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</si>
  <si>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</si>
  <si>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</si>
  <si>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</si>
  <si>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</si>
  <si>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</si>
  <si>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</si>
  <si>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</si>
  <si>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</si>
  <si>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</si>
  <si>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</si>
  <si>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</si>
  <si>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</si>
  <si>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</si>
  <si>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</si>
  <si>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</si>
  <si>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</si>
  <si>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</si>
  <si>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</si>
  <si>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</si>
  <si>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</si>
  <si>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</si>
  <si>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</si>
  <si>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</si>
  <si>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</si>
  <si>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</si>
  <si>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</si>
  <si>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</si>
  <si>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</si>
  <si>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</si>
  <si>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</si>
  <si>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</si>
  <si>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</si>
  <si>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</si>
  <si>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</si>
  <si>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</si>
  <si>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</si>
  <si>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</si>
  <si>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</si>
  <si>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</si>
  <si>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</si>
  <si>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</si>
  <si>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</si>
  <si>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</si>
  <si>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</si>
  <si>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</si>
  <si>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</si>
  <si>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</si>
  <si>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</si>
  <si>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</si>
  <si>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</si>
  <si>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</si>
  <si>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</si>
  <si>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</si>
  <si>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</si>
  <si>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</si>
  <si>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</si>
  <si>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</si>
  <si>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</si>
  <si>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</si>
  <si>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</si>
  <si>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</si>
  <si>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</si>
  <si>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</si>
  <si>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</si>
  <si>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</si>
  <si>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</si>
  <si>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</si>
  <si>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</si>
  <si>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</si>
  <si>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</si>
  <si>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</si>
  <si>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</si>
  <si>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</si>
  <si>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</si>
  <si>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</si>
  <si>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</si>
  <si>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</si>
  <si>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</si>
  <si>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</si>
  <si>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</si>
  <si>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</si>
  <si>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</si>
  <si>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</si>
  <si>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</si>
  <si>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</si>
  <si>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</si>
  <si>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</si>
  <si>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</si>
  <si>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</si>
  <si>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</si>
  <si>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</si>
  <si>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</si>
  <si>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</si>
  <si>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</si>
  <si>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</si>
  <si>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</si>
  <si>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</si>
  <si>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</si>
  <si>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</si>
  <si>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</si>
  <si>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</si>
  <si>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</si>
  <si>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</si>
  <si>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</si>
  <si>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</si>
  <si>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</si>
  <si>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</si>
  <si>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</si>
  <si>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</si>
  <si>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</si>
  <si>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</si>
  <si>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</si>
  <si>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</si>
  <si>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</si>
  <si>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</si>
  <si>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</si>
  <si>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</si>
  <si>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</si>
  <si>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</si>
  <si>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</si>
  <si>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</si>
  <si>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</si>
  <si>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</si>
  <si>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</si>
  <si>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</si>
  <si>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</si>
  <si>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</si>
  <si>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</si>
  <si>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</si>
  <si>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</si>
  <si>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</si>
  <si>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</si>
  <si>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</si>
  <si>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</si>
  <si>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</si>
  <si>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</si>
  <si>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</si>
  <si>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</si>
  <si>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</si>
  <si>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</si>
  <si>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</si>
  <si>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</si>
  <si>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</si>
  <si>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</si>
  <si>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</si>
  <si>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</si>
  <si>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</si>
  <si>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</si>
  <si>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</si>
  <si>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</si>
  <si>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</si>
  <si>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</si>
  <si>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</si>
  <si>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</si>
  <si>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</si>
  <si>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</si>
  <si>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</si>
  <si>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</si>
  <si>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</si>
  <si>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</si>
  <si>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</si>
  <si>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</si>
  <si>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</si>
  <si>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</si>
  <si>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</si>
  <si>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</si>
  <si>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</si>
  <si>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</si>
  <si>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</si>
  <si>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</si>
  <si>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</si>
  <si>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</si>
  <si>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</si>
  <si>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</si>
  <si>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</si>
  <si>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</si>
  <si>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</si>
  <si>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</si>
  <si>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</si>
  <si>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</si>
  <si>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</si>
  <si>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</si>
  <si>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</si>
  <si>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</si>
  <si>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</si>
  <si>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</si>
  <si>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</si>
  <si>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</si>
  <si>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</si>
  <si>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</si>
  <si>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</si>
  <si>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</si>
  <si>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</si>
  <si>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</si>
  <si>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</si>
  <si>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</si>
  <si>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</si>
  <si>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</si>
  <si>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</si>
  <si>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</si>
  <si>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</si>
  <si>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</si>
  <si>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</si>
  <si>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</si>
  <si>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</si>
  <si>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</si>
  <si>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</si>
  <si>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</si>
  <si>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</si>
  <si>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</si>
  <si>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</si>
  <si>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</si>
  <si>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</si>
  <si>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</si>
  <si>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</si>
  <si>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</si>
  <si>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</si>
  <si>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</si>
  <si>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</si>
  <si>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</si>
  <si>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</si>
  <si>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</si>
  <si>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</si>
  <si>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</si>
  <si>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</si>
  <si>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</si>
  <si>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</si>
  <si>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</si>
  <si>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</si>
  <si>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</si>
  <si>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</si>
  <si>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</si>
  <si>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</si>
  <si>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</si>
  <si>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</si>
  <si>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</si>
  <si>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</si>
  <si>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</si>
  <si>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</si>
  <si>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</si>
  <si>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</si>
  <si>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</si>
  <si>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</si>
  <si>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</si>
  <si>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</si>
  <si>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</si>
  <si>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</si>
  <si>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</si>
  <si>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</si>
  <si>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</si>
  <si>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</si>
  <si>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</si>
  <si>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</si>
  <si>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</si>
  <si>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</si>
  <si>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</si>
  <si>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</si>
  <si>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</si>
  <si>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</si>
  <si>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</si>
  <si>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</si>
  <si>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</si>
  <si>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</si>
  <si>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</si>
  <si>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</si>
  <si>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</si>
  <si>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</si>
  <si>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</si>
  <si>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</si>
  <si>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</si>
  <si>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</si>
  <si>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</si>
  <si>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</si>
  <si>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</si>
  <si>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</si>
  <si>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</si>
  <si>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</si>
  <si>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</si>
  <si>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</si>
  <si>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</si>
  <si>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</si>
  <si>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</si>
  <si>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</si>
  <si>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</si>
  <si>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</si>
  <si>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</si>
  <si>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</si>
  <si>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</si>
  <si>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</si>
  <si>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</si>
  <si>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</si>
  <si>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</si>
  <si>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</si>
  <si>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</si>
  <si>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</si>
  <si>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</si>
  <si>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</si>
  <si>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</si>
  <si>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</si>
  <si>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</si>
  <si>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</si>
  <si>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</si>
  <si>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</si>
  <si>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</si>
  <si>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</si>
  <si>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</si>
  <si>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</si>
  <si>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</si>
  <si>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</si>
  <si>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</si>
  <si>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</si>
  <si>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</si>
  <si>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</si>
  <si>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</si>
  <si>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</si>
  <si>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</si>
  <si>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</si>
  <si>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</si>
  <si>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</si>
  <si>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</si>
  <si>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</si>
  <si>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</si>
  <si>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</si>
  <si>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</si>
  <si>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</si>
  <si>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</si>
  <si>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</si>
  <si>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</si>
  <si>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</si>
  <si>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</si>
  <si>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</si>
  <si>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</si>
  <si>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</si>
  <si>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</si>
  <si>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</si>
  <si>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</si>
  <si>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</si>
  <si>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</si>
  <si>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</si>
  <si>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</si>
  <si>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</si>
  <si>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</si>
  <si>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</si>
  <si>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</si>
  <si>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</si>
  <si>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</si>
  <si>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</si>
  <si>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</si>
  <si>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</si>
  <si>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</si>
  <si>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</si>
  <si>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</si>
  <si>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</si>
  <si>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</si>
  <si>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</si>
  <si>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</si>
  <si>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</si>
  <si>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</si>
  <si>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</si>
  <si>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</si>
  <si>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</si>
  <si>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</si>
  <si>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</si>
  <si>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</si>
  <si>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</si>
  <si>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</si>
  <si>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</si>
  <si>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</si>
  <si>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</si>
  <si>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</si>
  <si>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</si>
  <si>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</si>
  <si>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</si>
  <si>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</si>
  <si>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</si>
  <si>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</si>
  <si>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</si>
  <si>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</si>
  <si>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</si>
  <si>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</si>
  <si>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</si>
  <si>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</si>
  <si>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</si>
  <si>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</si>
  <si>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</si>
  <si>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</si>
  <si>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</si>
  <si>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</si>
  <si>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</si>
  <si>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</si>
  <si>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</si>
  <si>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</si>
  <si>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</si>
  <si>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</si>
  <si>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</si>
  <si>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</si>
  <si>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</si>
  <si>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</si>
  <si>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</si>
  <si>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</si>
  <si>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</si>
  <si>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</si>
  <si>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</si>
  <si>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</si>
  <si>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</si>
  <si>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</si>
  <si>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</si>
  <si>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</si>
  <si>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</si>
  <si>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</si>
  <si>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</si>
  <si>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</si>
  <si>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</si>
  <si>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</si>
  <si>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</si>
  <si>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</si>
  <si>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</si>
  <si>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</si>
  <si>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</si>
  <si>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</si>
  <si>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</si>
  <si>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</si>
  <si>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</si>
  <si>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</si>
  <si>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</si>
  <si>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</si>
  <si>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</si>
  <si>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</si>
  <si>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</si>
  <si>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</si>
  <si>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</si>
  <si>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</si>
  <si>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</si>
  <si>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</si>
  <si>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</si>
  <si>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</si>
  <si>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</si>
  <si>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</si>
  <si>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</si>
  <si>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</si>
  <si>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</si>
  <si>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</si>
  <si>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</si>
  <si>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</si>
  <si>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</si>
  <si>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</si>
  <si>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</si>
  <si>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</si>
  <si>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</si>
  <si>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</si>
  <si>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</si>
  <si>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</si>
  <si>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</si>
  <si>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</si>
  <si>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</si>
  <si>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Samsol 45</t>
  </si>
  <si>
    <t>dia 25</t>
  </si>
  <si>
    <t>No Order</t>
  </si>
  <si>
    <t>Not Ready</t>
  </si>
  <si>
    <t>Master Carton not Available</t>
  </si>
  <si>
    <t>Inprogress On Packing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</si>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</sst>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B1" sqref="B1:O19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9" width="8.7109375" style="105" customWidth="1"/>
    <col min="140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9" t="s">
        <v>0</v>
      </c>
      <c r="C2" s="262"/>
      <c r="D2" s="262"/>
      <c r="E2" s="263"/>
      <c r="F2" s="262"/>
      <c r="G2" s="264"/>
      <c r="H2" s="262"/>
      <c r="I2" s="262"/>
      <c r="J2" s="262"/>
      <c r="K2" s="262"/>
      <c r="L2" s="262"/>
      <c r="M2" s="262"/>
      <c r="N2" s="262"/>
      <c r="O2" s="262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1" t="s">
        <v>1</v>
      </c>
      <c r="C3" s="262"/>
      <c r="D3" s="262"/>
      <c r="E3" s="263"/>
      <c r="F3" s="262"/>
      <c r="G3" s="264"/>
      <c r="H3" s="266">
        <f>MAX(Production_Log!$A$3:$A$8963)</f>
        <v>46248</v>
      </c>
      <c r="I3" s="262"/>
      <c r="J3" s="262"/>
      <c r="K3" s="262"/>
      <c r="L3" s="262"/>
      <c r="M3" s="262"/>
      <c r="N3" s="262"/>
      <c r="O3" s="262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2</v>
      </c>
      <c r="C5" s="195">
        <f>MAX(Production_Log!$A$3:$A$8963)</f>
        <v>46248</v>
      </c>
      <c r="D5" s="107" t="s">
        <v>3</v>
      </c>
      <c r="E5" s="107"/>
      <c r="F5" s="108"/>
      <c r="G5" s="268" t="s">
        <v>4</v>
      </c>
      <c r="H5" s="262"/>
      <c r="I5" s="109"/>
      <c r="J5" s="268" t="s">
        <v>5</v>
      </c>
      <c r="K5" s="262"/>
      <c r="L5" s="136"/>
      <c r="M5" s="110" t="s">
        <v>6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5">
        <f>SUMPRODUCT((Production_Log!$A$3:$A$8963=MAX(Production_Log!$A$3:$A$8963))*(LEFT(Production_Log!$B$3:$B$8963,5)="Print")*(ISERROR(SEARCH("(Varnish)",Production_Log!$D$3:$D$8963)))*Production_Log!$H$3:$H$8963)</f>
        <v>0</v>
      </c>
      <c r="C6" s="262"/>
      <c r="D6" s="111">
        <f>SUMIF($B$11:$B$66,"TUBE",$H$11:$H$66)</f>
        <v>212464</v>
      </c>
      <c r="E6" s="265"/>
      <c r="F6" s="262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2.0605345404593103E-2</v>
      </c>
      <c r="H6" s="112"/>
      <c r="I6" s="109"/>
      <c r="J6" s="265">
        <f>SUMIF($B$11:$B$66,"TUBE",$K$11:$K$66)</f>
        <v>164682</v>
      </c>
      <c r="K6" s="262"/>
      <c r="L6" s="113"/>
      <c r="M6" s="137" t="s">
        <v>7</v>
      </c>
      <c r="N6" s="137" t="s">
        <v>8</v>
      </c>
      <c r="O6" s="137" t="s">
        <v>9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10</v>
      </c>
      <c r="C7" s="196">
        <f>MAX(Production_Log!$A$3:$A$8963)</f>
        <v>46248</v>
      </c>
      <c r="D7" s="114" t="s">
        <v>11</v>
      </c>
      <c r="E7" s="114"/>
      <c r="F7" s="115"/>
      <c r="G7" s="267" t="s">
        <v>12</v>
      </c>
      <c r="H7" s="262"/>
      <c r="I7" s="116"/>
      <c r="J7" s="115" t="s">
        <v>5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24.166666666666668</v>
      </c>
      <c r="O7" s="125">
        <f t="shared" ref="O7:O13" si="0">IFERROR(N7/$N$14,"")</f>
        <v>0.77540106951871657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0">
        <f>SUMPRODUCT((Production_Log!$A$3:$A$8963=MAX(Production_Log!$A$3:$A$8963))*(Production_Log!$B$3:$B$8963="PF Machine")*Production_Log!$H$3:$H$8963)</f>
        <v>8740</v>
      </c>
      <c r="C8" s="262"/>
      <c r="D8" s="117">
        <f>SUMIF($B$11:$B$66,"PET",$H$11:$H$66)</f>
        <v>60375</v>
      </c>
      <c r="E8" s="270"/>
      <c r="F8" s="262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5.0483604623732012E-2</v>
      </c>
      <c r="H8" s="118"/>
      <c r="I8" s="116"/>
      <c r="J8" s="270">
        <f>SUMIF($B$11:$B$66,"PET",$K$11:$K$66)</f>
        <v>31280</v>
      </c>
      <c r="K8" s="262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0.1283422459893048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1" t="s">
        <v>13</v>
      </c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3</v>
      </c>
      <c r="O9" s="125">
        <f t="shared" si="0"/>
        <v>9.6256684491978606E-2</v>
      </c>
      <c r="P9" s="102"/>
      <c r="Q9" s="102"/>
      <c r="R9" s="104"/>
      <c r="S9" s="130" t="s">
        <v>14</v>
      </c>
      <c r="T9" s="131">
        <f>SUMPRODUCT(((LEFT(Production_Log!$B$3:$B$8963,5)="Press")+(LEFT(Production_Log!$B$3:$B$8963,5)="Print"))*Production_Log!$K$3:$K$8963)</f>
        <v>180</v>
      </c>
      <c r="U9" s="130">
        <f>T9+0.00001</f>
        <v>180.00001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</v>
      </c>
      <c r="C10" s="126" t="s">
        <v>16</v>
      </c>
      <c r="D10" s="126" t="s">
        <v>17</v>
      </c>
      <c r="E10" s="126" t="s">
        <v>18</v>
      </c>
      <c r="F10" s="126" t="s">
        <v>19</v>
      </c>
      <c r="G10" s="126" t="s">
        <v>20</v>
      </c>
      <c r="H10" s="126" t="s">
        <v>21</v>
      </c>
      <c r="I10" s="126" t="s">
        <v>22</v>
      </c>
      <c r="J10" s="127" t="s">
        <v>23</v>
      </c>
      <c r="K10" s="128" t="s">
        <v>24</v>
      </c>
      <c r="L10" s="128" t="s">
        <v>25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26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2</v>
      </c>
      <c r="C11" s="249" t="s">
        <v>27</v>
      </c>
      <c r="D11" s="250" t="s">
        <v>28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60144</v>
      </c>
      <c r="I11" s="252">
        <f>G11-H11</f>
        <v>-60144</v>
      </c>
      <c r="J11" s="254" t="str">
        <f>IF(G11=0,"-",H11/G11)</f>
        <v>-</v>
      </c>
      <c r="K11" s="253"/>
      <c r="L11" s="255" t="s">
        <v>29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2</v>
      </c>
      <c r="C12" s="249" t="s">
        <v>30</v>
      </c>
      <c r="D12" s="250" t="s">
        <v>31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152320</v>
      </c>
      <c r="I12" s="252">
        <f>G12-H12</f>
        <v>107458</v>
      </c>
      <c r="J12" s="254">
        <f>IF(G12=0,"-",H12/G12)</f>
        <v>0.58634680380940651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32</v>
      </c>
      <c r="T12" s="131">
        <f>SUMPRODUCT(((LEFT(Production_Log!$B$3:$B$8963,5)="Press")+(LEFT(Production_Log!$B$3:$B$8963,5)="Print"))*Production_Log!$M$3:$M$8963)</f>
        <v>1450</v>
      </c>
      <c r="U12" s="130">
        <f>T12+0.00003</f>
        <v>1450.0000299999999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48" t="s">
        <v>2</v>
      </c>
      <c r="C13" s="249" t="s">
        <v>33</v>
      </c>
      <c r="D13" s="250" t="s">
        <v>34</v>
      </c>
      <c r="E13" s="251">
        <v>32</v>
      </c>
      <c r="F13" s="252">
        <v>6515</v>
      </c>
      <c r="G13" s="252">
        <f>IFERROR(INDEX(MRP!$F$3:$F$3,MATCH(Tubex_Dashboard!F13,MRP!$D$3:$D$3,0)),0)</f>
        <v>0</v>
      </c>
      <c r="H13" s="253">
        <f>SUMPRODUCT((Production_Log!$F$3:$F$8963=F13)*(LEFT(Production_Log!$B$3:$B$8963,5)="Print")*(ISERROR(SEARCH("(Varnish)",Production_Log!$D$3:$D$8963)))*Production_Log!$H$3:$H$8963)</f>
        <v>0</v>
      </c>
      <c r="I13" s="252">
        <f>G13-H13</f>
        <v>0</v>
      </c>
      <c r="J13" s="254" t="str">
        <f>IF(G13=0,"-",H13/G13)</f>
        <v>-</v>
      </c>
      <c r="K13" s="253">
        <v>36400</v>
      </c>
      <c r="L13" s="255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35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56"/>
      <c r="C14" s="257"/>
      <c r="D14" s="258" t="s">
        <v>36</v>
      </c>
      <c r="E14" s="256"/>
      <c r="F14" s="257"/>
      <c r="G14" s="259">
        <f>SUM(G11:G13)</f>
        <v>259778</v>
      </c>
      <c r="H14" s="259">
        <f>SUM(H11:H13)</f>
        <v>212464</v>
      </c>
      <c r="I14" s="259">
        <f>SUMIF(I11:I13,"&gt;"&amp;0)</f>
        <v>107458</v>
      </c>
      <c r="J14" s="259"/>
      <c r="K14" s="259">
        <f>SUM(K11:K13)</f>
        <v>164682</v>
      </c>
      <c r="L14" s="259"/>
      <c r="M14" s="121" t="s">
        <v>36</v>
      </c>
      <c r="N14" s="121">
        <f>SUM($T$9:$T$22)/60</f>
        <v>31.166666666666668</v>
      </c>
      <c r="O14" s="121" t="s">
        <v>37</v>
      </c>
      <c r="P14" s="102"/>
      <c r="Q14" s="102"/>
      <c r="R14" s="102"/>
      <c r="S14" s="130" t="s">
        <v>38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10</v>
      </c>
      <c r="C15" s="249" t="s">
        <v>27</v>
      </c>
      <c r="D15" s="250" t="s">
        <v>39</v>
      </c>
      <c r="E15" s="251" t="s">
        <v>40</v>
      </c>
      <c r="F15" s="252">
        <v>8005</v>
      </c>
      <c r="G15" s="252">
        <v>37160</v>
      </c>
      <c r="H15" s="253">
        <f>SUMPRODUCT((Production_Log!$F$3:$F$8963=F15)*Production_Log!$H$3:$H$8963)</f>
        <v>0</v>
      </c>
      <c r="I15" s="252">
        <f>G15-H15</f>
        <v>37160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10</v>
      </c>
      <c r="C16" s="249" t="s">
        <v>41</v>
      </c>
      <c r="D16" s="250" t="s">
        <v>42</v>
      </c>
      <c r="E16" s="251" t="s">
        <v>43</v>
      </c>
      <c r="F16" s="252">
        <v>8015</v>
      </c>
      <c r="G16" s="252">
        <v>15000</v>
      </c>
      <c r="H16" s="253">
        <f>SUMPRODUCT((Production_Log!$F$3:$F$8963=F16)*Production_Log!$H$3:$H$8963)</f>
        <v>0</v>
      </c>
      <c r="I16" s="252">
        <f>G16-H16</f>
        <v>15000</v>
      </c>
      <c r="J16" s="254">
        <f>IF(G16=0,"-",H16/G16)</f>
        <v>0</v>
      </c>
      <c r="K16" s="253"/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10</v>
      </c>
      <c r="C17" s="249" t="s">
        <v>44</v>
      </c>
      <c r="D17" s="250" t="s">
        <v>45</v>
      </c>
      <c r="E17" s="251" t="s">
        <v>46</v>
      </c>
      <c r="F17" s="252">
        <v>8001</v>
      </c>
      <c r="G17" s="252">
        <v>701257</v>
      </c>
      <c r="H17" s="253">
        <f>SUMPRODUCT((Production_Log!$F$3:$F$8963=F17)*Production_Log!$H$3:$H$8963)</f>
        <v>60375</v>
      </c>
      <c r="I17" s="252">
        <f>G17-H17</f>
        <v>640882</v>
      </c>
      <c r="J17" s="254">
        <f>IF(G17=0,"-",H17/G17)</f>
        <v>8.6095397265196646E-2</v>
      </c>
      <c r="K17" s="253">
        <v>31280</v>
      </c>
      <c r="L17" s="255"/>
      <c r="M17" s="102"/>
      <c r="N17" s="102"/>
      <c r="O17" s="102"/>
      <c r="P17" s="102"/>
      <c r="Q17" s="102"/>
      <c r="R17" s="102"/>
      <c r="S17" s="130" t="s">
        <v>47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48" t="s">
        <v>10</v>
      </c>
      <c r="C18" s="249" t="s">
        <v>48</v>
      </c>
      <c r="D18" s="250" t="s">
        <v>49</v>
      </c>
      <c r="E18" s="251" t="s">
        <v>46</v>
      </c>
      <c r="F18" s="252">
        <v>8017</v>
      </c>
      <c r="G18" s="252">
        <v>13960</v>
      </c>
      <c r="H18" s="253">
        <f>SUMPRODUCT((Production_Log!$F$3:$F$8963=F18)*Production_Log!$H$3:$H$8963)</f>
        <v>0</v>
      </c>
      <c r="I18" s="252">
        <f>G18-H18</f>
        <v>13960</v>
      </c>
      <c r="J18" s="254">
        <f>IF(G18=0,"-",H18/G18)</f>
        <v>0</v>
      </c>
      <c r="K18" s="253"/>
      <c r="L18" s="255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56"/>
      <c r="C19" s="257"/>
      <c r="D19" s="258" t="s">
        <v>36</v>
      </c>
      <c r="E19" s="256"/>
      <c r="F19" s="257"/>
      <c r="G19" s="259">
        <f>SUM(G15:G18)</f>
        <v>767377</v>
      </c>
      <c r="H19" s="259">
        <f>SUM(H15:H18)</f>
        <v>60375</v>
      </c>
      <c r="I19" s="259">
        <f>SUMIF(I15:I18,"&gt;"&amp;0)</f>
        <v>707002</v>
      </c>
      <c r="J19" s="259"/>
      <c r="K19" s="259">
        <f>SUM(K15:K18)</f>
        <v>31280</v>
      </c>
      <c r="L19" s="259"/>
      <c r="M19" s="102"/>
      <c r="N19" s="102"/>
      <c r="O19" s="102"/>
      <c r="P19" s="102"/>
      <c r="Q19" s="102"/>
      <c r="R19" s="104"/>
      <c r="S19" s="130" t="s">
        <v>50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2</v>
      </c>
      <c r="C20" s="249" t="s">
        <v>51</v>
      </c>
      <c r="D20" s="250" t="s">
        <v>52</v>
      </c>
      <c r="E20" s="251">
        <v>12.5</v>
      </c>
      <c r="F20" s="252">
        <v>9004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ref="I20:I66" si="1">G20-H20</f>
        <v>0</v>
      </c>
      <c r="J20" s="254" t="str">
        <f t="shared" ref="J20:J66" si="2">IF(G20=0,"-",H20/G20)</f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2</v>
      </c>
      <c r="C21" s="249" t="s">
        <v>53</v>
      </c>
      <c r="D21" s="250" t="s">
        <v>54</v>
      </c>
      <c r="E21" s="251">
        <v>16</v>
      </c>
      <c r="F21" s="252">
        <v>6561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2</v>
      </c>
      <c r="C22" s="249" t="s">
        <v>27</v>
      </c>
      <c r="D22" s="250" t="s">
        <v>55</v>
      </c>
      <c r="E22" s="251">
        <v>19</v>
      </c>
      <c r="F22" s="252">
        <v>6624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2</v>
      </c>
      <c r="C23" s="249" t="s">
        <v>27</v>
      </c>
      <c r="D23" s="250" t="s">
        <v>56</v>
      </c>
      <c r="E23" s="251">
        <v>19</v>
      </c>
      <c r="F23" s="252">
        <v>6623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2</v>
      </c>
      <c r="C24" s="249" t="s">
        <v>53</v>
      </c>
      <c r="D24" s="250" t="s">
        <v>56</v>
      </c>
      <c r="E24" s="251">
        <v>19</v>
      </c>
      <c r="F24" s="252">
        <v>6559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2</v>
      </c>
      <c r="C25" s="249" t="s">
        <v>53</v>
      </c>
      <c r="D25" s="250" t="s">
        <v>57</v>
      </c>
      <c r="E25" s="251">
        <v>19</v>
      </c>
      <c r="F25" s="252">
        <v>1085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2</v>
      </c>
      <c r="C26" s="249" t="s">
        <v>53</v>
      </c>
      <c r="D26" s="250" t="s">
        <v>58</v>
      </c>
      <c r="E26" s="251">
        <v>19</v>
      </c>
      <c r="F26" s="252">
        <v>6560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2</v>
      </c>
      <c r="C27" s="249" t="s">
        <v>27</v>
      </c>
      <c r="D27" s="250" t="s">
        <v>59</v>
      </c>
      <c r="E27" s="251">
        <v>20.5</v>
      </c>
      <c r="F27" s="252">
        <v>5699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2</v>
      </c>
      <c r="C28" s="249" t="s">
        <v>41</v>
      </c>
      <c r="D28" s="250" t="s">
        <v>60</v>
      </c>
      <c r="E28" s="251">
        <v>20.5</v>
      </c>
      <c r="F28" s="252">
        <v>6077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2</v>
      </c>
      <c r="C29" s="249" t="s">
        <v>27</v>
      </c>
      <c r="D29" s="250" t="s">
        <v>61</v>
      </c>
      <c r="E29" s="251">
        <v>20.5</v>
      </c>
      <c r="F29" s="252">
        <v>5731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2</v>
      </c>
      <c r="C30" s="249" t="s">
        <v>27</v>
      </c>
      <c r="D30" s="250" t="s">
        <v>62</v>
      </c>
      <c r="E30" s="251">
        <v>20.5</v>
      </c>
      <c r="F30" s="252">
        <v>5698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2</v>
      </c>
      <c r="C31" s="249" t="s">
        <v>27</v>
      </c>
      <c r="D31" s="250" t="s">
        <v>63</v>
      </c>
      <c r="E31" s="251">
        <v>20.5</v>
      </c>
      <c r="F31" s="252">
        <v>5732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2</v>
      </c>
      <c r="C32" s="249" t="s">
        <v>27</v>
      </c>
      <c r="D32" s="250" t="s">
        <v>64</v>
      </c>
      <c r="E32" s="251">
        <v>20.5</v>
      </c>
      <c r="F32" s="252">
        <v>6556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2</v>
      </c>
      <c r="C33" s="249" t="s">
        <v>27</v>
      </c>
      <c r="D33" s="250" t="s">
        <v>65</v>
      </c>
      <c r="E33" s="251">
        <v>20.5</v>
      </c>
      <c r="F33" s="252">
        <v>6557</v>
      </c>
      <c r="G33" s="252">
        <f>IFERROR(INDEX(MRP!$F$3:$F$3,MATCH(Tubex_Dashboard!F33,MRP!$D$3:$D$3,0)),0)</f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2</v>
      </c>
      <c r="C34" s="249" t="s">
        <v>27</v>
      </c>
      <c r="D34" s="250" t="s">
        <v>66</v>
      </c>
      <c r="E34" s="251">
        <v>25</v>
      </c>
      <c r="F34" s="252">
        <v>3447</v>
      </c>
      <c r="G34" s="252"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67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2</v>
      </c>
      <c r="C35" s="249" t="s">
        <v>27</v>
      </c>
      <c r="D35" s="250" t="s">
        <v>68</v>
      </c>
      <c r="E35" s="251">
        <v>25</v>
      </c>
      <c r="F35" s="252">
        <v>3726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2</v>
      </c>
      <c r="C36" s="249" t="s">
        <v>27</v>
      </c>
      <c r="D36" s="250" t="s">
        <v>69</v>
      </c>
      <c r="E36" s="251">
        <v>25</v>
      </c>
      <c r="F36" s="252">
        <v>6470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2</v>
      </c>
      <c r="C37" s="249" t="s">
        <v>27</v>
      </c>
      <c r="D37" s="250" t="s">
        <v>70</v>
      </c>
      <c r="E37" s="251">
        <v>25</v>
      </c>
      <c r="F37" s="252">
        <v>6532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2</v>
      </c>
      <c r="C38" s="249" t="s">
        <v>41</v>
      </c>
      <c r="D38" s="250" t="s">
        <v>71</v>
      </c>
      <c r="E38" s="251">
        <v>25</v>
      </c>
      <c r="F38" s="252">
        <v>6228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2</v>
      </c>
      <c r="C39" s="249" t="s">
        <v>27</v>
      </c>
      <c r="D39" s="250" t="s">
        <v>72</v>
      </c>
      <c r="E39" s="251">
        <v>25</v>
      </c>
      <c r="F39" s="252">
        <v>6506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2</v>
      </c>
      <c r="C40" s="249" t="s">
        <v>27</v>
      </c>
      <c r="D40" s="250" t="s">
        <v>73</v>
      </c>
      <c r="E40" s="251">
        <v>25</v>
      </c>
      <c r="F40" s="252">
        <v>9006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2</v>
      </c>
      <c r="C41" s="249" t="s">
        <v>74</v>
      </c>
      <c r="D41" s="250" t="s">
        <v>75</v>
      </c>
      <c r="E41" s="251">
        <v>25</v>
      </c>
      <c r="F41" s="252">
        <v>6338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2</v>
      </c>
      <c r="C42" s="249" t="s">
        <v>76</v>
      </c>
      <c r="D42" s="250" t="s">
        <v>77</v>
      </c>
      <c r="E42" s="251">
        <v>25</v>
      </c>
      <c r="F42" s="252">
        <v>4227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2</v>
      </c>
      <c r="C43" s="249" t="s">
        <v>41</v>
      </c>
      <c r="D43" s="250" t="s">
        <v>78</v>
      </c>
      <c r="E43" s="251">
        <v>30</v>
      </c>
      <c r="F43" s="252">
        <v>5814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2</v>
      </c>
      <c r="C44" s="249" t="s">
        <v>79</v>
      </c>
      <c r="D44" s="250" t="s">
        <v>80</v>
      </c>
      <c r="E44" s="251">
        <v>30</v>
      </c>
      <c r="F44" s="252">
        <v>6595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2</v>
      </c>
      <c r="C45" s="249" t="s">
        <v>81</v>
      </c>
      <c r="D45" s="250" t="s">
        <v>82</v>
      </c>
      <c r="E45" s="251">
        <v>30</v>
      </c>
      <c r="F45" s="252">
        <v>4050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2</v>
      </c>
      <c r="C46" s="249" t="s">
        <v>81</v>
      </c>
      <c r="D46" s="250" t="s">
        <v>83</v>
      </c>
      <c r="E46" s="251">
        <v>30</v>
      </c>
      <c r="F46" s="252">
        <v>6312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2</v>
      </c>
      <c r="C47" s="249" t="s">
        <v>84</v>
      </c>
      <c r="D47" s="250" t="s">
        <v>85</v>
      </c>
      <c r="E47" s="251">
        <v>30</v>
      </c>
      <c r="F47" s="252">
        <v>6416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2</v>
      </c>
      <c r="C48" s="249" t="s">
        <v>84</v>
      </c>
      <c r="D48" s="250" t="s">
        <v>86</v>
      </c>
      <c r="E48" s="251">
        <v>30</v>
      </c>
      <c r="F48" s="252">
        <v>6337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2</v>
      </c>
      <c r="C49" s="249" t="s">
        <v>41</v>
      </c>
      <c r="D49" s="250" t="s">
        <v>87</v>
      </c>
      <c r="E49" s="251">
        <v>30</v>
      </c>
      <c r="F49" s="252">
        <v>9002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2</v>
      </c>
      <c r="C50" s="249" t="s">
        <v>81</v>
      </c>
      <c r="D50" s="250" t="s">
        <v>88</v>
      </c>
      <c r="E50" s="251">
        <v>30</v>
      </c>
      <c r="F50" s="252">
        <v>2909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2</v>
      </c>
      <c r="C51" s="249" t="s">
        <v>89</v>
      </c>
      <c r="D51" s="250" t="s">
        <v>90</v>
      </c>
      <c r="E51" s="251">
        <v>30</v>
      </c>
      <c r="F51" s="252">
        <v>6151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2</v>
      </c>
      <c r="C52" s="249" t="s">
        <v>91</v>
      </c>
      <c r="D52" s="250" t="s">
        <v>92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2</v>
      </c>
      <c r="C53" s="249" t="s">
        <v>93</v>
      </c>
      <c r="D53" s="250" t="s">
        <v>94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2</v>
      </c>
      <c r="C54" s="249" t="s">
        <v>93</v>
      </c>
      <c r="D54" s="250" t="s">
        <v>95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2</v>
      </c>
      <c r="C55" s="249" t="s">
        <v>93</v>
      </c>
      <c r="D55" s="250" t="s">
        <v>96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2</v>
      </c>
      <c r="C56" s="249" t="s">
        <v>93</v>
      </c>
      <c r="D56" s="250" t="s">
        <v>97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10</v>
      </c>
      <c r="C57" s="249" t="s">
        <v>27</v>
      </c>
      <c r="D57" s="250" t="s">
        <v>98</v>
      </c>
      <c r="E57" s="251" t="s">
        <v>40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10</v>
      </c>
      <c r="C58" s="249" t="s">
        <v>27</v>
      </c>
      <c r="D58" s="250" t="s">
        <v>99</v>
      </c>
      <c r="E58" s="251" t="s">
        <v>40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10</v>
      </c>
      <c r="C59" s="249" t="s">
        <v>41</v>
      </c>
      <c r="D59" s="250" t="s">
        <v>100</v>
      </c>
      <c r="E59" s="251" t="s">
        <v>43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10</v>
      </c>
      <c r="C60" s="249" t="s">
        <v>27</v>
      </c>
      <c r="D60" s="250" t="s">
        <v>101</v>
      </c>
      <c r="E60" s="251" t="s">
        <v>102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10</v>
      </c>
      <c r="C61" s="249" t="s">
        <v>27</v>
      </c>
      <c r="D61" s="250" t="s">
        <v>103</v>
      </c>
      <c r="E61" s="251" t="s">
        <v>102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10</v>
      </c>
      <c r="C62" s="249" t="s">
        <v>27</v>
      </c>
      <c r="D62" s="250" t="s">
        <v>104</v>
      </c>
      <c r="E62" s="251" t="s">
        <v>102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10</v>
      </c>
      <c r="C63" s="249" t="s">
        <v>27</v>
      </c>
      <c r="D63" s="250" t="s">
        <v>105</v>
      </c>
      <c r="E63" s="251" t="s">
        <v>102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10</v>
      </c>
      <c r="C64" s="249" t="s">
        <v>27</v>
      </c>
      <c r="D64" s="250" t="s">
        <v>106</v>
      </c>
      <c r="E64" s="251" t="s">
        <v>102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10</v>
      </c>
      <c r="C65" s="249" t="s">
        <v>41</v>
      </c>
      <c r="D65" s="250" t="s">
        <v>107</v>
      </c>
      <c r="E65" s="251" t="s">
        <v>108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10</v>
      </c>
      <c r="C66" s="249" t="s">
        <v>41</v>
      </c>
      <c r="D66" s="250" t="s">
        <v>109</v>
      </c>
      <c r="E66" s="251" t="s">
        <v>110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65" zoomScaleNormal="100" workbookViewId="0">
      <selection activeCell="A91" sqref="A91:J104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46.1406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111</v>
      </c>
      <c r="B1" s="7"/>
      <c r="C1" s="7"/>
      <c r="D1" s="7"/>
      <c r="E1" s="8"/>
      <c r="F1" s="8"/>
      <c r="G1" s="9" t="s">
        <v>112</v>
      </c>
      <c r="H1" s="129">
        <f ca="1">TODAY()</f>
        <v>46249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18</v>
      </c>
      <c r="B2" s="12" t="s">
        <v>16</v>
      </c>
      <c r="C2" s="13" t="s">
        <v>17</v>
      </c>
      <c r="D2" s="13" t="s">
        <v>113</v>
      </c>
      <c r="E2" s="14" t="s">
        <v>114</v>
      </c>
      <c r="F2" s="14" t="s">
        <v>115</v>
      </c>
      <c r="G2" s="15" t="s">
        <v>116</v>
      </c>
      <c r="H2" s="12" t="s">
        <v>117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30</v>
      </c>
      <c r="C3" s="203" t="s">
        <v>31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152320</v>
      </c>
      <c r="H3" s="205">
        <f>F3-G3</f>
        <v>107458</v>
      </c>
      <c r="I3" s="205"/>
    </row>
    <row r="4" spans="1:19" ht="24" customHeight="1" x14ac:dyDescent="0.25">
      <c r="A4" s="12"/>
      <c r="B4" s="12"/>
      <c r="C4" s="13"/>
      <c r="D4" s="13"/>
      <c r="E4" s="14" t="s">
        <v>118</v>
      </c>
      <c r="F4" s="122">
        <f>SUM(F3:F3)</f>
        <v>259778</v>
      </c>
      <c r="G4" s="122">
        <f>SUM(G3:G3)</f>
        <v>152320</v>
      </c>
      <c r="H4" s="122">
        <f>SUMIF(H3:H3, "&gt;0")</f>
        <v>107458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119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120</v>
      </c>
      <c r="B6" s="12" t="s">
        <v>7</v>
      </c>
      <c r="C6" s="12" t="s">
        <v>121</v>
      </c>
      <c r="D6" s="12" t="s">
        <v>122</v>
      </c>
      <c r="E6" s="14" t="s">
        <v>115</v>
      </c>
      <c r="F6" s="14" t="s">
        <v>123</v>
      </c>
      <c r="G6" s="15" t="s">
        <v>124</v>
      </c>
      <c r="H6" s="197" t="s">
        <v>125</v>
      </c>
      <c r="I6" s="12" t="s">
        <v>126</v>
      </c>
      <c r="J6" s="229" t="s">
        <v>127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128</v>
      </c>
      <c r="C7" s="198" t="s">
        <v>129</v>
      </c>
      <c r="D7" s="198" t="s">
        <v>130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128</v>
      </c>
      <c r="C8" s="198" t="s">
        <v>131</v>
      </c>
      <c r="D8" s="198" t="s">
        <v>130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128</v>
      </c>
      <c r="C9" s="198" t="s">
        <v>132</v>
      </c>
      <c r="D9" s="198" t="s">
        <v>130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128</v>
      </c>
      <c r="C10" s="198" t="s">
        <v>133</v>
      </c>
      <c r="D10" s="198" t="s">
        <v>130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128</v>
      </c>
      <c r="C11" s="198" t="s">
        <v>134</v>
      </c>
      <c r="D11" s="198" t="s">
        <v>130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128</v>
      </c>
      <c r="C12" s="198" t="s">
        <v>135</v>
      </c>
      <c r="D12" s="198" t="s">
        <v>130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128</v>
      </c>
      <c r="C13" s="198" t="s">
        <v>136</v>
      </c>
      <c r="D13" s="198" t="s">
        <v>130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128</v>
      </c>
      <c r="C14" s="198" t="s">
        <v>137</v>
      </c>
      <c r="D14" s="198" t="s">
        <v>130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128</v>
      </c>
      <c r="C15" s="198" t="s">
        <v>138</v>
      </c>
      <c r="D15" s="198" t="s">
        <v>130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128</v>
      </c>
      <c r="C16" s="198" t="s">
        <v>139</v>
      </c>
      <c r="D16" s="198" t="s">
        <v>130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128</v>
      </c>
      <c r="C17" s="198" t="s">
        <v>140</v>
      </c>
      <c r="D17" s="198" t="s">
        <v>130</v>
      </c>
      <c r="E17" s="199">
        <f>SUMPRODUCT((TableBOM[Item ID]=A17)*TableBOM[Per 1000 Units]*(1+TableBOM[Scrap %])*SUMIF($D$3:$D$3,TableBOM[Product ID],$H$3:$H$3)/1000)</f>
        <v>945.63040000000001</v>
      </c>
      <c r="F17" s="200">
        <f>IFERROR(INDEX(TableInventory[Store Balance],MATCH(A17,TableInventory[Item ID],0)),0)+IFERROR(INDEX(TableInventory[Work In Process],MATCH(A17,TableInventory[Item ID],0)),0)</f>
        <v>60</v>
      </c>
      <c r="G17" s="199">
        <f t="shared" si="0"/>
        <v>-885.63040000000001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7500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128</v>
      </c>
      <c r="C18" s="198" t="s">
        <v>141</v>
      </c>
      <c r="D18" s="198" t="s">
        <v>130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128</v>
      </c>
      <c r="C19" s="198" t="s">
        <v>142</v>
      </c>
      <c r="D19" s="198" t="s">
        <v>130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128</v>
      </c>
      <c r="C20" s="198" t="s">
        <v>143</v>
      </c>
      <c r="D20" s="198" t="s">
        <v>130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144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145</v>
      </c>
      <c r="C21" s="198" t="s">
        <v>146</v>
      </c>
      <c r="D21" s="198" t="s">
        <v>130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145</v>
      </c>
      <c r="C22" s="198" t="s">
        <v>147</v>
      </c>
      <c r="D22" s="198" t="s">
        <v>148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75</v>
      </c>
      <c r="G22" s="199">
        <f t="shared" si="0"/>
        <v>75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145</v>
      </c>
      <c r="C23" s="198" t="s">
        <v>149</v>
      </c>
      <c r="D23" s="198" t="s">
        <v>130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145</v>
      </c>
      <c r="C24" s="198" t="s">
        <v>150</v>
      </c>
      <c r="D24" s="198" t="s">
        <v>130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145</v>
      </c>
      <c r="C25" s="198" t="s">
        <v>151</v>
      </c>
      <c r="D25" s="198" t="s">
        <v>130</v>
      </c>
      <c r="E25" s="199">
        <f>SUMPRODUCT((TableBOM[Item ID]=A25)*TableBOM[Per 1000 Units]*(1+TableBOM[Scrap %])*SUMIF($D$3:$D$3,TableBOM[Product ID],$H$3:$H$3)/1000)</f>
        <v>33.097064000000003</v>
      </c>
      <c r="F25" s="199">
        <f>IFERROR(INDEX(TableInventory[Store Balance],MATCH(A25,TableInventory[Item ID],0)),0)+IFERROR(INDEX(TableInventory[Work In Process],MATCH(A25,TableInventory[Item ID],0)),0)</f>
        <v>150</v>
      </c>
      <c r="G25" s="199">
        <f t="shared" si="0"/>
        <v>116.902936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535714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152</v>
      </c>
      <c r="C26" s="198" t="s">
        <v>153</v>
      </c>
      <c r="D26" s="198" t="s">
        <v>130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152</v>
      </c>
      <c r="C27" s="198" t="s">
        <v>154</v>
      </c>
      <c r="D27" s="198" t="s">
        <v>130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152</v>
      </c>
      <c r="C28" s="198" t="s">
        <v>155</v>
      </c>
      <c r="D28" s="198" t="s">
        <v>130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152</v>
      </c>
      <c r="C29" s="198" t="s">
        <v>156</v>
      </c>
      <c r="D29" s="198" t="s">
        <v>130</v>
      </c>
      <c r="E29" s="199">
        <f>SUMPRODUCT((TableBOM[Item ID]=A29)*TableBOM[Per 1000 Units]*(1+TableBOM[Scrap %])*SUMIF($D$3:$D$3,TableBOM[Product ID],$H$3:$H$3)/1000)</f>
        <v>79.196546000000012</v>
      </c>
      <c r="F29" s="199">
        <f>IFERROR(INDEX(TableInventory[Store Balance],MATCH(A29,TableInventory[Item ID],0)),0)+IFERROR(INDEX(TableInventory[Work In Process],MATCH(A29,TableInventory[Item ID],0)),0)</f>
        <v>210</v>
      </c>
      <c r="G29" s="199">
        <f t="shared" si="0"/>
        <v>130.80345399999999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313433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152</v>
      </c>
      <c r="C30" s="198" t="s">
        <v>157</v>
      </c>
      <c r="D30" s="198" t="s">
        <v>130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152</v>
      </c>
      <c r="C31" s="198" t="s">
        <v>158</v>
      </c>
      <c r="D31" s="198" t="s">
        <v>130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152</v>
      </c>
      <c r="C32" s="198" t="s">
        <v>159</v>
      </c>
      <c r="D32" s="198" t="s">
        <v>130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152</v>
      </c>
      <c r="C33" s="198" t="s">
        <v>160</v>
      </c>
      <c r="D33" s="198" t="s">
        <v>130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152</v>
      </c>
      <c r="C34" s="198" t="s">
        <v>161</v>
      </c>
      <c r="D34" s="198" t="s">
        <v>148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152</v>
      </c>
      <c r="C35" s="198" t="s">
        <v>162</v>
      </c>
      <c r="D35" s="198" t="s">
        <v>130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152</v>
      </c>
      <c r="C36" s="198" t="s">
        <v>163</v>
      </c>
      <c r="D36" s="198" t="s">
        <v>130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164</v>
      </c>
      <c r="C37" s="198" t="s">
        <v>165</v>
      </c>
      <c r="D37" s="198" t="s">
        <v>130</v>
      </c>
      <c r="E37" s="199">
        <f>SUMPRODUCT((TableBOM[Item ID]=A37)*TableBOM[Per 1000 Units]*(1+TableBOM[Scrap %])*SUMIF($D$3:$D$3,TableBOM[Product ID],$H$3:$H$3)/1000)</f>
        <v>33.097064000000003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11.902935999999997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OK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166</v>
      </c>
      <c r="C38" s="198" t="s">
        <v>167</v>
      </c>
      <c r="D38" s="198" t="s">
        <v>168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169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166</v>
      </c>
      <c r="C39" s="198" t="s">
        <v>170</v>
      </c>
      <c r="D39" s="198" t="s">
        <v>168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166</v>
      </c>
      <c r="C40" s="198" t="s">
        <v>171</v>
      </c>
      <c r="D40" s="198" t="s">
        <v>168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166</v>
      </c>
      <c r="C41" s="198" t="s">
        <v>172</v>
      </c>
      <c r="D41" s="198" t="s">
        <v>168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166</v>
      </c>
      <c r="C42" s="198" t="s">
        <v>173</v>
      </c>
      <c r="D42" s="198" t="s">
        <v>168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166</v>
      </c>
      <c r="C43" s="198" t="s">
        <v>174</v>
      </c>
      <c r="D43" s="198" t="s">
        <v>168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166</v>
      </c>
      <c r="C44" s="198" t="s">
        <v>175</v>
      </c>
      <c r="D44" s="198" t="s">
        <v>168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166</v>
      </c>
      <c r="C45" s="198" t="s">
        <v>176</v>
      </c>
      <c r="D45" s="198" t="s">
        <v>168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166</v>
      </c>
      <c r="C46" s="198" t="s">
        <v>177</v>
      </c>
      <c r="D46" s="198" t="s">
        <v>168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166</v>
      </c>
      <c r="C47" s="198" t="s">
        <v>178</v>
      </c>
      <c r="D47" s="198" t="s">
        <v>168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166</v>
      </c>
      <c r="C48" s="198" t="s">
        <v>179</v>
      </c>
      <c r="D48" s="198" t="s">
        <v>168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166</v>
      </c>
      <c r="C49" s="198" t="s">
        <v>180</v>
      </c>
      <c r="D49" s="198" t="s">
        <v>168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166</v>
      </c>
      <c r="C50" s="198" t="s">
        <v>181</v>
      </c>
      <c r="D50" s="198" t="s">
        <v>168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166</v>
      </c>
      <c r="C51" s="198" t="s">
        <v>182</v>
      </c>
      <c r="D51" s="198" t="s">
        <v>168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166</v>
      </c>
      <c r="C52" s="198" t="s">
        <v>183</v>
      </c>
      <c r="D52" s="198" t="s">
        <v>168</v>
      </c>
      <c r="E52" s="199">
        <f>SUMPRODUCT((TableBOM[Item ID]=A52)*TableBOM[Per 1000 Units]*(1+TableBOM[Scrap %])*SUMIF($D$3:$D$3,TableBOM[Product ID],$H$3:$H$3)/1000)</f>
        <v>109607.16</v>
      </c>
      <c r="F52" s="199">
        <f>IFERROR(INDEX(TableInventory[Store Balance],MATCH(A52,TableInventory[Item ID],0)),0)+IFERROR(INDEX(TableInventory[Work In Process],MATCH(A52,TableInventory[Item ID],0)),0)</f>
        <v>0</v>
      </c>
      <c r="G52" s="199">
        <f t="shared" si="3"/>
        <v>-109607.16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166</v>
      </c>
      <c r="C53" s="198" t="s">
        <v>184</v>
      </c>
      <c r="D53" s="198" t="s">
        <v>168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166</v>
      </c>
      <c r="C54" s="198" t="s">
        <v>185</v>
      </c>
      <c r="D54" s="198" t="s">
        <v>168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166</v>
      </c>
      <c r="C55" s="198" t="s">
        <v>186</v>
      </c>
      <c r="D55" s="198" t="s">
        <v>168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166</v>
      </c>
      <c r="C56" s="198" t="s">
        <v>187</v>
      </c>
      <c r="D56" s="198" t="s">
        <v>168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166</v>
      </c>
      <c r="C57" s="198" t="s">
        <v>188</v>
      </c>
      <c r="D57" s="198" t="s">
        <v>168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166</v>
      </c>
      <c r="C58" s="198" t="s">
        <v>189</v>
      </c>
      <c r="D58" s="198" t="s">
        <v>168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166</v>
      </c>
      <c r="C59" s="198" t="s">
        <v>190</v>
      </c>
      <c r="D59" s="198" t="s">
        <v>168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191</v>
      </c>
      <c r="C60" s="198" t="s">
        <v>192</v>
      </c>
      <c r="D60" s="198" t="s">
        <v>168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191</v>
      </c>
      <c r="C61" s="198" t="s">
        <v>193</v>
      </c>
      <c r="D61" s="198" t="s">
        <v>168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169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191</v>
      </c>
      <c r="C62" s="198" t="s">
        <v>194</v>
      </c>
      <c r="D62" s="198" t="s">
        <v>168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169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191</v>
      </c>
      <c r="C63" s="198" t="s">
        <v>195</v>
      </c>
      <c r="D63" s="198" t="s">
        <v>168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191</v>
      </c>
      <c r="C64" s="198" t="s">
        <v>196</v>
      </c>
      <c r="D64" s="198" t="s">
        <v>168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191</v>
      </c>
      <c r="C65" s="198" t="s">
        <v>197</v>
      </c>
      <c r="D65" s="198" t="s">
        <v>168</v>
      </c>
      <c r="E65" s="199">
        <f>SUMPRODUCT((TableBOM[Item ID]=A65)*TableBOM[Per 1000 Units]*(1+TableBOM[Scrap %])*SUMIF($D$3:$D$3,TableBOM[Product ID],$H$3:$H$3)/1000)</f>
        <v>496.64508608000006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-303.64508608000006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191</v>
      </c>
      <c r="C66" s="198" t="s">
        <v>198</v>
      </c>
      <c r="D66" s="198" t="s">
        <v>168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191</v>
      </c>
      <c r="C67" s="198" t="s">
        <v>199</v>
      </c>
      <c r="D67" s="198" t="s">
        <v>168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191</v>
      </c>
      <c r="C68" s="198" t="s">
        <v>200</v>
      </c>
      <c r="D68" s="198" t="s">
        <v>168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201</v>
      </c>
      <c r="C69" s="198" t="s">
        <v>202</v>
      </c>
      <c r="D69" s="198" t="s">
        <v>130</v>
      </c>
      <c r="E69" s="199">
        <f>SUMPRODUCT((TableBOM[Item ID]=A69)*TableBOM[Per 1000 Units]*(1+TableBOM[Scrap %])*SUMIF($D$3:$D$3,TableBOM[Product ID],$H$3:$H$3)/1000)</f>
        <v>0.98345561600000009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39.016544383999999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201</v>
      </c>
      <c r="C70" s="198" t="s">
        <v>203</v>
      </c>
      <c r="D70" s="198" t="s">
        <v>130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204</v>
      </c>
      <c r="C71" s="198" t="s">
        <v>205</v>
      </c>
      <c r="D71" s="198" t="s">
        <v>168</v>
      </c>
      <c r="E71" s="199">
        <f>SUMPRODUCT((TableBOM[Item ID]=A71)*TableBOM[Per 1000 Units]*(1+TableBOM[Scrap %])*SUMIF($D$3:$D$3,TableBOM[Product ID],$H$3:$H$3)/1000)</f>
        <v>18.439792799999999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102" si="6">F71-E71</f>
        <v>408.56020719999998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206</v>
      </c>
      <c r="C72" s="198" t="s">
        <v>207</v>
      </c>
      <c r="D72" s="198" t="s">
        <v>148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225</v>
      </c>
      <c r="G72" s="199">
        <f t="shared" si="6"/>
        <v>225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206</v>
      </c>
      <c r="C73" s="198" t="s">
        <v>208</v>
      </c>
      <c r="D73" s="198" t="s">
        <v>148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209</v>
      </c>
      <c r="C74" s="198" t="s">
        <v>210</v>
      </c>
      <c r="D74" s="198" t="s">
        <v>130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211</v>
      </c>
      <c r="C75" s="198" t="s">
        <v>212</v>
      </c>
      <c r="D75" s="198" t="s">
        <v>130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211</v>
      </c>
      <c r="C76" s="198" t="s">
        <v>213</v>
      </c>
      <c r="D76" s="198" t="s">
        <v>130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211</v>
      </c>
      <c r="C77" s="198" t="s">
        <v>213</v>
      </c>
      <c r="D77" s="198" t="s">
        <v>130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211</v>
      </c>
      <c r="C78" s="198" t="s">
        <v>214</v>
      </c>
      <c r="D78" s="198" t="s">
        <v>130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211</v>
      </c>
      <c r="C79" s="198" t="s">
        <v>215</v>
      </c>
      <c r="D79" s="198" t="s">
        <v>130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211</v>
      </c>
      <c r="C80" s="198" t="s">
        <v>216</v>
      </c>
      <c r="D80" s="198" t="s">
        <v>130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211</v>
      </c>
      <c r="C81" s="198" t="s">
        <v>217</v>
      </c>
      <c r="D81" s="198" t="s">
        <v>130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211</v>
      </c>
      <c r="C82" s="198" t="s">
        <v>218</v>
      </c>
      <c r="D82" s="198" t="s">
        <v>130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211</v>
      </c>
      <c r="C83" s="198" t="s">
        <v>219</v>
      </c>
      <c r="D83" s="198" t="s">
        <v>130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220</v>
      </c>
      <c r="C84" s="198" t="s">
        <v>221</v>
      </c>
      <c r="D84" s="198" t="s">
        <v>130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220</v>
      </c>
      <c r="C85" s="198" t="s">
        <v>222</v>
      </c>
      <c r="D85" s="198" t="s">
        <v>130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220</v>
      </c>
      <c r="C86" s="198" t="s">
        <v>223</v>
      </c>
      <c r="D86" s="198" t="s">
        <v>130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224</v>
      </c>
      <c r="C87" s="198" t="s">
        <v>225</v>
      </c>
      <c r="D87" s="198" t="s">
        <v>168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226</v>
      </c>
      <c r="C88" s="198" t="s">
        <v>227</v>
      </c>
      <c r="D88" s="198" t="s">
        <v>228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229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113</v>
      </c>
      <c r="E92" s="14" t="s">
        <v>114</v>
      </c>
      <c r="F92" s="14" t="s">
        <v>115</v>
      </c>
      <c r="G92" s="15" t="s">
        <v>116</v>
      </c>
      <c r="H92" s="12" t="s">
        <v>117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08" t="s">
        <v>40</v>
      </c>
      <c r="B93" s="208" t="s">
        <v>27</v>
      </c>
      <c r="C93" s="209" t="s">
        <v>39</v>
      </c>
      <c r="D93" s="26">
        <v>8005</v>
      </c>
      <c r="E93" s="216" t="s">
        <v>230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210" t="s">
        <v>43</v>
      </c>
      <c r="B94" s="210" t="s">
        <v>41</v>
      </c>
      <c r="C94" s="211" t="s">
        <v>42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212" t="s">
        <v>46</v>
      </c>
      <c r="B95" s="212" t="s">
        <v>44</v>
      </c>
      <c r="C95" s="213" t="s">
        <v>49</v>
      </c>
      <c r="D95" s="175">
        <v>8001</v>
      </c>
      <c r="E95" s="220" t="s">
        <v>231</v>
      </c>
      <c r="F95" s="220">
        <f>100000+116667-15410+500000</f>
        <v>701257</v>
      </c>
      <c r="G95" s="220">
        <f>INDEX(Tubex_Dashboard!$H$11:$H$100,MATCH(MRP!D95,Tubex_Dashboard!$F$11:$F$100,0))</f>
        <v>60375</v>
      </c>
      <c r="H95" s="221">
        <f>F95-G95</f>
        <v>640882</v>
      </c>
      <c r="I95" s="192"/>
    </row>
    <row r="96" spans="1:19" ht="24" customHeight="1" x14ac:dyDescent="0.25">
      <c r="A96" s="214" t="s">
        <v>46</v>
      </c>
      <c r="B96" s="214" t="s">
        <v>48</v>
      </c>
      <c r="C96" s="215" t="s">
        <v>49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118</v>
      </c>
      <c r="F97" s="122">
        <f>SUM(F93:F96)</f>
        <v>767377</v>
      </c>
      <c r="G97" s="122">
        <f>SUM(G93:G96)</f>
        <v>60375</v>
      </c>
      <c r="H97" s="122">
        <f>SUM(H93:H96)</f>
        <v>707002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232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120</v>
      </c>
      <c r="B99" s="30" t="s">
        <v>7</v>
      </c>
      <c r="C99" s="31" t="s">
        <v>121</v>
      </c>
      <c r="D99" s="30" t="s">
        <v>122</v>
      </c>
      <c r="E99" s="32" t="s">
        <v>115</v>
      </c>
      <c r="F99" s="15" t="s">
        <v>123</v>
      </c>
      <c r="G99" s="15" t="s">
        <v>124</v>
      </c>
      <c r="H99" s="197" t="s">
        <v>125</v>
      </c>
      <c r="I99" s="33" t="s">
        <v>126</v>
      </c>
      <c r="J99" s="227" t="s">
        <v>127</v>
      </c>
    </row>
    <row r="100" spans="1:18" ht="19.5" customHeight="1" x14ac:dyDescent="0.25">
      <c r="A100" s="16">
        <v>2680</v>
      </c>
      <c r="B100" s="198" t="s">
        <v>209</v>
      </c>
      <c r="C100" s="206" t="s">
        <v>210</v>
      </c>
      <c r="D100" s="16" t="s">
        <v>130</v>
      </c>
      <c r="E100" s="200">
        <f>SUMPRODUCT((TableBOM[Item ID]=A100)*TableBOM[Per 1000 Units]*(1+TableBOM[Scrap %])*SUMIF($D$93:$D$96,TableBOM[Product ID],$H$93:$H$96)/1000)</f>
        <v>17593.228999999996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-16093.228999999996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69321</v>
      </c>
      <c r="I100" s="207" t="str">
        <f t="shared" ref="I100:I106" si="8">IF(E100=0,"Not needed",IF(G100&lt;0,"SHORTAGE",IF(G100&lt;F100*0.1,"LOW","OK")))</f>
        <v>SHORTAGE</v>
      </c>
      <c r="J100" s="228" t="s">
        <v>233</v>
      </c>
    </row>
    <row r="101" spans="1:18" ht="19.5" customHeight="1" x14ac:dyDescent="0.25">
      <c r="A101" s="16">
        <v>4002</v>
      </c>
      <c r="B101" s="198" t="s">
        <v>211</v>
      </c>
      <c r="C101" s="206" t="s">
        <v>213</v>
      </c>
      <c r="D101" s="16" t="s">
        <v>130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234</v>
      </c>
    </row>
    <row r="102" spans="1:18" ht="19.5" customHeight="1" x14ac:dyDescent="0.25">
      <c r="A102" s="16">
        <v>5816</v>
      </c>
      <c r="B102" s="198" t="s">
        <v>211</v>
      </c>
      <c r="C102" s="206" t="s">
        <v>216</v>
      </c>
      <c r="D102" s="16" t="s">
        <v>130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235</v>
      </c>
    </row>
    <row r="103" spans="1:18" ht="19.5" customHeight="1" x14ac:dyDescent="0.25">
      <c r="A103" s="16">
        <v>5977</v>
      </c>
      <c r="B103" s="198" t="s">
        <v>236</v>
      </c>
      <c r="C103" s="206" t="s">
        <v>200</v>
      </c>
      <c r="D103" s="16" t="s">
        <v>168</v>
      </c>
      <c r="E103" s="200">
        <f>SUMPRODUCT((TableBOM[Item ID]=A103)*TableBOM[Per 1000 Units]*(1+TableBOM[Scrap %])*SUMIF($D$93:$D$96,TableBOM[Product ID],$H$93:$H$96)/1000)</f>
        <v>847.34099209999999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-847.34099209999999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237</v>
      </c>
    </row>
    <row r="104" spans="1:18" ht="15" customHeight="1" x14ac:dyDescent="0.25">
      <c r="A104" s="16">
        <v>2267</v>
      </c>
      <c r="B104" s="198" t="s">
        <v>238</v>
      </c>
      <c r="C104" s="206" t="s">
        <v>225</v>
      </c>
      <c r="D104" s="16" t="s">
        <v>168</v>
      </c>
      <c r="E104" s="200">
        <f>SUMPRODUCT((TableBOM[Item ID]=A104)*TableBOM[Per 1000 Units]*(1+TableBOM[Scrap %])*SUMIF($D$93:$D$96,TableBOM[Product ID],$H$93:$H$96)/1000)</f>
        <v>7077.2843587999996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-6895.2843587999996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233</v>
      </c>
    </row>
    <row r="105" spans="1:18" hidden="1" x14ac:dyDescent="0.25">
      <c r="A105" s="16">
        <v>3006</v>
      </c>
      <c r="B105" s="16" t="s">
        <v>238</v>
      </c>
      <c r="C105" s="34" t="s">
        <v>239</v>
      </c>
      <c r="D105" s="16" t="s">
        <v>168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226</v>
      </c>
      <c r="C106" s="206" t="s">
        <v>227</v>
      </c>
      <c r="D106" s="16" t="s">
        <v>228</v>
      </c>
      <c r="E106" s="200">
        <f>SUMPRODUCT((TableBOM[Item ID]=A106)*TableBOM[Per 1000 Units]*(1+TableBOM[Scrap %])*SUMIF($D$93:$D$96,TableBOM[Product ID],$H$93:$H$96)/1000)</f>
        <v>4.0652615000000001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-4.0652615000000001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233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42" zoomScaleNormal="100" workbookViewId="0">
      <selection activeCell="J68" sqref="J68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241</v>
      </c>
      <c r="B2" s="66" t="s">
        <v>242</v>
      </c>
      <c r="C2" s="67" t="s">
        <v>16</v>
      </c>
      <c r="D2" s="67" t="s">
        <v>17</v>
      </c>
      <c r="E2" s="66" t="s">
        <v>243</v>
      </c>
      <c r="F2" s="68" t="s">
        <v>113</v>
      </c>
      <c r="G2" s="69" t="s">
        <v>244</v>
      </c>
      <c r="H2" s="69" t="s">
        <v>245</v>
      </c>
      <c r="I2" s="69" t="s">
        <v>246</v>
      </c>
      <c r="J2" s="70" t="s">
        <v>247</v>
      </c>
      <c r="K2" s="66" t="s">
        <v>248</v>
      </c>
      <c r="L2" s="66" t="s">
        <v>249</v>
      </c>
      <c r="M2" s="66" t="s">
        <v>250</v>
      </c>
      <c r="N2" s="66" t="s">
        <v>251</v>
      </c>
      <c r="O2" s="66" t="s">
        <v>252</v>
      </c>
      <c r="P2" s="66" t="s">
        <v>253</v>
      </c>
      <c r="Q2" s="66" t="s">
        <v>254</v>
      </c>
      <c r="R2" s="66" t="s">
        <v>255</v>
      </c>
    </row>
    <row r="3" spans="1:19" ht="15" customHeight="1" x14ac:dyDescent="0.25">
      <c r="A3" s="231">
        <v>46235</v>
      </c>
      <c r="B3" s="232" t="s">
        <v>256</v>
      </c>
      <c r="C3" s="232" t="s">
        <v>30</v>
      </c>
      <c r="D3" s="232" t="s">
        <v>31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4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257</v>
      </c>
      <c r="C4" s="232" t="s">
        <v>30</v>
      </c>
      <c r="D4" s="232" t="s">
        <v>31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258</v>
      </c>
      <c r="C5" s="232" t="s">
        <v>44</v>
      </c>
      <c r="D5" s="232" t="s">
        <v>45</v>
      </c>
      <c r="E5" s="232" t="s">
        <v>46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259</v>
      </c>
      <c r="C6" s="232" t="s">
        <v>30</v>
      </c>
      <c r="D6" s="232" t="s">
        <v>31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260</v>
      </c>
      <c r="C7" s="232" t="s">
        <v>30</v>
      </c>
      <c r="D7" s="232" t="s">
        <v>31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256</v>
      </c>
      <c r="C8" s="232" t="s">
        <v>30</v>
      </c>
      <c r="D8" s="232" t="s">
        <v>31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261</v>
      </c>
      <c r="C9" s="232" t="s">
        <v>27</v>
      </c>
      <c r="D9" s="232" t="s">
        <v>28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257</v>
      </c>
      <c r="C10" s="232" t="s">
        <v>30</v>
      </c>
      <c r="D10" s="232" t="s">
        <v>31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258</v>
      </c>
      <c r="C11" s="232" t="s">
        <v>44</v>
      </c>
      <c r="D11" s="232" t="s">
        <v>45</v>
      </c>
      <c r="E11" s="232" t="s">
        <v>46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259</v>
      </c>
      <c r="C12" s="232" t="s">
        <v>30</v>
      </c>
      <c r="D12" s="232" t="s">
        <v>31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262</v>
      </c>
      <c r="C13" s="232" t="s">
        <v>27</v>
      </c>
      <c r="D13" s="232" t="s">
        <v>28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263</v>
      </c>
      <c r="C14" s="232" t="s">
        <v>27</v>
      </c>
      <c r="D14" s="232" t="s">
        <v>28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260</v>
      </c>
      <c r="C15" s="232" t="s">
        <v>30</v>
      </c>
      <c r="D15" s="232" t="s">
        <v>31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256</v>
      </c>
      <c r="C16" s="232" t="s">
        <v>30</v>
      </c>
      <c r="D16" s="232" t="s">
        <v>31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261</v>
      </c>
      <c r="C17" s="232" t="s">
        <v>27</v>
      </c>
      <c r="D17" s="232" t="s">
        <v>28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257</v>
      </c>
      <c r="C18" s="232" t="s">
        <v>30</v>
      </c>
      <c r="D18" s="232" t="s">
        <v>31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257</v>
      </c>
      <c r="C19" s="232" t="s">
        <v>93</v>
      </c>
      <c r="D19" s="232" t="s">
        <v>94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258</v>
      </c>
      <c r="C20" s="232" t="s">
        <v>44</v>
      </c>
      <c r="D20" s="232" t="s">
        <v>45</v>
      </c>
      <c r="E20" s="232" t="s">
        <v>46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262</v>
      </c>
      <c r="C21" s="232" t="s">
        <v>27</v>
      </c>
      <c r="D21" s="232" t="s">
        <v>28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263</v>
      </c>
      <c r="C22" s="232" t="s">
        <v>27</v>
      </c>
      <c r="D22" s="232" t="s">
        <v>28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260</v>
      </c>
      <c r="C23" s="232" t="s">
        <v>30</v>
      </c>
      <c r="D23" s="232" t="s">
        <v>31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256</v>
      </c>
      <c r="C24" s="232" t="s">
        <v>30</v>
      </c>
      <c r="D24" s="232" t="s">
        <v>31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261</v>
      </c>
      <c r="C25" s="232" t="s">
        <v>27</v>
      </c>
      <c r="D25" s="232" t="s">
        <v>28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258</v>
      </c>
      <c r="C26" s="232" t="s">
        <v>44</v>
      </c>
      <c r="D26" s="232" t="s">
        <v>45</v>
      </c>
      <c r="E26" s="232" t="s">
        <v>46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259</v>
      </c>
      <c r="C27" s="232" t="s">
        <v>30</v>
      </c>
      <c r="D27" s="232" t="s">
        <v>31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262</v>
      </c>
      <c r="C28" s="232" t="s">
        <v>27</v>
      </c>
      <c r="D28" s="232" t="s">
        <v>28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263</v>
      </c>
      <c r="C29" s="232" t="s">
        <v>27</v>
      </c>
      <c r="D29" s="232" t="s">
        <v>28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256</v>
      </c>
      <c r="C30" s="232" t="s">
        <v>30</v>
      </c>
      <c r="D30" s="232" t="s">
        <v>31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257</v>
      </c>
      <c r="C31" s="232" t="s">
        <v>30</v>
      </c>
      <c r="D31" s="232" t="s">
        <v>31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258</v>
      </c>
      <c r="C32" s="232" t="s">
        <v>44</v>
      </c>
      <c r="D32" s="232" t="s">
        <v>45</v>
      </c>
      <c r="E32" s="232" t="s">
        <v>46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259</v>
      </c>
      <c r="C33" s="232" t="s">
        <v>30</v>
      </c>
      <c r="D33" s="232" t="s">
        <v>31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262</v>
      </c>
      <c r="C34" s="232" t="s">
        <v>27</v>
      </c>
      <c r="D34" s="232" t="s">
        <v>28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260</v>
      </c>
      <c r="C35" s="232" t="s">
        <v>30</v>
      </c>
      <c r="D35" s="232" t="s">
        <v>31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ref="J35:J66" si="1">IFERROR(I35/(H35+I35),"")</f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256</v>
      </c>
      <c r="C36" s="232" t="s">
        <v>30</v>
      </c>
      <c r="D36" s="232" t="s">
        <v>31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1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257</v>
      </c>
      <c r="C37" s="232" t="s">
        <v>30</v>
      </c>
      <c r="D37" s="232" t="s">
        <v>31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1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258</v>
      </c>
      <c r="C38" s="232" t="s">
        <v>44</v>
      </c>
      <c r="D38" s="232" t="s">
        <v>45</v>
      </c>
      <c r="E38" s="232" t="s">
        <v>46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1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259</v>
      </c>
      <c r="C39" s="232" t="s">
        <v>30</v>
      </c>
      <c r="D39" s="232" t="s">
        <v>31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1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260</v>
      </c>
      <c r="C40" s="232" t="s">
        <v>30</v>
      </c>
      <c r="D40" s="232" t="s">
        <v>31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1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256</v>
      </c>
      <c r="C41" s="232" t="s">
        <v>30</v>
      </c>
      <c r="D41" s="232" t="s">
        <v>31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1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261</v>
      </c>
      <c r="C42" s="232" t="s">
        <v>27</v>
      </c>
      <c r="D42" s="232" t="s">
        <v>28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1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257</v>
      </c>
      <c r="C43" s="232" t="s">
        <v>30</v>
      </c>
      <c r="D43" s="232" t="s">
        <v>31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1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258</v>
      </c>
      <c r="C44" s="232" t="s">
        <v>44</v>
      </c>
      <c r="D44" s="232" t="s">
        <v>45</v>
      </c>
      <c r="E44" s="232" t="s">
        <v>46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1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259</v>
      </c>
      <c r="C45" s="232" t="s">
        <v>30</v>
      </c>
      <c r="D45" s="232" t="s">
        <v>31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1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262</v>
      </c>
      <c r="C46" s="232" t="s">
        <v>27</v>
      </c>
      <c r="D46" s="232" t="s">
        <v>28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1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263</v>
      </c>
      <c r="C47" s="232" t="s">
        <v>27</v>
      </c>
      <c r="D47" s="232" t="s">
        <v>28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1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260</v>
      </c>
      <c r="C48" s="232" t="s">
        <v>30</v>
      </c>
      <c r="D48" s="232" t="s">
        <v>31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1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231">
        <v>46244</v>
      </c>
      <c r="B49" s="232" t="s">
        <v>261</v>
      </c>
      <c r="C49" s="232" t="s">
        <v>27</v>
      </c>
      <c r="D49" s="232" t="s">
        <v>28</v>
      </c>
      <c r="E49" s="232">
        <v>25</v>
      </c>
      <c r="F49" s="232">
        <v>5389</v>
      </c>
      <c r="G49" s="233">
        <v>18000</v>
      </c>
      <c r="H49" s="233">
        <v>17720</v>
      </c>
      <c r="I49" s="233">
        <v>280</v>
      </c>
      <c r="J49" s="234">
        <f t="shared" si="1"/>
        <v>1.5555555555555555E-2</v>
      </c>
      <c r="K49" s="232"/>
      <c r="L49" s="232"/>
      <c r="M49" s="232">
        <v>60</v>
      </c>
      <c r="N49" s="232"/>
      <c r="O49" s="232"/>
      <c r="P49" s="232"/>
      <c r="Q49" s="232"/>
      <c r="R49" s="232"/>
      <c r="S49" s="232"/>
    </row>
    <row r="50" spans="1:19" ht="15" customHeight="1" x14ac:dyDescent="0.25">
      <c r="A50" s="231">
        <v>46244</v>
      </c>
      <c r="B50" s="232" t="s">
        <v>258</v>
      </c>
      <c r="C50" s="232" t="s">
        <v>44</v>
      </c>
      <c r="D50" s="232" t="s">
        <v>45</v>
      </c>
      <c r="E50" s="232" t="s">
        <v>46</v>
      </c>
      <c r="F50" s="232">
        <v>8001</v>
      </c>
      <c r="G50" s="233">
        <v>0</v>
      </c>
      <c r="H50" s="233">
        <v>0</v>
      </c>
      <c r="I50" s="233">
        <v>0</v>
      </c>
      <c r="J50" s="234" t="str">
        <f t="shared" si="1"/>
        <v/>
      </c>
      <c r="K50" s="232">
        <v>960</v>
      </c>
      <c r="L50" s="232"/>
      <c r="M50" s="232"/>
      <c r="N50" s="232"/>
      <c r="O50" s="232"/>
      <c r="P50" s="232"/>
      <c r="Q50" s="232"/>
      <c r="R50" s="232"/>
      <c r="S50" s="232"/>
    </row>
    <row r="51" spans="1:19" ht="15" customHeight="1" x14ac:dyDescent="0.25">
      <c r="A51" s="231">
        <v>46244</v>
      </c>
      <c r="B51" s="232" t="s">
        <v>259</v>
      </c>
      <c r="C51" s="232" t="s">
        <v>30</v>
      </c>
      <c r="D51" s="232" t="s">
        <v>31</v>
      </c>
      <c r="E51" s="232">
        <v>30</v>
      </c>
      <c r="F51" s="232">
        <v>6206</v>
      </c>
      <c r="G51" s="233">
        <v>8000</v>
      </c>
      <c r="H51" s="233">
        <v>7900</v>
      </c>
      <c r="I51" s="233">
        <v>100</v>
      </c>
      <c r="J51" s="234">
        <f t="shared" si="1"/>
        <v>1.2500000000000001E-2</v>
      </c>
      <c r="K51" s="232"/>
      <c r="L51" s="232"/>
      <c r="M51" s="232">
        <v>180</v>
      </c>
      <c r="N51" s="232"/>
      <c r="O51" s="232"/>
      <c r="P51" s="232"/>
      <c r="Q51" s="232"/>
      <c r="R51" s="232"/>
      <c r="S51" s="232"/>
    </row>
    <row r="52" spans="1:19" ht="15" customHeight="1" x14ac:dyDescent="0.25">
      <c r="A52" s="231">
        <v>46244</v>
      </c>
      <c r="B52" s="232" t="s">
        <v>262</v>
      </c>
      <c r="C52" s="232" t="s">
        <v>27</v>
      </c>
      <c r="D52" s="232" t="s">
        <v>28</v>
      </c>
      <c r="E52" s="232">
        <v>25</v>
      </c>
      <c r="F52" s="232">
        <v>5389</v>
      </c>
      <c r="G52" s="233">
        <v>2000</v>
      </c>
      <c r="H52" s="233">
        <v>1970</v>
      </c>
      <c r="I52" s="233">
        <v>30</v>
      </c>
      <c r="J52" s="234">
        <f t="shared" si="1"/>
        <v>1.4999999999999999E-2</v>
      </c>
      <c r="K52" s="232"/>
      <c r="L52" s="232"/>
      <c r="M52" s="232"/>
      <c r="N52" s="232"/>
      <c r="O52" s="232"/>
      <c r="P52" s="232"/>
      <c r="Q52" s="232"/>
      <c r="R52" s="232"/>
      <c r="S52" s="232"/>
    </row>
    <row r="53" spans="1:19" ht="15" customHeight="1" x14ac:dyDescent="0.25">
      <c r="A53" s="231">
        <v>46244</v>
      </c>
      <c r="B53" s="232" t="s">
        <v>263</v>
      </c>
      <c r="C53" s="232" t="s">
        <v>27</v>
      </c>
      <c r="D53" s="232" t="s">
        <v>28</v>
      </c>
      <c r="E53" s="232">
        <v>25</v>
      </c>
      <c r="F53" s="232">
        <v>5389</v>
      </c>
      <c r="G53" s="233">
        <v>17110</v>
      </c>
      <c r="H53" s="233">
        <v>16800</v>
      </c>
      <c r="I53" s="233">
        <v>310</v>
      </c>
      <c r="J53" s="234">
        <f t="shared" si="1"/>
        <v>1.8118059614260665E-2</v>
      </c>
      <c r="K53" s="232"/>
      <c r="L53" s="232"/>
      <c r="M53" s="232">
        <v>120</v>
      </c>
      <c r="N53" s="232"/>
      <c r="O53" s="232"/>
      <c r="P53" s="232"/>
      <c r="Q53" s="232"/>
      <c r="R53" s="232"/>
      <c r="S53" s="232"/>
    </row>
    <row r="54" spans="1:19" ht="15" customHeight="1" x14ac:dyDescent="0.25">
      <c r="A54" s="231">
        <v>46245</v>
      </c>
      <c r="B54" s="232" t="s">
        <v>256</v>
      </c>
      <c r="C54" s="232" t="s">
        <v>30</v>
      </c>
      <c r="D54" s="232" t="s">
        <v>31</v>
      </c>
      <c r="E54" s="232">
        <v>30</v>
      </c>
      <c r="F54" s="232">
        <v>6206</v>
      </c>
      <c r="G54" s="233">
        <v>27000</v>
      </c>
      <c r="H54" s="233">
        <v>26550</v>
      </c>
      <c r="I54" s="233">
        <v>450</v>
      </c>
      <c r="J54" s="234">
        <f t="shared" si="1"/>
        <v>1.6666666666666666E-2</v>
      </c>
      <c r="K54" s="232"/>
      <c r="L54" s="232"/>
      <c r="M54" s="232"/>
      <c r="N54" s="232"/>
      <c r="O54" s="232"/>
      <c r="P54" s="232"/>
      <c r="Q54" s="232"/>
      <c r="R54" s="232"/>
      <c r="S54" s="232"/>
    </row>
    <row r="55" spans="1:19" ht="15" customHeight="1" x14ac:dyDescent="0.25">
      <c r="A55" s="231">
        <v>46245</v>
      </c>
      <c r="B55" s="232" t="s">
        <v>257</v>
      </c>
      <c r="C55" s="232" t="s">
        <v>30</v>
      </c>
      <c r="D55" s="232" t="s">
        <v>31</v>
      </c>
      <c r="E55" s="232">
        <v>30</v>
      </c>
      <c r="F55" s="232">
        <v>6206</v>
      </c>
      <c r="G55" s="233">
        <v>11000</v>
      </c>
      <c r="H55" s="233">
        <v>10995</v>
      </c>
      <c r="I55" s="233">
        <v>5</v>
      </c>
      <c r="J55" s="234">
        <f t="shared" si="1"/>
        <v>4.5454545454545455E-4</v>
      </c>
      <c r="K55" s="232"/>
      <c r="L55" s="232"/>
      <c r="M55" s="232"/>
      <c r="N55" s="232"/>
      <c r="O55" s="232">
        <v>180</v>
      </c>
      <c r="P55" s="232"/>
      <c r="Q55" s="232"/>
      <c r="R55" s="232"/>
      <c r="S55" s="232"/>
    </row>
    <row r="56" spans="1:19" ht="15" customHeight="1" x14ac:dyDescent="0.25">
      <c r="A56" s="231">
        <v>46245</v>
      </c>
      <c r="B56" s="232" t="s">
        <v>258</v>
      </c>
      <c r="C56" s="232" t="s">
        <v>44</v>
      </c>
      <c r="D56" s="232" t="s">
        <v>45</v>
      </c>
      <c r="E56" s="232" t="s">
        <v>46</v>
      </c>
      <c r="F56" s="232">
        <v>8001</v>
      </c>
      <c r="G56" s="233">
        <v>0</v>
      </c>
      <c r="H56" s="233">
        <v>0</v>
      </c>
      <c r="I56" s="233">
        <v>0</v>
      </c>
      <c r="J56" s="234" t="str">
        <f t="shared" si="1"/>
        <v/>
      </c>
      <c r="K56" s="232">
        <v>960</v>
      </c>
      <c r="L56" s="232"/>
      <c r="M56" s="232"/>
      <c r="N56" s="232"/>
      <c r="O56" s="232"/>
      <c r="P56" s="232"/>
      <c r="Q56" s="232"/>
      <c r="R56" s="232"/>
      <c r="S56" s="232"/>
    </row>
    <row r="57" spans="1:19" ht="15" customHeight="1" x14ac:dyDescent="0.25">
      <c r="A57" s="231">
        <v>46245</v>
      </c>
      <c r="B57" s="232" t="s">
        <v>259</v>
      </c>
      <c r="C57" s="232" t="s">
        <v>30</v>
      </c>
      <c r="D57" s="232" t="s">
        <v>31</v>
      </c>
      <c r="E57" s="232">
        <v>30</v>
      </c>
      <c r="F57" s="232">
        <v>6206</v>
      </c>
      <c r="G57" s="233">
        <v>29000</v>
      </c>
      <c r="H57" s="233">
        <v>28815</v>
      </c>
      <c r="I57" s="233">
        <v>185</v>
      </c>
      <c r="J57" s="234">
        <f t="shared" si="1"/>
        <v>6.3793103448275866E-3</v>
      </c>
      <c r="K57" s="232"/>
      <c r="L57" s="232"/>
      <c r="M57" s="232"/>
      <c r="N57" s="232"/>
      <c r="O57" s="232"/>
      <c r="P57" s="232"/>
      <c r="Q57" s="232"/>
      <c r="R57" s="232"/>
      <c r="S57" s="232"/>
    </row>
    <row r="58" spans="1:19" ht="15" customHeight="1" x14ac:dyDescent="0.25">
      <c r="A58" s="231">
        <v>46245</v>
      </c>
      <c r="B58" s="232" t="s">
        <v>260</v>
      </c>
      <c r="C58" s="232" t="s">
        <v>30</v>
      </c>
      <c r="D58" s="232" t="s">
        <v>31</v>
      </c>
      <c r="E58" s="232">
        <v>30</v>
      </c>
      <c r="F58" s="232">
        <v>6206</v>
      </c>
      <c r="G58" s="233">
        <v>22594</v>
      </c>
      <c r="H58" s="233">
        <v>22134</v>
      </c>
      <c r="I58" s="233">
        <v>460</v>
      </c>
      <c r="J58" s="234">
        <f t="shared" si="1"/>
        <v>2.0359387447995043E-2</v>
      </c>
      <c r="K58" s="232"/>
      <c r="L58" s="232"/>
      <c r="M58" s="232"/>
      <c r="N58" s="232"/>
      <c r="O58" s="232"/>
      <c r="P58" s="232"/>
      <c r="Q58" s="232"/>
      <c r="R58" s="232"/>
      <c r="S58" s="232"/>
    </row>
    <row r="59" spans="1:19" ht="15" customHeight="1" x14ac:dyDescent="0.25">
      <c r="A59" s="231">
        <v>46246</v>
      </c>
      <c r="B59" s="232" t="s">
        <v>256</v>
      </c>
      <c r="C59" s="232" t="s">
        <v>30</v>
      </c>
      <c r="D59" s="232" t="s">
        <v>31</v>
      </c>
      <c r="E59" s="232">
        <v>30</v>
      </c>
      <c r="F59" s="232">
        <v>6206</v>
      </c>
      <c r="G59" s="233">
        <v>24000</v>
      </c>
      <c r="H59" s="233">
        <v>23605</v>
      </c>
      <c r="I59" s="233">
        <v>395</v>
      </c>
      <c r="J59" s="234">
        <f t="shared" si="1"/>
        <v>1.6458333333333332E-2</v>
      </c>
      <c r="K59" s="232"/>
      <c r="L59" s="232"/>
      <c r="M59" s="232"/>
      <c r="N59" s="232"/>
      <c r="O59" s="232"/>
      <c r="P59" s="232"/>
      <c r="Q59" s="232"/>
      <c r="R59" s="232"/>
      <c r="S59" s="232"/>
    </row>
    <row r="60" spans="1:19" ht="15" customHeight="1" x14ac:dyDescent="0.25">
      <c r="A60" s="231">
        <v>46246</v>
      </c>
      <c r="B60" s="232" t="s">
        <v>257</v>
      </c>
      <c r="C60" s="232" t="s">
        <v>30</v>
      </c>
      <c r="D60" s="232" t="s">
        <v>31</v>
      </c>
      <c r="E60" s="232">
        <v>30</v>
      </c>
      <c r="F60" s="232">
        <v>6206</v>
      </c>
      <c r="G60" s="233">
        <v>27370</v>
      </c>
      <c r="H60" s="233">
        <v>27350</v>
      </c>
      <c r="I60" s="233">
        <v>20</v>
      </c>
      <c r="J60" s="234">
        <f t="shared" si="1"/>
        <v>7.3072707343807086E-4</v>
      </c>
      <c r="K60" s="232"/>
      <c r="L60" s="232"/>
      <c r="M60" s="232"/>
      <c r="N60" s="232"/>
      <c r="O60" s="232"/>
      <c r="P60" s="232"/>
      <c r="Q60" s="232"/>
      <c r="R60" s="232"/>
      <c r="S60" s="232"/>
    </row>
    <row r="61" spans="1:19" ht="15" customHeight="1" x14ac:dyDescent="0.25">
      <c r="A61" s="231">
        <v>46246</v>
      </c>
      <c r="B61" s="232" t="s">
        <v>258</v>
      </c>
      <c r="C61" s="232" t="s">
        <v>44</v>
      </c>
      <c r="D61" s="232" t="s">
        <v>45</v>
      </c>
      <c r="E61" s="232" t="s">
        <v>46</v>
      </c>
      <c r="F61" s="232">
        <v>8001</v>
      </c>
      <c r="G61" s="233">
        <v>0</v>
      </c>
      <c r="H61" s="233">
        <v>0</v>
      </c>
      <c r="I61" s="233">
        <v>0</v>
      </c>
      <c r="J61" s="234" t="str">
        <f t="shared" si="1"/>
        <v/>
      </c>
      <c r="K61" s="232"/>
      <c r="L61" s="232">
        <v>960</v>
      </c>
      <c r="M61" s="232"/>
      <c r="N61" s="232"/>
      <c r="O61" s="232"/>
      <c r="P61" s="232"/>
      <c r="Q61" s="232"/>
      <c r="R61" s="232"/>
      <c r="S61" s="232"/>
    </row>
    <row r="62" spans="1:19" ht="15" customHeight="1" x14ac:dyDescent="0.25">
      <c r="A62" s="231">
        <v>46246</v>
      </c>
      <c r="B62" s="232" t="s">
        <v>259</v>
      </c>
      <c r="C62" s="232" t="s">
        <v>30</v>
      </c>
      <c r="D62" s="232" t="s">
        <v>31</v>
      </c>
      <c r="E62" s="232">
        <v>30</v>
      </c>
      <c r="F62" s="232">
        <v>6206</v>
      </c>
      <c r="G62" s="233">
        <v>17600</v>
      </c>
      <c r="H62" s="233">
        <v>17485</v>
      </c>
      <c r="I62" s="233">
        <v>115</v>
      </c>
      <c r="J62" s="234">
        <f t="shared" si="1"/>
        <v>6.5340909090909087E-3</v>
      </c>
      <c r="K62" s="232">
        <v>60</v>
      </c>
      <c r="L62" s="232"/>
      <c r="M62" s="232"/>
      <c r="N62" s="232"/>
      <c r="O62" s="232"/>
      <c r="P62" s="232"/>
      <c r="Q62" s="232"/>
      <c r="R62" s="232"/>
      <c r="S62" s="232"/>
    </row>
    <row r="63" spans="1:19" ht="15" customHeight="1" x14ac:dyDescent="0.25">
      <c r="A63" s="231">
        <v>46246</v>
      </c>
      <c r="B63" s="232" t="s">
        <v>260</v>
      </c>
      <c r="C63" s="232" t="s">
        <v>30</v>
      </c>
      <c r="D63" s="232" t="s">
        <v>31</v>
      </c>
      <c r="E63" s="232">
        <v>30</v>
      </c>
      <c r="F63" s="232">
        <v>6206</v>
      </c>
      <c r="G63" s="233">
        <v>25460</v>
      </c>
      <c r="H63" s="233">
        <v>24990</v>
      </c>
      <c r="I63" s="233">
        <v>470</v>
      </c>
      <c r="J63" s="234">
        <f t="shared" si="1"/>
        <v>1.8460329929300863E-2</v>
      </c>
      <c r="K63" s="232"/>
      <c r="L63" s="232"/>
      <c r="M63" s="232"/>
      <c r="N63" s="232"/>
      <c r="O63" s="232"/>
      <c r="P63" s="232"/>
      <c r="Q63" s="232"/>
      <c r="R63" s="232"/>
      <c r="S63" s="232"/>
    </row>
    <row r="64" spans="1:19" ht="15" customHeight="1" x14ac:dyDescent="0.25">
      <c r="A64" s="231">
        <v>46247</v>
      </c>
      <c r="B64" s="232" t="s">
        <v>256</v>
      </c>
      <c r="C64" s="232" t="s">
        <v>30</v>
      </c>
      <c r="D64" s="232" t="s">
        <v>31</v>
      </c>
      <c r="E64" s="232">
        <v>30</v>
      </c>
      <c r="F64" s="232">
        <v>6206</v>
      </c>
      <c r="G64" s="233">
        <v>10000</v>
      </c>
      <c r="H64" s="233">
        <v>9820</v>
      </c>
      <c r="I64" s="233">
        <v>180</v>
      </c>
      <c r="J64" s="234">
        <f t="shared" si="1"/>
        <v>1.7999999999999999E-2</v>
      </c>
      <c r="K64" s="232"/>
      <c r="L64" s="232"/>
      <c r="M64" s="232">
        <v>240</v>
      </c>
      <c r="N64" s="232"/>
      <c r="O64" s="232"/>
      <c r="P64" s="232"/>
      <c r="Q64" s="232"/>
      <c r="R64" s="232"/>
      <c r="S64" s="232"/>
    </row>
    <row r="65" spans="1:19" ht="15" customHeight="1" x14ac:dyDescent="0.25">
      <c r="A65" s="231">
        <v>46247</v>
      </c>
      <c r="B65" s="232" t="s">
        <v>257</v>
      </c>
      <c r="C65" s="232" t="s">
        <v>30</v>
      </c>
      <c r="D65" s="232" t="s">
        <v>31</v>
      </c>
      <c r="E65" s="232">
        <v>30</v>
      </c>
      <c r="F65" s="232">
        <v>6206</v>
      </c>
      <c r="G65" s="233">
        <v>23024</v>
      </c>
      <c r="H65" s="233">
        <v>23004</v>
      </c>
      <c r="I65" s="233">
        <v>20</v>
      </c>
      <c r="J65" s="234">
        <f t="shared" si="1"/>
        <v>8.6865879082696318E-4</v>
      </c>
      <c r="K65" s="232"/>
      <c r="L65" s="232"/>
      <c r="M65" s="232"/>
      <c r="N65" s="232"/>
      <c r="O65" s="232"/>
      <c r="P65" s="232"/>
      <c r="Q65" s="232"/>
      <c r="R65" s="232"/>
      <c r="S65" s="232"/>
    </row>
    <row r="66" spans="1:19" ht="15" customHeight="1" x14ac:dyDescent="0.25">
      <c r="A66" s="231">
        <v>46247</v>
      </c>
      <c r="B66" s="232" t="s">
        <v>258</v>
      </c>
      <c r="C66" s="232" t="s">
        <v>44</v>
      </c>
      <c r="D66" s="232" t="s">
        <v>45</v>
      </c>
      <c r="E66" s="232" t="s">
        <v>46</v>
      </c>
      <c r="F66" s="232">
        <v>8001</v>
      </c>
      <c r="G66" s="233">
        <v>0</v>
      </c>
      <c r="H66" s="233">
        <v>0</v>
      </c>
      <c r="I66" s="233">
        <v>0</v>
      </c>
      <c r="J66" s="234" t="str">
        <f t="shared" si="1"/>
        <v/>
      </c>
      <c r="K66" s="232"/>
      <c r="L66" s="232">
        <v>960</v>
      </c>
      <c r="M66" s="232"/>
      <c r="N66" s="232"/>
      <c r="O66" s="232"/>
      <c r="P66" s="232"/>
      <c r="Q66" s="232"/>
      <c r="R66" s="232"/>
      <c r="S66" s="232"/>
    </row>
    <row r="67" spans="1:19" ht="15" customHeight="1" x14ac:dyDescent="0.25">
      <c r="A67" s="231">
        <v>46247</v>
      </c>
      <c r="B67" s="232" t="s">
        <v>259</v>
      </c>
      <c r="C67" s="232" t="s">
        <v>30</v>
      </c>
      <c r="D67" s="232" t="s">
        <v>31</v>
      </c>
      <c r="E67" s="232">
        <v>30</v>
      </c>
      <c r="F67" s="232">
        <v>6206</v>
      </c>
      <c r="G67" s="233">
        <v>6950</v>
      </c>
      <c r="H67" s="233">
        <v>6900</v>
      </c>
      <c r="I67" s="233">
        <v>50</v>
      </c>
      <c r="J67" s="234">
        <f t="shared" ref="J67:J98" si="2">IFERROR(I67/(H67+I67),"")</f>
        <v>7.1942446043165471E-3</v>
      </c>
      <c r="K67" s="232"/>
      <c r="L67" s="232"/>
      <c r="M67" s="232">
        <v>180</v>
      </c>
      <c r="N67" s="232"/>
      <c r="O67" s="232"/>
      <c r="P67" s="232"/>
      <c r="Q67" s="232"/>
      <c r="R67" s="232"/>
      <c r="S67" s="232"/>
    </row>
    <row r="68" spans="1:19" ht="15" customHeight="1" x14ac:dyDescent="0.25">
      <c r="A68" s="231">
        <v>46247</v>
      </c>
      <c r="B68" s="232" t="s">
        <v>260</v>
      </c>
      <c r="C68" s="232" t="s">
        <v>30</v>
      </c>
      <c r="D68" s="232" t="s">
        <v>31</v>
      </c>
      <c r="E68" s="232">
        <v>30</v>
      </c>
      <c r="F68" s="232">
        <v>6206</v>
      </c>
      <c r="G68" s="233">
        <v>13162</v>
      </c>
      <c r="H68" s="233">
        <v>12852</v>
      </c>
      <c r="I68" s="233">
        <v>310</v>
      </c>
      <c r="J68" s="234">
        <f t="shared" si="2"/>
        <v>2.3552651572709315E-2</v>
      </c>
      <c r="K68" s="232"/>
      <c r="L68" s="232"/>
      <c r="M68" s="232">
        <v>280</v>
      </c>
      <c r="N68" s="232"/>
      <c r="O68" s="232"/>
      <c r="P68" s="232"/>
      <c r="Q68" s="232"/>
      <c r="R68" s="232"/>
      <c r="S68" s="232"/>
    </row>
    <row r="69" spans="1:19" ht="15" customHeight="1" x14ac:dyDescent="0.25">
      <c r="A69" s="231">
        <v>46248</v>
      </c>
      <c r="B69" s="232" t="s">
        <v>256</v>
      </c>
      <c r="C69" s="232" t="s">
        <v>30</v>
      </c>
      <c r="D69" s="232" t="s">
        <v>31</v>
      </c>
      <c r="E69" s="232">
        <v>30</v>
      </c>
      <c r="F69" s="232">
        <v>6206</v>
      </c>
      <c r="G69" s="233">
        <v>0</v>
      </c>
      <c r="H69" s="233">
        <v>0</v>
      </c>
      <c r="I69" s="233">
        <v>0</v>
      </c>
      <c r="J69" s="234" t="str">
        <f t="shared" si="2"/>
        <v/>
      </c>
      <c r="K69" s="232"/>
      <c r="L69" s="232"/>
      <c r="M69" s="232"/>
      <c r="N69" s="232"/>
      <c r="O69" s="232"/>
      <c r="P69" s="232"/>
      <c r="Q69" s="232"/>
      <c r="R69" s="232"/>
      <c r="S69" s="232"/>
    </row>
    <row r="70" spans="1:19" ht="15" customHeight="1" x14ac:dyDescent="0.25">
      <c r="A70" s="231">
        <v>46248</v>
      </c>
      <c r="B70" s="232" t="s">
        <v>257</v>
      </c>
      <c r="C70" s="232" t="s">
        <v>30</v>
      </c>
      <c r="D70" s="232" t="s">
        <v>31</v>
      </c>
      <c r="E70" s="232">
        <v>30</v>
      </c>
      <c r="F70" s="232">
        <v>6206</v>
      </c>
      <c r="G70" s="233">
        <v>0</v>
      </c>
      <c r="H70" s="233">
        <v>0</v>
      </c>
      <c r="I70" s="233">
        <v>0</v>
      </c>
      <c r="J70" s="234" t="str">
        <f t="shared" si="2"/>
        <v/>
      </c>
      <c r="K70" s="232"/>
      <c r="L70" s="232"/>
      <c r="M70" s="232"/>
      <c r="N70" s="232"/>
      <c r="O70" s="232"/>
      <c r="P70" s="232"/>
      <c r="Q70" s="232"/>
      <c r="R70" s="232"/>
      <c r="S70" s="232"/>
    </row>
    <row r="71" spans="1:19" ht="15" customHeight="1" x14ac:dyDescent="0.25">
      <c r="A71" s="231">
        <v>46248</v>
      </c>
      <c r="B71" s="232" t="s">
        <v>258</v>
      </c>
      <c r="C71" s="232" t="s">
        <v>44</v>
      </c>
      <c r="D71" s="232" t="s">
        <v>45</v>
      </c>
      <c r="E71" s="232" t="s">
        <v>46</v>
      </c>
      <c r="F71" s="232">
        <v>8001</v>
      </c>
      <c r="G71" s="233">
        <v>9090</v>
      </c>
      <c r="H71" s="233">
        <v>8740</v>
      </c>
      <c r="I71" s="233">
        <v>350</v>
      </c>
      <c r="J71" s="234">
        <f t="shared" si="2"/>
        <v>3.8503850385038507E-2</v>
      </c>
      <c r="K71" s="232"/>
      <c r="L71" s="232">
        <v>240</v>
      </c>
      <c r="M71" s="232"/>
      <c r="N71" s="232"/>
      <c r="O71" s="232"/>
      <c r="P71" s="232"/>
      <c r="Q71" s="232"/>
      <c r="R71" s="232"/>
      <c r="S71" s="232"/>
    </row>
    <row r="72" spans="1:19" ht="15" customHeight="1" x14ac:dyDescent="0.25">
      <c r="A72" s="231">
        <v>46248</v>
      </c>
      <c r="B72" s="232" t="s">
        <v>259</v>
      </c>
      <c r="C72" s="232" t="s">
        <v>30</v>
      </c>
      <c r="D72" s="232" t="s">
        <v>31</v>
      </c>
      <c r="E72" s="232">
        <v>30</v>
      </c>
      <c r="F72" s="232">
        <v>6206</v>
      </c>
      <c r="G72" s="233">
        <v>0</v>
      </c>
      <c r="H72" s="233">
        <v>0</v>
      </c>
      <c r="I72" s="233">
        <v>0</v>
      </c>
      <c r="J72" s="234" t="str">
        <f t="shared" si="2"/>
        <v/>
      </c>
      <c r="K72" s="232"/>
      <c r="L72" s="232"/>
      <c r="M72" s="232"/>
      <c r="N72" s="232"/>
      <c r="O72" s="232"/>
      <c r="P72" s="232"/>
      <c r="Q72" s="232"/>
      <c r="R72" s="232"/>
      <c r="S72" s="232"/>
    </row>
    <row r="73" spans="1:19" ht="15" customHeight="1" x14ac:dyDescent="0.25">
      <c r="A73" s="231">
        <v>46248</v>
      </c>
      <c r="B73" s="232" t="s">
        <v>260</v>
      </c>
      <c r="C73" s="232" t="s">
        <v>30</v>
      </c>
      <c r="D73" s="232" t="s">
        <v>31</v>
      </c>
      <c r="E73" s="232">
        <v>30</v>
      </c>
      <c r="F73" s="232">
        <v>6206</v>
      </c>
      <c r="G73" s="233">
        <v>0</v>
      </c>
      <c r="H73" s="233">
        <v>0</v>
      </c>
      <c r="I73" s="233">
        <v>0</v>
      </c>
      <c r="J73" s="234" t="str">
        <f t="shared" si="2"/>
        <v/>
      </c>
      <c r="K73" s="232"/>
      <c r="L73" s="232"/>
      <c r="M73" s="232"/>
      <c r="N73" s="232"/>
      <c r="O73" s="232"/>
      <c r="P73" s="232"/>
      <c r="Q73" s="232"/>
      <c r="R73" s="232"/>
      <c r="S73" s="232"/>
    </row>
    <row r="74" spans="1:19" ht="15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264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113</v>
      </c>
      <c r="B2" s="40" t="s">
        <v>265</v>
      </c>
      <c r="C2" s="41" t="s">
        <v>16</v>
      </c>
      <c r="D2" s="41" t="s">
        <v>17</v>
      </c>
      <c r="E2" s="40" t="s">
        <v>18</v>
      </c>
      <c r="F2" s="40" t="s">
        <v>266</v>
      </c>
      <c r="G2" s="40" t="s">
        <v>120</v>
      </c>
      <c r="H2" s="41" t="s">
        <v>121</v>
      </c>
      <c r="I2" s="40" t="s">
        <v>122</v>
      </c>
      <c r="J2" s="40" t="s">
        <v>267</v>
      </c>
      <c r="K2" s="41" t="s">
        <v>268</v>
      </c>
      <c r="L2" s="42" t="s">
        <v>269</v>
      </c>
      <c r="M2" s="43" t="s">
        <v>270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53</v>
      </c>
      <c r="D3" s="47" t="s">
        <v>54</v>
      </c>
      <c r="E3" s="46">
        <v>16</v>
      </c>
      <c r="F3" s="46" t="s">
        <v>128</v>
      </c>
      <c r="G3" s="46">
        <v>2799</v>
      </c>
      <c r="H3" s="46" t="s">
        <v>132</v>
      </c>
      <c r="I3" s="48" t="s">
        <v>130</v>
      </c>
      <c r="J3" s="49">
        <v>2.5188899999999999</v>
      </c>
      <c r="K3" s="50" t="s">
        <v>271</v>
      </c>
      <c r="L3" s="50">
        <v>0.1</v>
      </c>
      <c r="M3" s="50" t="s">
        <v>272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53</v>
      </c>
      <c r="D4" s="47" t="s">
        <v>54</v>
      </c>
      <c r="E4" s="46">
        <v>16</v>
      </c>
      <c r="F4" s="46" t="s">
        <v>152</v>
      </c>
      <c r="G4" s="46">
        <v>3595</v>
      </c>
      <c r="H4" s="46" t="s">
        <v>273</v>
      </c>
      <c r="I4" s="48" t="s">
        <v>130</v>
      </c>
      <c r="J4" s="49">
        <v>0.28999999999999998</v>
      </c>
      <c r="K4" s="50" t="s">
        <v>274</v>
      </c>
      <c r="L4" s="50">
        <v>0.1</v>
      </c>
      <c r="M4" s="52" t="s">
        <v>275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53</v>
      </c>
      <c r="D5" s="47" t="s">
        <v>54</v>
      </c>
      <c r="E5" s="46">
        <v>16</v>
      </c>
      <c r="F5" s="46" t="s">
        <v>166</v>
      </c>
      <c r="G5" s="46">
        <v>69</v>
      </c>
      <c r="H5" s="46" t="s">
        <v>167</v>
      </c>
      <c r="I5" s="48" t="s">
        <v>168</v>
      </c>
      <c r="J5" s="49">
        <v>1000</v>
      </c>
      <c r="K5" s="50" t="s">
        <v>276</v>
      </c>
      <c r="L5" s="50">
        <v>0.02</v>
      </c>
      <c r="M5" s="52" t="s">
        <v>277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53</v>
      </c>
      <c r="D6" s="47" t="s">
        <v>54</v>
      </c>
      <c r="E6" s="46">
        <v>16</v>
      </c>
      <c r="F6" s="46" t="s">
        <v>191</v>
      </c>
      <c r="G6" s="46">
        <v>36</v>
      </c>
      <c r="H6" s="46" t="s">
        <v>193</v>
      </c>
      <c r="I6" s="48" t="s">
        <v>168</v>
      </c>
      <c r="J6" s="49">
        <v>5</v>
      </c>
      <c r="K6" s="50" t="s">
        <v>278</v>
      </c>
      <c r="L6" s="50">
        <v>0.1</v>
      </c>
      <c r="M6" s="52" t="s">
        <v>277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53</v>
      </c>
      <c r="D7" s="47" t="s">
        <v>54</v>
      </c>
      <c r="E7" s="46">
        <v>16</v>
      </c>
      <c r="F7" s="46" t="s">
        <v>201</v>
      </c>
      <c r="G7" s="46">
        <v>194</v>
      </c>
      <c r="H7" s="46" t="s">
        <v>202</v>
      </c>
      <c r="I7" s="48" t="s">
        <v>130</v>
      </c>
      <c r="J7" s="49">
        <v>2.6196399999999999E-3</v>
      </c>
      <c r="K7" s="50" t="s">
        <v>279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53</v>
      </c>
      <c r="D8" s="47" t="s">
        <v>54</v>
      </c>
      <c r="E8" s="46">
        <v>16</v>
      </c>
      <c r="F8" s="46" t="s">
        <v>145</v>
      </c>
      <c r="G8" s="46">
        <v>4155</v>
      </c>
      <c r="H8" s="46" t="s">
        <v>151</v>
      </c>
      <c r="I8" s="48" t="s">
        <v>148</v>
      </c>
      <c r="J8" s="49">
        <v>0.17</v>
      </c>
      <c r="K8" s="50" t="s">
        <v>280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53</v>
      </c>
      <c r="D9" s="47" t="s">
        <v>54</v>
      </c>
      <c r="E9" s="46">
        <v>16</v>
      </c>
      <c r="F9" s="46" t="s">
        <v>206</v>
      </c>
      <c r="G9" s="46">
        <v>190</v>
      </c>
      <c r="H9" s="46" t="s">
        <v>207</v>
      </c>
      <c r="I9" s="48" t="s">
        <v>148</v>
      </c>
      <c r="J9" s="49">
        <v>0.06</v>
      </c>
      <c r="K9" s="50" t="s">
        <v>281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53</v>
      </c>
      <c r="D10" s="47" t="s">
        <v>54</v>
      </c>
      <c r="E10" s="46">
        <v>16</v>
      </c>
      <c r="F10" s="46" t="s">
        <v>204</v>
      </c>
      <c r="G10" s="46">
        <v>3635</v>
      </c>
      <c r="H10" s="46" t="s">
        <v>205</v>
      </c>
      <c r="I10" s="48" t="s">
        <v>168</v>
      </c>
      <c r="J10" s="49">
        <v>0.11899999999999999</v>
      </c>
      <c r="K10" s="50" t="s">
        <v>282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53</v>
      </c>
      <c r="D11" s="47" t="s">
        <v>54</v>
      </c>
      <c r="E11" s="46">
        <v>16</v>
      </c>
      <c r="F11" s="46" t="s">
        <v>191</v>
      </c>
      <c r="G11" s="46">
        <v>200</v>
      </c>
      <c r="H11" s="46" t="s">
        <v>194</v>
      </c>
      <c r="I11" s="48" t="s">
        <v>168</v>
      </c>
      <c r="J11" s="49">
        <v>0.55000000000000004</v>
      </c>
      <c r="K11" s="50" t="s">
        <v>278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53</v>
      </c>
      <c r="D12" s="47" t="s">
        <v>54</v>
      </c>
      <c r="E12" s="46">
        <v>16</v>
      </c>
      <c r="F12" s="46" t="s">
        <v>283</v>
      </c>
      <c r="G12" s="46">
        <v>52</v>
      </c>
      <c r="H12" s="46" t="s">
        <v>284</v>
      </c>
      <c r="I12" s="48" t="s">
        <v>285</v>
      </c>
      <c r="J12" s="49">
        <v>5</v>
      </c>
      <c r="K12" s="50" t="s">
        <v>286</v>
      </c>
      <c r="L12" s="50">
        <v>0.1</v>
      </c>
      <c r="M12" s="52" t="s">
        <v>277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53</v>
      </c>
      <c r="D13" s="47" t="s">
        <v>57</v>
      </c>
      <c r="E13" s="46">
        <v>19</v>
      </c>
      <c r="F13" s="46" t="s">
        <v>128</v>
      </c>
      <c r="G13" s="46">
        <v>22</v>
      </c>
      <c r="H13" s="46" t="s">
        <v>134</v>
      </c>
      <c r="I13" s="48" t="s">
        <v>130</v>
      </c>
      <c r="J13" s="49">
        <v>3.367</v>
      </c>
      <c r="K13" s="50" t="s">
        <v>271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53</v>
      </c>
      <c r="D14" s="47" t="s">
        <v>57</v>
      </c>
      <c r="E14" s="46">
        <v>19</v>
      </c>
      <c r="F14" s="46" t="s">
        <v>152</v>
      </c>
      <c r="G14" s="46">
        <v>3595</v>
      </c>
      <c r="H14" s="46" t="s">
        <v>273</v>
      </c>
      <c r="I14" s="48" t="s">
        <v>130</v>
      </c>
      <c r="J14" s="49">
        <v>0.31</v>
      </c>
      <c r="K14" s="50" t="s">
        <v>274</v>
      </c>
      <c r="L14" s="50">
        <v>0.1</v>
      </c>
      <c r="M14" s="52" t="s">
        <v>275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53</v>
      </c>
      <c r="D15" s="47" t="s">
        <v>57</v>
      </c>
      <c r="E15" s="46">
        <v>19</v>
      </c>
      <c r="F15" s="46" t="s">
        <v>166</v>
      </c>
      <c r="G15" s="46">
        <v>81</v>
      </c>
      <c r="H15" s="46" t="s">
        <v>174</v>
      </c>
      <c r="I15" s="48" t="s">
        <v>168</v>
      </c>
      <c r="J15" s="49">
        <v>1000</v>
      </c>
      <c r="K15" s="50" t="s">
        <v>276</v>
      </c>
      <c r="L15" s="50">
        <v>0.02</v>
      </c>
      <c r="M15" s="52" t="s">
        <v>277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53</v>
      </c>
      <c r="D16" s="47" t="s">
        <v>57</v>
      </c>
      <c r="E16" s="46">
        <v>19</v>
      </c>
      <c r="F16" s="46" t="s">
        <v>191</v>
      </c>
      <c r="G16" s="46">
        <v>39</v>
      </c>
      <c r="H16" s="46" t="s">
        <v>195</v>
      </c>
      <c r="I16" s="48" t="s">
        <v>168</v>
      </c>
      <c r="J16" s="49">
        <v>5</v>
      </c>
      <c r="K16" s="50" t="s">
        <v>278</v>
      </c>
      <c r="L16" s="50">
        <v>0.1</v>
      </c>
      <c r="M16" s="52" t="s">
        <v>277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53</v>
      </c>
      <c r="D17" s="47" t="s">
        <v>57</v>
      </c>
      <c r="E17" s="46">
        <v>19</v>
      </c>
      <c r="F17" s="46" t="s">
        <v>201</v>
      </c>
      <c r="G17" s="46">
        <v>194</v>
      </c>
      <c r="H17" s="46" t="s">
        <v>202</v>
      </c>
      <c r="I17" s="48" t="s">
        <v>130</v>
      </c>
      <c r="J17" s="49">
        <v>3.3999999999999998E-3</v>
      </c>
      <c r="K17" s="50" t="s">
        <v>279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53</v>
      </c>
      <c r="D18" s="47" t="s">
        <v>57</v>
      </c>
      <c r="E18" s="46">
        <v>19</v>
      </c>
      <c r="F18" s="46" t="s">
        <v>204</v>
      </c>
      <c r="G18" s="46">
        <v>3635</v>
      </c>
      <c r="H18" s="46" t="s">
        <v>205</v>
      </c>
      <c r="I18" s="48" t="s">
        <v>168</v>
      </c>
      <c r="J18" s="49">
        <v>0.13800000000000001</v>
      </c>
      <c r="K18" s="50" t="s">
        <v>282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53</v>
      </c>
      <c r="D19" s="47" t="s">
        <v>57</v>
      </c>
      <c r="E19" s="46">
        <v>19</v>
      </c>
      <c r="F19" s="46" t="s">
        <v>145</v>
      </c>
      <c r="G19" s="46">
        <v>4155</v>
      </c>
      <c r="H19" s="46" t="s">
        <v>151</v>
      </c>
      <c r="I19" s="48" t="s">
        <v>148</v>
      </c>
      <c r="J19" s="49">
        <v>0.1449</v>
      </c>
      <c r="K19" s="50" t="s">
        <v>280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53</v>
      </c>
      <c r="D20" s="47" t="s">
        <v>57</v>
      </c>
      <c r="E20" s="46">
        <v>19</v>
      </c>
      <c r="F20" s="46" t="s">
        <v>283</v>
      </c>
      <c r="G20" s="46">
        <v>54</v>
      </c>
      <c r="H20" s="46" t="s">
        <v>287</v>
      </c>
      <c r="I20" s="48" t="s">
        <v>285</v>
      </c>
      <c r="J20" s="49">
        <v>5</v>
      </c>
      <c r="K20" s="50" t="s">
        <v>286</v>
      </c>
      <c r="L20" s="50">
        <v>0.1</v>
      </c>
      <c r="M20" s="52" t="s">
        <v>277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53</v>
      </c>
      <c r="D21" s="47" t="s">
        <v>57</v>
      </c>
      <c r="E21" s="46">
        <v>19</v>
      </c>
      <c r="F21" s="46" t="s">
        <v>288</v>
      </c>
      <c r="G21" s="46">
        <v>199</v>
      </c>
      <c r="H21" s="46" t="s">
        <v>289</v>
      </c>
      <c r="I21" s="48" t="s">
        <v>285</v>
      </c>
      <c r="J21" s="49">
        <v>0.55000000000000004</v>
      </c>
      <c r="K21" s="50" t="s">
        <v>290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53</v>
      </c>
      <c r="D22" s="47" t="s">
        <v>291</v>
      </c>
      <c r="E22" s="46">
        <v>19</v>
      </c>
      <c r="F22" s="46" t="s">
        <v>128</v>
      </c>
      <c r="G22" s="46">
        <v>22</v>
      </c>
      <c r="H22" s="46" t="s">
        <v>134</v>
      </c>
      <c r="I22" s="48" t="s">
        <v>130</v>
      </c>
      <c r="J22" s="49">
        <v>3.367</v>
      </c>
      <c r="K22" s="50" t="s">
        <v>271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53</v>
      </c>
      <c r="D23" s="47" t="s">
        <v>291</v>
      </c>
      <c r="E23" s="46">
        <v>19</v>
      </c>
      <c r="F23" s="46" t="s">
        <v>152</v>
      </c>
      <c r="G23" s="46">
        <v>3595</v>
      </c>
      <c r="H23" s="46" t="s">
        <v>273</v>
      </c>
      <c r="I23" s="48" t="s">
        <v>130</v>
      </c>
      <c r="J23" s="49">
        <v>0.31</v>
      </c>
      <c r="K23" s="50" t="s">
        <v>274</v>
      </c>
      <c r="L23" s="50">
        <v>0.1</v>
      </c>
      <c r="M23" s="52" t="s">
        <v>275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53</v>
      </c>
      <c r="D24" s="47" t="s">
        <v>291</v>
      </c>
      <c r="E24" s="46">
        <v>19</v>
      </c>
      <c r="F24" s="46" t="s">
        <v>166</v>
      </c>
      <c r="G24" s="46">
        <v>81</v>
      </c>
      <c r="H24" s="46" t="s">
        <v>174</v>
      </c>
      <c r="I24" s="48" t="s">
        <v>168</v>
      </c>
      <c r="J24" s="49">
        <v>1000</v>
      </c>
      <c r="K24" s="50" t="s">
        <v>276</v>
      </c>
      <c r="L24" s="50">
        <v>0.02</v>
      </c>
      <c r="M24" s="52" t="s">
        <v>277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53</v>
      </c>
      <c r="D25" s="47" t="s">
        <v>291</v>
      </c>
      <c r="E25" s="46">
        <v>19</v>
      </c>
      <c r="F25" s="46" t="s">
        <v>191</v>
      </c>
      <c r="G25" s="46">
        <v>39</v>
      </c>
      <c r="H25" s="46" t="s">
        <v>195</v>
      </c>
      <c r="I25" s="48" t="s">
        <v>168</v>
      </c>
      <c r="J25" s="49">
        <v>5</v>
      </c>
      <c r="K25" s="50" t="s">
        <v>278</v>
      </c>
      <c r="L25" s="50">
        <v>0.1</v>
      </c>
      <c r="M25" s="52" t="s">
        <v>277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53</v>
      </c>
      <c r="D26" s="47" t="s">
        <v>291</v>
      </c>
      <c r="E26" s="46">
        <v>19</v>
      </c>
      <c r="F26" s="46" t="s">
        <v>201</v>
      </c>
      <c r="G26" s="46">
        <v>194</v>
      </c>
      <c r="H26" s="46" t="s">
        <v>202</v>
      </c>
      <c r="I26" s="48" t="s">
        <v>130</v>
      </c>
      <c r="J26" s="49">
        <v>3.3999999999999998E-3</v>
      </c>
      <c r="K26" s="50" t="s">
        <v>279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53</v>
      </c>
      <c r="D27" s="47" t="s">
        <v>291</v>
      </c>
      <c r="E27" s="46">
        <v>19</v>
      </c>
      <c r="F27" s="46" t="s">
        <v>204</v>
      </c>
      <c r="G27" s="46">
        <v>3635</v>
      </c>
      <c r="H27" s="46" t="s">
        <v>205</v>
      </c>
      <c r="I27" s="48" t="s">
        <v>168</v>
      </c>
      <c r="J27" s="49">
        <v>0.13800000000000001</v>
      </c>
      <c r="K27" s="50" t="s">
        <v>282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53</v>
      </c>
      <c r="D28" s="47" t="s">
        <v>291</v>
      </c>
      <c r="E28" s="46">
        <v>19</v>
      </c>
      <c r="F28" s="46" t="s">
        <v>145</v>
      </c>
      <c r="G28" s="46">
        <v>4155</v>
      </c>
      <c r="H28" s="46" t="s">
        <v>151</v>
      </c>
      <c r="I28" s="48" t="s">
        <v>148</v>
      </c>
      <c r="J28" s="49">
        <v>0.1449</v>
      </c>
      <c r="K28" s="50" t="s">
        <v>280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53</v>
      </c>
      <c r="D29" s="47" t="s">
        <v>291</v>
      </c>
      <c r="E29" s="46">
        <v>19</v>
      </c>
      <c r="F29" s="46" t="s">
        <v>283</v>
      </c>
      <c r="G29" s="46">
        <v>54</v>
      </c>
      <c r="H29" s="46" t="s">
        <v>287</v>
      </c>
      <c r="I29" s="48" t="s">
        <v>285</v>
      </c>
      <c r="J29" s="49">
        <v>5</v>
      </c>
      <c r="K29" s="50" t="s">
        <v>286</v>
      </c>
      <c r="L29" s="50">
        <v>0.1</v>
      </c>
      <c r="M29" s="52" t="s">
        <v>277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53</v>
      </c>
      <c r="D30" s="47" t="s">
        <v>291</v>
      </c>
      <c r="E30" s="46">
        <v>19</v>
      </c>
      <c r="F30" s="46" t="s">
        <v>288</v>
      </c>
      <c r="G30" s="46">
        <v>199</v>
      </c>
      <c r="H30" s="46" t="s">
        <v>289</v>
      </c>
      <c r="I30" s="48" t="s">
        <v>285</v>
      </c>
      <c r="J30" s="49">
        <v>0.55000000000000004</v>
      </c>
      <c r="K30" s="50" t="s">
        <v>290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53</v>
      </c>
      <c r="D31" s="47" t="s">
        <v>58</v>
      </c>
      <c r="E31" s="46">
        <v>19</v>
      </c>
      <c r="F31" s="46" t="s">
        <v>128</v>
      </c>
      <c r="G31" s="46">
        <v>22</v>
      </c>
      <c r="H31" s="46" t="s">
        <v>134</v>
      </c>
      <c r="I31" s="48" t="s">
        <v>130</v>
      </c>
      <c r="J31" s="49">
        <v>3.367</v>
      </c>
      <c r="K31" s="50" t="s">
        <v>271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53</v>
      </c>
      <c r="D32" s="47" t="s">
        <v>58</v>
      </c>
      <c r="E32" s="46">
        <v>19</v>
      </c>
      <c r="F32" s="46" t="s">
        <v>152</v>
      </c>
      <c r="G32" s="46">
        <v>3595</v>
      </c>
      <c r="H32" s="46" t="s">
        <v>273</v>
      </c>
      <c r="I32" s="48" t="s">
        <v>130</v>
      </c>
      <c r="J32" s="49">
        <v>0.31</v>
      </c>
      <c r="K32" s="50" t="s">
        <v>274</v>
      </c>
      <c r="L32" s="50">
        <v>0.1</v>
      </c>
      <c r="M32" s="52" t="s">
        <v>275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53</v>
      </c>
      <c r="D33" s="47" t="s">
        <v>58</v>
      </c>
      <c r="E33" s="46">
        <v>19</v>
      </c>
      <c r="F33" s="46" t="s">
        <v>166</v>
      </c>
      <c r="G33" s="46">
        <v>81</v>
      </c>
      <c r="H33" s="46" t="s">
        <v>174</v>
      </c>
      <c r="I33" s="48" t="s">
        <v>168</v>
      </c>
      <c r="J33" s="49">
        <v>1000</v>
      </c>
      <c r="K33" s="50" t="s">
        <v>276</v>
      </c>
      <c r="L33" s="50">
        <v>0.02</v>
      </c>
      <c r="M33" s="52" t="s">
        <v>277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53</v>
      </c>
      <c r="D34" s="47" t="s">
        <v>58</v>
      </c>
      <c r="E34" s="46">
        <v>19</v>
      </c>
      <c r="F34" s="46" t="s">
        <v>191</v>
      </c>
      <c r="G34" s="46">
        <v>39</v>
      </c>
      <c r="H34" s="46" t="s">
        <v>195</v>
      </c>
      <c r="I34" s="48" t="s">
        <v>168</v>
      </c>
      <c r="J34" s="49">
        <v>5</v>
      </c>
      <c r="K34" s="50" t="s">
        <v>278</v>
      </c>
      <c r="L34" s="50">
        <v>0.1</v>
      </c>
      <c r="M34" s="52" t="s">
        <v>277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53</v>
      </c>
      <c r="D35" s="47" t="s">
        <v>58</v>
      </c>
      <c r="E35" s="46">
        <v>19</v>
      </c>
      <c r="F35" s="46" t="s">
        <v>201</v>
      </c>
      <c r="G35" s="46">
        <v>194</v>
      </c>
      <c r="H35" s="46" t="s">
        <v>202</v>
      </c>
      <c r="I35" s="48" t="s">
        <v>130</v>
      </c>
      <c r="J35" s="49">
        <v>3.3999999999999998E-3</v>
      </c>
      <c r="K35" s="50" t="s">
        <v>279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53</v>
      </c>
      <c r="D36" s="47" t="s">
        <v>58</v>
      </c>
      <c r="E36" s="46">
        <v>19</v>
      </c>
      <c r="F36" s="46" t="s">
        <v>204</v>
      </c>
      <c r="G36" s="46">
        <v>3635</v>
      </c>
      <c r="H36" s="46" t="s">
        <v>205</v>
      </c>
      <c r="I36" s="48" t="s">
        <v>168</v>
      </c>
      <c r="J36" s="49">
        <v>0.13800000000000001</v>
      </c>
      <c r="K36" s="50" t="s">
        <v>282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53</v>
      </c>
      <c r="D37" s="47" t="s">
        <v>58</v>
      </c>
      <c r="E37" s="46">
        <v>19</v>
      </c>
      <c r="F37" s="46" t="s">
        <v>145</v>
      </c>
      <c r="G37" s="46">
        <v>4155</v>
      </c>
      <c r="H37" s="46" t="s">
        <v>151</v>
      </c>
      <c r="I37" s="48" t="s">
        <v>148</v>
      </c>
      <c r="J37" s="49">
        <v>0.1449</v>
      </c>
      <c r="K37" s="50" t="s">
        <v>280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53</v>
      </c>
      <c r="D38" s="47" t="s">
        <v>58</v>
      </c>
      <c r="E38" s="46">
        <v>19</v>
      </c>
      <c r="F38" s="46" t="s">
        <v>283</v>
      </c>
      <c r="G38" s="46">
        <v>54</v>
      </c>
      <c r="H38" s="46" t="s">
        <v>287</v>
      </c>
      <c r="I38" s="48" t="s">
        <v>285</v>
      </c>
      <c r="J38" s="49">
        <v>5</v>
      </c>
      <c r="K38" s="50" t="s">
        <v>286</v>
      </c>
      <c r="L38" s="50">
        <v>0.1</v>
      </c>
      <c r="M38" s="52" t="s">
        <v>277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53</v>
      </c>
      <c r="D39" s="47" t="s">
        <v>58</v>
      </c>
      <c r="E39" s="46">
        <v>19</v>
      </c>
      <c r="F39" s="46" t="s">
        <v>288</v>
      </c>
      <c r="G39" s="46">
        <v>199</v>
      </c>
      <c r="H39" s="46" t="s">
        <v>289</v>
      </c>
      <c r="I39" s="48" t="s">
        <v>285</v>
      </c>
      <c r="J39" s="49">
        <v>0.55000000000000004</v>
      </c>
      <c r="K39" s="50" t="s">
        <v>290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41</v>
      </c>
      <c r="D40" s="47" t="s">
        <v>60</v>
      </c>
      <c r="E40" s="46">
        <v>20.5</v>
      </c>
      <c r="F40" s="46" t="s">
        <v>128</v>
      </c>
      <c r="G40" s="46">
        <v>4179</v>
      </c>
      <c r="H40" s="46" t="s">
        <v>136</v>
      </c>
      <c r="I40" s="48" t="s">
        <v>130</v>
      </c>
      <c r="J40" s="49">
        <v>3.9369999999999998</v>
      </c>
      <c r="K40" s="50" t="s">
        <v>271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41</v>
      </c>
      <c r="D41" s="47" t="s">
        <v>60</v>
      </c>
      <c r="E41" s="46">
        <v>20.5</v>
      </c>
      <c r="F41" s="46" t="s">
        <v>152</v>
      </c>
      <c r="G41" s="46">
        <v>3595</v>
      </c>
      <c r="H41" s="46" t="s">
        <v>273</v>
      </c>
      <c r="I41" s="48" t="s">
        <v>130</v>
      </c>
      <c r="J41" s="49">
        <v>0.31</v>
      </c>
      <c r="K41" s="50" t="s">
        <v>274</v>
      </c>
      <c r="L41" s="50">
        <v>0.1</v>
      </c>
      <c r="M41" s="52" t="s">
        <v>292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41</v>
      </c>
      <c r="D42" s="47" t="s">
        <v>60</v>
      </c>
      <c r="E42" s="46">
        <v>20.5</v>
      </c>
      <c r="F42" s="46" t="s">
        <v>166</v>
      </c>
      <c r="G42" s="46">
        <v>7370</v>
      </c>
      <c r="H42" s="46" t="s">
        <v>182</v>
      </c>
      <c r="I42" s="48" t="s">
        <v>168</v>
      </c>
      <c r="J42" s="49">
        <v>1000</v>
      </c>
      <c r="K42" s="50" t="s">
        <v>276</v>
      </c>
      <c r="L42" s="50">
        <v>0.02</v>
      </c>
      <c r="M42" s="52" t="s">
        <v>277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41</v>
      </c>
      <c r="D43" s="47" t="s">
        <v>60</v>
      </c>
      <c r="E43" s="46">
        <v>20.5</v>
      </c>
      <c r="F43" s="46" t="s">
        <v>191</v>
      </c>
      <c r="G43" s="46">
        <v>3619</v>
      </c>
      <c r="H43" s="46" t="s">
        <v>196</v>
      </c>
      <c r="I43" s="48" t="s">
        <v>168</v>
      </c>
      <c r="J43" s="49">
        <v>1.7</v>
      </c>
      <c r="K43" s="50" t="s">
        <v>278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41</v>
      </c>
      <c r="D44" s="47" t="s">
        <v>60</v>
      </c>
      <c r="E44" s="46">
        <v>20.5</v>
      </c>
      <c r="F44" s="46" t="s">
        <v>201</v>
      </c>
      <c r="G44" s="46">
        <v>194</v>
      </c>
      <c r="H44" s="46" t="s">
        <v>202</v>
      </c>
      <c r="I44" s="48" t="s">
        <v>130</v>
      </c>
      <c r="J44" s="49">
        <v>3.3999999999999998E-3</v>
      </c>
      <c r="K44" s="50" t="s">
        <v>293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41</v>
      </c>
      <c r="D45" s="47" t="s">
        <v>60</v>
      </c>
      <c r="E45" s="46">
        <v>20.5</v>
      </c>
      <c r="F45" s="46" t="s">
        <v>145</v>
      </c>
      <c r="G45" s="46">
        <v>4155</v>
      </c>
      <c r="H45" s="46" t="s">
        <v>151</v>
      </c>
      <c r="I45" s="48" t="s">
        <v>130</v>
      </c>
      <c r="J45" s="49">
        <v>0.1449</v>
      </c>
      <c r="K45" s="50" t="s">
        <v>280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41</v>
      </c>
      <c r="D46" s="47" t="s">
        <v>60</v>
      </c>
      <c r="E46" s="46">
        <v>20.5</v>
      </c>
      <c r="F46" s="46" t="s">
        <v>204</v>
      </c>
      <c r="G46" s="46">
        <v>3635</v>
      </c>
      <c r="H46" s="46" t="s">
        <v>205</v>
      </c>
      <c r="I46" s="48" t="s">
        <v>168</v>
      </c>
      <c r="J46" s="49">
        <v>5.8999999999999997E-2</v>
      </c>
      <c r="K46" s="50" t="s">
        <v>294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27</v>
      </c>
      <c r="D47" s="47" t="s">
        <v>62</v>
      </c>
      <c r="E47" s="46">
        <v>20.5</v>
      </c>
      <c r="F47" s="46" t="s">
        <v>128</v>
      </c>
      <c r="G47" s="46">
        <v>4179</v>
      </c>
      <c r="H47" s="46" t="s">
        <v>136</v>
      </c>
      <c r="I47" s="48" t="s">
        <v>130</v>
      </c>
      <c r="J47" s="49">
        <v>3.9369999999999998</v>
      </c>
      <c r="K47" s="50" t="s">
        <v>271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27</v>
      </c>
      <c r="D48" s="47" t="s">
        <v>62</v>
      </c>
      <c r="E48" s="46">
        <v>20.5</v>
      </c>
      <c r="F48" s="46" t="s">
        <v>152</v>
      </c>
      <c r="G48" s="46">
        <v>3595</v>
      </c>
      <c r="H48" s="46" t="s">
        <v>273</v>
      </c>
      <c r="I48" s="48" t="s">
        <v>130</v>
      </c>
      <c r="J48" s="49">
        <v>0.38500000000000001</v>
      </c>
      <c r="K48" s="50" t="s">
        <v>274</v>
      </c>
      <c r="L48" s="50">
        <v>0.1</v>
      </c>
      <c r="M48" s="52" t="s">
        <v>275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27</v>
      </c>
      <c r="D49" s="47" t="s">
        <v>62</v>
      </c>
      <c r="E49" s="46">
        <v>20.5</v>
      </c>
      <c r="F49" s="46" t="s">
        <v>166</v>
      </c>
      <c r="G49" s="46">
        <v>6971</v>
      </c>
      <c r="H49" s="46" t="s">
        <v>181</v>
      </c>
      <c r="I49" s="48" t="s">
        <v>168</v>
      </c>
      <c r="J49" s="49">
        <v>1000</v>
      </c>
      <c r="K49" s="50" t="s">
        <v>276</v>
      </c>
      <c r="L49" s="50">
        <v>0.02</v>
      </c>
      <c r="M49" s="52" t="s">
        <v>277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27</v>
      </c>
      <c r="D50" s="47" t="s">
        <v>62</v>
      </c>
      <c r="E50" s="46">
        <v>20.5</v>
      </c>
      <c r="F50" s="46" t="s">
        <v>191</v>
      </c>
      <c r="G50" s="46">
        <v>3619</v>
      </c>
      <c r="H50" s="46" t="s">
        <v>196</v>
      </c>
      <c r="I50" s="48" t="s">
        <v>168</v>
      </c>
      <c r="J50" s="49">
        <v>2.976</v>
      </c>
      <c r="K50" s="50" t="s">
        <v>278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27</v>
      </c>
      <c r="D51" s="47" t="s">
        <v>62</v>
      </c>
      <c r="E51" s="46">
        <v>20.5</v>
      </c>
      <c r="F51" s="46" t="s">
        <v>201</v>
      </c>
      <c r="G51" s="46">
        <v>194</v>
      </c>
      <c r="H51" s="46" t="s">
        <v>202</v>
      </c>
      <c r="I51" s="48" t="s">
        <v>130</v>
      </c>
      <c r="J51" s="49">
        <v>4.0899999999999999E-3</v>
      </c>
      <c r="K51" s="50" t="s">
        <v>279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27</v>
      </c>
      <c r="D52" s="47" t="s">
        <v>62</v>
      </c>
      <c r="E52" s="46">
        <v>20.5</v>
      </c>
      <c r="F52" s="46" t="s">
        <v>145</v>
      </c>
      <c r="G52" s="46">
        <v>4155</v>
      </c>
      <c r="H52" s="46" t="s">
        <v>151</v>
      </c>
      <c r="I52" s="48" t="s">
        <v>148</v>
      </c>
      <c r="J52" s="49">
        <v>0.24</v>
      </c>
      <c r="K52" s="50" t="s">
        <v>280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27</v>
      </c>
      <c r="D53" s="47" t="s">
        <v>62</v>
      </c>
      <c r="E53" s="46">
        <v>20.5</v>
      </c>
      <c r="F53" s="46" t="s">
        <v>204</v>
      </c>
      <c r="G53" s="46">
        <v>3635</v>
      </c>
      <c r="H53" s="46" t="s">
        <v>205</v>
      </c>
      <c r="I53" s="48" t="s">
        <v>168</v>
      </c>
      <c r="J53" s="49">
        <v>5.8999999999999997E-2</v>
      </c>
      <c r="K53" s="50" t="s">
        <v>282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27</v>
      </c>
      <c r="D54" s="47" t="s">
        <v>59</v>
      </c>
      <c r="E54" s="46">
        <v>20.5</v>
      </c>
      <c r="F54" s="46" t="s">
        <v>128</v>
      </c>
      <c r="G54" s="46">
        <v>4179</v>
      </c>
      <c r="H54" s="46" t="s">
        <v>136</v>
      </c>
      <c r="I54" s="48" t="s">
        <v>130</v>
      </c>
      <c r="J54" s="49">
        <v>3.9369999999999998</v>
      </c>
      <c r="K54" s="50" t="s">
        <v>271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27</v>
      </c>
      <c r="D55" s="47" t="s">
        <v>59</v>
      </c>
      <c r="E55" s="46">
        <v>20.5</v>
      </c>
      <c r="F55" s="46" t="s">
        <v>152</v>
      </c>
      <c r="G55" s="46">
        <v>3595</v>
      </c>
      <c r="H55" s="46" t="s">
        <v>273</v>
      </c>
      <c r="I55" s="48" t="s">
        <v>130</v>
      </c>
      <c r="J55" s="49">
        <v>0.38500000000000001</v>
      </c>
      <c r="K55" s="50" t="s">
        <v>274</v>
      </c>
      <c r="L55" s="50">
        <v>0.1</v>
      </c>
      <c r="M55" s="52" t="s">
        <v>275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27</v>
      </c>
      <c r="D56" s="47" t="s">
        <v>59</v>
      </c>
      <c r="E56" s="46">
        <v>20.5</v>
      </c>
      <c r="F56" s="46" t="s">
        <v>166</v>
      </c>
      <c r="G56" s="46">
        <v>6971</v>
      </c>
      <c r="H56" s="46" t="s">
        <v>181</v>
      </c>
      <c r="I56" s="48" t="s">
        <v>168</v>
      </c>
      <c r="J56" s="49">
        <v>1000</v>
      </c>
      <c r="K56" s="50" t="s">
        <v>276</v>
      </c>
      <c r="L56" s="50">
        <v>0.02</v>
      </c>
      <c r="M56" s="52" t="s">
        <v>277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27</v>
      </c>
      <c r="D57" s="47" t="s">
        <v>59</v>
      </c>
      <c r="E57" s="46">
        <v>20.5</v>
      </c>
      <c r="F57" s="46" t="s">
        <v>191</v>
      </c>
      <c r="G57" s="46">
        <v>3619</v>
      </c>
      <c r="H57" s="46" t="s">
        <v>196</v>
      </c>
      <c r="I57" s="48" t="s">
        <v>168</v>
      </c>
      <c r="J57" s="49">
        <v>1.9607000000000001</v>
      </c>
      <c r="K57" s="50" t="s">
        <v>278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27</v>
      </c>
      <c r="D58" s="47" t="s">
        <v>59</v>
      </c>
      <c r="E58" s="46">
        <v>20.5</v>
      </c>
      <c r="F58" s="46" t="s">
        <v>201</v>
      </c>
      <c r="G58" s="46">
        <v>194</v>
      </c>
      <c r="H58" s="46" t="s">
        <v>202</v>
      </c>
      <c r="I58" s="48" t="s">
        <v>130</v>
      </c>
      <c r="J58" s="49">
        <v>4.0899999999999999E-3</v>
      </c>
      <c r="K58" s="50" t="s">
        <v>279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27</v>
      </c>
      <c r="D59" s="47" t="s">
        <v>59</v>
      </c>
      <c r="E59" s="46">
        <v>20.5</v>
      </c>
      <c r="F59" s="46" t="s">
        <v>145</v>
      </c>
      <c r="G59" s="46">
        <v>4155</v>
      </c>
      <c r="H59" s="46" t="s">
        <v>151</v>
      </c>
      <c r="I59" s="48" t="s">
        <v>148</v>
      </c>
      <c r="J59" s="49">
        <v>0.24</v>
      </c>
      <c r="K59" s="50" t="s">
        <v>280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27</v>
      </c>
      <c r="D60" s="47" t="s">
        <v>59</v>
      </c>
      <c r="E60" s="46">
        <v>20.5</v>
      </c>
      <c r="F60" s="46" t="s">
        <v>204</v>
      </c>
      <c r="G60" s="46">
        <v>3635</v>
      </c>
      <c r="H60" s="46" t="s">
        <v>205</v>
      </c>
      <c r="I60" s="48" t="s">
        <v>168</v>
      </c>
      <c r="J60" s="49">
        <v>5.8999999999999997E-2</v>
      </c>
      <c r="K60" s="50" t="s">
        <v>282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27</v>
      </c>
      <c r="D61" s="47" t="s">
        <v>61</v>
      </c>
      <c r="E61" s="46">
        <v>20.5</v>
      </c>
      <c r="F61" s="46" t="s">
        <v>128</v>
      </c>
      <c r="G61" s="46">
        <v>4179</v>
      </c>
      <c r="H61" s="46" t="s">
        <v>136</v>
      </c>
      <c r="I61" s="48" t="s">
        <v>130</v>
      </c>
      <c r="J61" s="49">
        <v>3.9369999999999998</v>
      </c>
      <c r="K61" s="50" t="s">
        <v>271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27</v>
      </c>
      <c r="D62" s="47" t="s">
        <v>61</v>
      </c>
      <c r="E62" s="46">
        <v>20.5</v>
      </c>
      <c r="F62" s="46" t="s">
        <v>152</v>
      </c>
      <c r="G62" s="46">
        <v>3595</v>
      </c>
      <c r="H62" s="46" t="s">
        <v>273</v>
      </c>
      <c r="I62" s="48" t="s">
        <v>130</v>
      </c>
      <c r="J62" s="49">
        <v>0.38500000000000001</v>
      </c>
      <c r="K62" s="50" t="s">
        <v>274</v>
      </c>
      <c r="L62" s="50">
        <v>0.1</v>
      </c>
      <c r="M62" s="52" t="s">
        <v>292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27</v>
      </c>
      <c r="D63" s="47" t="s">
        <v>61</v>
      </c>
      <c r="E63" s="46">
        <v>20.5</v>
      </c>
      <c r="F63" s="46" t="s">
        <v>166</v>
      </c>
      <c r="G63" s="46">
        <v>6971</v>
      </c>
      <c r="H63" s="46" t="s">
        <v>181</v>
      </c>
      <c r="I63" s="48" t="s">
        <v>168</v>
      </c>
      <c r="J63" s="49">
        <v>1000</v>
      </c>
      <c r="K63" s="50" t="s">
        <v>276</v>
      </c>
      <c r="L63" s="50">
        <v>0.02</v>
      </c>
      <c r="M63" s="52" t="s">
        <v>292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27</v>
      </c>
      <c r="D64" s="47" t="s">
        <v>61</v>
      </c>
      <c r="E64" s="46">
        <v>20.5</v>
      </c>
      <c r="F64" s="46" t="s">
        <v>191</v>
      </c>
      <c r="G64" s="46">
        <v>3619</v>
      </c>
      <c r="H64" s="46" t="s">
        <v>196</v>
      </c>
      <c r="I64" s="48" t="s">
        <v>168</v>
      </c>
      <c r="J64" s="49">
        <v>1.96</v>
      </c>
      <c r="K64" s="50" t="s">
        <v>278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27</v>
      </c>
      <c r="D65" s="47" t="s">
        <v>61</v>
      </c>
      <c r="E65" s="46">
        <v>20.5</v>
      </c>
      <c r="F65" s="46" t="s">
        <v>201</v>
      </c>
      <c r="G65" s="46">
        <v>194</v>
      </c>
      <c r="H65" s="46" t="s">
        <v>202</v>
      </c>
      <c r="I65" s="48" t="s">
        <v>130</v>
      </c>
      <c r="J65" s="49">
        <v>4.0940000000000004E-3</v>
      </c>
      <c r="K65" s="50" t="s">
        <v>279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27</v>
      </c>
      <c r="D66" s="47" t="s">
        <v>61</v>
      </c>
      <c r="E66" s="46">
        <v>20.5</v>
      </c>
      <c r="F66" s="46" t="s">
        <v>145</v>
      </c>
      <c r="G66" s="46">
        <v>4155</v>
      </c>
      <c r="H66" s="46" t="s">
        <v>151</v>
      </c>
      <c r="I66" s="48" t="s">
        <v>148</v>
      </c>
      <c r="J66" s="49">
        <v>0.24</v>
      </c>
      <c r="K66" s="50" t="s">
        <v>280</v>
      </c>
      <c r="L66" s="50">
        <v>0.1</v>
      </c>
      <c r="M66" s="52" t="s">
        <v>292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27</v>
      </c>
      <c r="D67" s="47" t="s">
        <v>61</v>
      </c>
      <c r="E67" s="46">
        <v>20.5</v>
      </c>
      <c r="F67" s="46" t="s">
        <v>204</v>
      </c>
      <c r="G67" s="46">
        <v>3635</v>
      </c>
      <c r="H67" s="46" t="s">
        <v>205</v>
      </c>
      <c r="I67" s="48" t="s">
        <v>168</v>
      </c>
      <c r="J67" s="49">
        <v>2.996</v>
      </c>
      <c r="K67" s="50" t="s">
        <v>282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27</v>
      </c>
      <c r="D68" s="47" t="s">
        <v>63</v>
      </c>
      <c r="E68" s="46">
        <v>20.5</v>
      </c>
      <c r="F68" s="46" t="s">
        <v>128</v>
      </c>
      <c r="G68" s="46">
        <v>4179</v>
      </c>
      <c r="H68" s="46" t="s">
        <v>136</v>
      </c>
      <c r="I68" s="48" t="s">
        <v>130</v>
      </c>
      <c r="J68" s="49">
        <v>3.9369999999999998</v>
      </c>
      <c r="K68" s="50" t="s">
        <v>271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27</v>
      </c>
      <c r="D69" s="47" t="s">
        <v>63</v>
      </c>
      <c r="E69" s="46">
        <v>20.5</v>
      </c>
      <c r="F69" s="46" t="s">
        <v>152</v>
      </c>
      <c r="G69" s="46">
        <v>3595</v>
      </c>
      <c r="H69" s="46" t="s">
        <v>273</v>
      </c>
      <c r="I69" s="48" t="s">
        <v>130</v>
      </c>
      <c r="J69" s="49">
        <v>0.38500000000000001</v>
      </c>
      <c r="K69" s="50" t="s">
        <v>274</v>
      </c>
      <c r="L69" s="50">
        <v>0.1</v>
      </c>
      <c r="M69" s="52" t="s">
        <v>292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27</v>
      </c>
      <c r="D70" s="47" t="s">
        <v>63</v>
      </c>
      <c r="E70" s="46">
        <v>20.5</v>
      </c>
      <c r="F70" s="46" t="s">
        <v>166</v>
      </c>
      <c r="G70" s="46">
        <v>6971</v>
      </c>
      <c r="H70" s="46" t="s">
        <v>181</v>
      </c>
      <c r="I70" s="48" t="s">
        <v>168</v>
      </c>
      <c r="J70" s="49">
        <v>1000</v>
      </c>
      <c r="K70" s="50" t="s">
        <v>276</v>
      </c>
      <c r="L70" s="50">
        <v>0.02</v>
      </c>
      <c r="M70" s="52" t="s">
        <v>292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27</v>
      </c>
      <c r="D71" s="47" t="s">
        <v>63</v>
      </c>
      <c r="E71" s="46">
        <v>20.5</v>
      </c>
      <c r="F71" s="46" t="s">
        <v>191</v>
      </c>
      <c r="G71" s="46">
        <v>3619</v>
      </c>
      <c r="H71" s="46" t="s">
        <v>196</v>
      </c>
      <c r="I71" s="48" t="s">
        <v>168</v>
      </c>
      <c r="J71" s="49">
        <v>1.96</v>
      </c>
      <c r="K71" s="50" t="s">
        <v>278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27</v>
      </c>
      <c r="D72" s="47" t="s">
        <v>63</v>
      </c>
      <c r="E72" s="46">
        <v>20.5</v>
      </c>
      <c r="F72" s="46" t="s">
        <v>201</v>
      </c>
      <c r="G72" s="46">
        <v>194</v>
      </c>
      <c r="H72" s="46" t="s">
        <v>202</v>
      </c>
      <c r="I72" s="48" t="s">
        <v>130</v>
      </c>
      <c r="J72" s="49">
        <v>4.0899999999999999E-3</v>
      </c>
      <c r="K72" s="50" t="s">
        <v>293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27</v>
      </c>
      <c r="D73" s="47" t="s">
        <v>63</v>
      </c>
      <c r="E73" s="46">
        <v>20.5</v>
      </c>
      <c r="F73" s="46" t="s">
        <v>145</v>
      </c>
      <c r="G73" s="46">
        <v>4155</v>
      </c>
      <c r="H73" s="46" t="s">
        <v>151</v>
      </c>
      <c r="I73" s="48" t="s">
        <v>148</v>
      </c>
      <c r="J73" s="49">
        <v>0.24</v>
      </c>
      <c r="K73" s="50" t="s">
        <v>280</v>
      </c>
      <c r="L73" s="50">
        <v>0.1</v>
      </c>
      <c r="M73" s="52" t="s">
        <v>292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27</v>
      </c>
      <c r="D74" s="47" t="s">
        <v>63</v>
      </c>
      <c r="E74" s="46">
        <v>20.5</v>
      </c>
      <c r="F74" s="46" t="s">
        <v>204</v>
      </c>
      <c r="G74" s="46">
        <v>3635</v>
      </c>
      <c r="H74" s="46" t="s">
        <v>205</v>
      </c>
      <c r="I74" s="48" t="s">
        <v>168</v>
      </c>
      <c r="J74" s="49">
        <v>2.996</v>
      </c>
      <c r="K74" s="50" t="s">
        <v>294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27</v>
      </c>
      <c r="D75" s="47" t="s">
        <v>64</v>
      </c>
      <c r="E75" s="46">
        <v>20.5</v>
      </c>
      <c r="F75" s="46" t="s">
        <v>128</v>
      </c>
      <c r="G75" s="46">
        <v>4179</v>
      </c>
      <c r="H75" s="46" t="s">
        <v>136</v>
      </c>
      <c r="I75" s="48" t="s">
        <v>130</v>
      </c>
      <c r="J75" s="49">
        <v>3.9369999999999998</v>
      </c>
      <c r="K75" s="50" t="s">
        <v>271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27</v>
      </c>
      <c r="D76" s="47" t="s">
        <v>64</v>
      </c>
      <c r="E76" s="46">
        <v>20.5</v>
      </c>
      <c r="F76" s="46" t="s">
        <v>152</v>
      </c>
      <c r="G76" s="46">
        <v>3595</v>
      </c>
      <c r="H76" s="46" t="s">
        <v>273</v>
      </c>
      <c r="I76" s="48" t="s">
        <v>130</v>
      </c>
      <c r="J76" s="49">
        <v>0.38500000000000001</v>
      </c>
      <c r="K76" s="50" t="s">
        <v>274</v>
      </c>
      <c r="L76" s="50">
        <v>0.1</v>
      </c>
      <c r="M76" s="52" t="s">
        <v>275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27</v>
      </c>
      <c r="D77" s="47" t="s">
        <v>64</v>
      </c>
      <c r="E77" s="46">
        <v>20.5</v>
      </c>
      <c r="F77" s="46" t="s">
        <v>166</v>
      </c>
      <c r="G77" s="46">
        <v>6971</v>
      </c>
      <c r="H77" s="46" t="s">
        <v>181</v>
      </c>
      <c r="I77" s="48" t="s">
        <v>168</v>
      </c>
      <c r="J77" s="49">
        <v>1000</v>
      </c>
      <c r="K77" s="50" t="s">
        <v>276</v>
      </c>
      <c r="L77" s="50">
        <v>0.02</v>
      </c>
      <c r="M77" s="52" t="s">
        <v>277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27</v>
      </c>
      <c r="D78" s="47" t="s">
        <v>64</v>
      </c>
      <c r="E78" s="46">
        <v>20.5</v>
      </c>
      <c r="F78" s="46" t="s">
        <v>191</v>
      </c>
      <c r="G78" s="46">
        <v>3619</v>
      </c>
      <c r="H78" s="46" t="s">
        <v>196</v>
      </c>
      <c r="I78" s="48" t="s">
        <v>168</v>
      </c>
      <c r="J78" s="49">
        <v>1.9607000000000001</v>
      </c>
      <c r="K78" s="50" t="s">
        <v>278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27</v>
      </c>
      <c r="D79" s="47" t="s">
        <v>64</v>
      </c>
      <c r="E79" s="46">
        <v>20.5</v>
      </c>
      <c r="F79" s="46" t="s">
        <v>201</v>
      </c>
      <c r="G79" s="46">
        <v>194</v>
      </c>
      <c r="H79" s="46" t="s">
        <v>202</v>
      </c>
      <c r="I79" s="48" t="s">
        <v>130</v>
      </c>
      <c r="J79" s="49">
        <v>4.0899999999999999E-3</v>
      </c>
      <c r="K79" s="50" t="s">
        <v>279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27</v>
      </c>
      <c r="D80" s="47" t="s">
        <v>64</v>
      </c>
      <c r="E80" s="46">
        <v>20.5</v>
      </c>
      <c r="F80" s="46" t="s">
        <v>145</v>
      </c>
      <c r="G80" s="46">
        <v>4155</v>
      </c>
      <c r="H80" s="46" t="s">
        <v>151</v>
      </c>
      <c r="I80" s="48" t="s">
        <v>148</v>
      </c>
      <c r="J80" s="49">
        <v>0.24</v>
      </c>
      <c r="K80" s="50" t="s">
        <v>280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27</v>
      </c>
      <c r="D81" s="47" t="s">
        <v>64</v>
      </c>
      <c r="E81" s="46">
        <v>20.5</v>
      </c>
      <c r="F81" s="46" t="s">
        <v>204</v>
      </c>
      <c r="G81" s="46">
        <v>3635</v>
      </c>
      <c r="H81" s="46" t="s">
        <v>205</v>
      </c>
      <c r="I81" s="48" t="s">
        <v>168</v>
      </c>
      <c r="J81" s="49">
        <v>5.8999999999999997E-2</v>
      </c>
      <c r="K81" s="50" t="s">
        <v>282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27</v>
      </c>
      <c r="D82" s="47" t="s">
        <v>65</v>
      </c>
      <c r="E82" s="46">
        <v>20.5</v>
      </c>
      <c r="F82" s="46" t="s">
        <v>128</v>
      </c>
      <c r="G82" s="46">
        <v>4179</v>
      </c>
      <c r="H82" s="46" t="s">
        <v>136</v>
      </c>
      <c r="I82" s="48" t="s">
        <v>130</v>
      </c>
      <c r="J82" s="49">
        <v>3.9369999999999998</v>
      </c>
      <c r="K82" s="50" t="s">
        <v>271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27</v>
      </c>
      <c r="D83" s="47" t="s">
        <v>65</v>
      </c>
      <c r="E83" s="46">
        <v>20.5</v>
      </c>
      <c r="F83" s="46" t="s">
        <v>152</v>
      </c>
      <c r="G83" s="46">
        <v>3595</v>
      </c>
      <c r="H83" s="46" t="s">
        <v>273</v>
      </c>
      <c r="I83" s="48" t="s">
        <v>130</v>
      </c>
      <c r="J83" s="49">
        <v>0.38500000000000001</v>
      </c>
      <c r="K83" s="50" t="s">
        <v>274</v>
      </c>
      <c r="L83" s="50">
        <v>0.1</v>
      </c>
      <c r="M83" s="52" t="s">
        <v>275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27</v>
      </c>
      <c r="D84" s="47" t="s">
        <v>65</v>
      </c>
      <c r="E84" s="46">
        <v>20.5</v>
      </c>
      <c r="F84" s="46" t="s">
        <v>166</v>
      </c>
      <c r="G84" s="46">
        <v>6971</v>
      </c>
      <c r="H84" s="46" t="s">
        <v>181</v>
      </c>
      <c r="I84" s="48" t="s">
        <v>168</v>
      </c>
      <c r="J84" s="49">
        <v>1000</v>
      </c>
      <c r="K84" s="50" t="s">
        <v>276</v>
      </c>
      <c r="L84" s="50">
        <v>0.02</v>
      </c>
      <c r="M84" s="52" t="s">
        <v>277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27</v>
      </c>
      <c r="D85" s="47" t="s">
        <v>65</v>
      </c>
      <c r="E85" s="46">
        <v>20.5</v>
      </c>
      <c r="F85" s="46" t="s">
        <v>191</v>
      </c>
      <c r="G85" s="46">
        <v>3619</v>
      </c>
      <c r="H85" s="46" t="s">
        <v>196</v>
      </c>
      <c r="I85" s="48" t="s">
        <v>168</v>
      </c>
      <c r="J85" s="49">
        <v>1.9607000000000001</v>
      </c>
      <c r="K85" s="50" t="s">
        <v>278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27</v>
      </c>
      <c r="D86" s="47" t="s">
        <v>65</v>
      </c>
      <c r="E86" s="46">
        <v>20.5</v>
      </c>
      <c r="F86" s="46" t="s">
        <v>201</v>
      </c>
      <c r="G86" s="46">
        <v>194</v>
      </c>
      <c r="H86" s="46" t="s">
        <v>202</v>
      </c>
      <c r="I86" s="48" t="s">
        <v>130</v>
      </c>
      <c r="J86" s="49">
        <v>4.0899999999999999E-3</v>
      </c>
      <c r="K86" s="50" t="s">
        <v>279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27</v>
      </c>
      <c r="D87" s="47" t="s">
        <v>65</v>
      </c>
      <c r="E87" s="46">
        <v>20.5</v>
      </c>
      <c r="F87" s="46" t="s">
        <v>145</v>
      </c>
      <c r="G87" s="46">
        <v>4155</v>
      </c>
      <c r="H87" s="46" t="s">
        <v>151</v>
      </c>
      <c r="I87" s="48" t="s">
        <v>148</v>
      </c>
      <c r="J87" s="49">
        <v>0.24</v>
      </c>
      <c r="K87" s="50" t="s">
        <v>280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27</v>
      </c>
      <c r="D88" s="47" t="s">
        <v>65</v>
      </c>
      <c r="E88" s="46">
        <v>20.5</v>
      </c>
      <c r="F88" s="46" t="s">
        <v>204</v>
      </c>
      <c r="G88" s="46">
        <v>3635</v>
      </c>
      <c r="H88" s="46" t="s">
        <v>205</v>
      </c>
      <c r="I88" s="48" t="s">
        <v>168</v>
      </c>
      <c r="J88" s="49">
        <v>5.8999999999999997E-2</v>
      </c>
      <c r="K88" s="50" t="s">
        <v>282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41</v>
      </c>
      <c r="D89" s="47" t="s">
        <v>71</v>
      </c>
      <c r="E89" s="46">
        <v>25</v>
      </c>
      <c r="F89" s="46" t="s">
        <v>128</v>
      </c>
      <c r="G89" s="46">
        <v>6</v>
      </c>
      <c r="H89" s="46" t="s">
        <v>137</v>
      </c>
      <c r="I89" s="48" t="s">
        <v>130</v>
      </c>
      <c r="J89" s="49">
        <v>5.97</v>
      </c>
      <c r="K89" s="50" t="s">
        <v>271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41</v>
      </c>
      <c r="D90" s="47" t="s">
        <v>71</v>
      </c>
      <c r="E90" s="46">
        <v>25</v>
      </c>
      <c r="F90" s="46" t="s">
        <v>152</v>
      </c>
      <c r="G90" s="46">
        <v>3595</v>
      </c>
      <c r="H90" s="46" t="s">
        <v>273</v>
      </c>
      <c r="I90" s="48" t="s">
        <v>130</v>
      </c>
      <c r="J90" s="49">
        <v>0.61199999999999999</v>
      </c>
      <c r="K90" s="50" t="s">
        <v>274</v>
      </c>
      <c r="L90" s="50">
        <v>0.1</v>
      </c>
      <c r="M90" s="52" t="s">
        <v>292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41</v>
      </c>
      <c r="D91" s="47" t="s">
        <v>71</v>
      </c>
      <c r="E91" s="46">
        <v>25</v>
      </c>
      <c r="F91" s="46" t="s">
        <v>164</v>
      </c>
      <c r="G91" s="46">
        <v>186</v>
      </c>
      <c r="H91" s="46" t="s">
        <v>165</v>
      </c>
      <c r="I91" s="48" t="s">
        <v>130</v>
      </c>
      <c r="J91" s="49">
        <v>0.25</v>
      </c>
      <c r="K91" s="50" t="s">
        <v>295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41</v>
      </c>
      <c r="D92" s="47" t="s">
        <v>71</v>
      </c>
      <c r="E92" s="46">
        <v>25</v>
      </c>
      <c r="F92" s="46" t="s">
        <v>166</v>
      </c>
      <c r="G92" s="46">
        <v>68</v>
      </c>
      <c r="H92" s="46" t="s">
        <v>183</v>
      </c>
      <c r="I92" s="48" t="s">
        <v>168</v>
      </c>
      <c r="J92" s="49">
        <v>1000</v>
      </c>
      <c r="K92" s="50" t="s">
        <v>276</v>
      </c>
      <c r="L92" s="50">
        <v>0.02</v>
      </c>
      <c r="M92" s="52" t="s">
        <v>277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41</v>
      </c>
      <c r="D93" s="47" t="s">
        <v>71</v>
      </c>
      <c r="E93" s="46">
        <v>25</v>
      </c>
      <c r="F93" s="46" t="s">
        <v>191</v>
      </c>
      <c r="G93" s="46">
        <v>3598</v>
      </c>
      <c r="H93" s="46" t="s">
        <v>197</v>
      </c>
      <c r="I93" s="48" t="s">
        <v>168</v>
      </c>
      <c r="J93" s="49">
        <v>2.976</v>
      </c>
      <c r="K93" s="50" t="s">
        <v>278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41</v>
      </c>
      <c r="D94" s="47" t="s">
        <v>71</v>
      </c>
      <c r="E94" s="46">
        <v>25</v>
      </c>
      <c r="F94" s="46" t="s">
        <v>201</v>
      </c>
      <c r="G94" s="46">
        <v>194</v>
      </c>
      <c r="H94" s="46" t="s">
        <v>202</v>
      </c>
      <c r="I94" s="48" t="s">
        <v>130</v>
      </c>
      <c r="J94" s="49">
        <v>6.1538499999999998E-3</v>
      </c>
      <c r="K94" s="50" t="s">
        <v>279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41</v>
      </c>
      <c r="D95" s="47" t="s">
        <v>71</v>
      </c>
      <c r="E95" s="46">
        <v>25</v>
      </c>
      <c r="F95" s="46" t="s">
        <v>145</v>
      </c>
      <c r="G95" s="46">
        <v>4155</v>
      </c>
      <c r="H95" s="46" t="s">
        <v>151</v>
      </c>
      <c r="I95" s="48" t="s">
        <v>130</v>
      </c>
      <c r="J95" s="49">
        <v>0.29199999999999998</v>
      </c>
      <c r="K95" s="50" t="s">
        <v>280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41</v>
      </c>
      <c r="D96" s="47" t="s">
        <v>71</v>
      </c>
      <c r="E96" s="46">
        <v>25</v>
      </c>
      <c r="F96" s="46" t="s">
        <v>296</v>
      </c>
      <c r="G96" s="46">
        <v>495</v>
      </c>
      <c r="H96" s="46" t="s">
        <v>297</v>
      </c>
      <c r="I96" s="48" t="s">
        <v>285</v>
      </c>
      <c r="J96" s="49">
        <v>2.976</v>
      </c>
      <c r="K96" s="50" t="s">
        <v>298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41</v>
      </c>
      <c r="D97" s="47" t="s">
        <v>71</v>
      </c>
      <c r="E97" s="46">
        <v>25</v>
      </c>
      <c r="F97" s="46" t="s">
        <v>204</v>
      </c>
      <c r="G97" s="46">
        <v>3635</v>
      </c>
      <c r="H97" s="46" t="s">
        <v>205</v>
      </c>
      <c r="I97" s="48" t="s">
        <v>168</v>
      </c>
      <c r="J97" s="49">
        <v>7.9000000000000001E-2</v>
      </c>
      <c r="K97" s="50" t="s">
        <v>282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27</v>
      </c>
      <c r="D98" s="47" t="s">
        <v>66</v>
      </c>
      <c r="E98" s="46">
        <v>25</v>
      </c>
      <c r="F98" s="46" t="s">
        <v>128</v>
      </c>
      <c r="G98" s="46">
        <v>6</v>
      </c>
      <c r="H98" s="46" t="s">
        <v>137</v>
      </c>
      <c r="I98" s="48" t="s">
        <v>130</v>
      </c>
      <c r="J98" s="49">
        <v>5.9169999999999998</v>
      </c>
      <c r="K98" s="50" t="s">
        <v>271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27</v>
      </c>
      <c r="D99" s="47" t="s">
        <v>66</v>
      </c>
      <c r="E99" s="46">
        <v>25</v>
      </c>
      <c r="F99" s="46" t="s">
        <v>152</v>
      </c>
      <c r="G99" s="46">
        <v>3595</v>
      </c>
      <c r="H99" s="46" t="s">
        <v>273</v>
      </c>
      <c r="I99" s="48" t="s">
        <v>130</v>
      </c>
      <c r="J99" s="49">
        <v>0.61</v>
      </c>
      <c r="K99" s="50" t="s">
        <v>274</v>
      </c>
      <c r="L99" s="50">
        <v>0.1</v>
      </c>
      <c r="M99" s="52" t="s">
        <v>292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27</v>
      </c>
      <c r="D100" s="47" t="s">
        <v>66</v>
      </c>
      <c r="E100" s="46">
        <v>25</v>
      </c>
      <c r="F100" s="46" t="s">
        <v>166</v>
      </c>
      <c r="G100" s="46">
        <v>68</v>
      </c>
      <c r="H100" s="46" t="s">
        <v>183</v>
      </c>
      <c r="I100" s="48" t="s">
        <v>168</v>
      </c>
      <c r="J100" s="49">
        <v>1000</v>
      </c>
      <c r="K100" s="50" t="s">
        <v>276</v>
      </c>
      <c r="L100" s="50">
        <v>0.02</v>
      </c>
      <c r="M100" s="52" t="s">
        <v>292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27</v>
      </c>
      <c r="D101" s="47" t="s">
        <v>66</v>
      </c>
      <c r="E101" s="46">
        <v>25</v>
      </c>
      <c r="F101" s="46" t="s">
        <v>191</v>
      </c>
      <c r="G101" s="46">
        <v>3598</v>
      </c>
      <c r="H101" s="46" t="s">
        <v>197</v>
      </c>
      <c r="I101" s="48" t="s">
        <v>168</v>
      </c>
      <c r="J101" s="49">
        <v>2.976</v>
      </c>
      <c r="K101" s="50" t="s">
        <v>278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27</v>
      </c>
      <c r="D102" s="47" t="s">
        <v>66</v>
      </c>
      <c r="E102" s="46">
        <v>25</v>
      </c>
      <c r="F102" s="46" t="s">
        <v>201</v>
      </c>
      <c r="G102" s="46">
        <v>194</v>
      </c>
      <c r="H102" s="46" t="s">
        <v>202</v>
      </c>
      <c r="I102" s="48" t="s">
        <v>130</v>
      </c>
      <c r="J102" s="49">
        <v>6.1500000000000001E-3</v>
      </c>
      <c r="K102" s="50" t="s">
        <v>279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27</v>
      </c>
      <c r="D103" s="47" t="s">
        <v>66</v>
      </c>
      <c r="E103" s="46">
        <v>25</v>
      </c>
      <c r="F103" s="46" t="s">
        <v>145</v>
      </c>
      <c r="G103" s="46">
        <v>4155</v>
      </c>
      <c r="H103" s="46" t="s">
        <v>151</v>
      </c>
      <c r="I103" s="48" t="s">
        <v>148</v>
      </c>
      <c r="J103" s="49">
        <v>0.37369999999999998</v>
      </c>
      <c r="K103" s="50" t="s">
        <v>280</v>
      </c>
      <c r="L103" s="50">
        <v>0.1</v>
      </c>
      <c r="M103" s="52" t="s">
        <v>292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27</v>
      </c>
      <c r="D104" s="47" t="s">
        <v>66</v>
      </c>
      <c r="E104" s="46">
        <v>25</v>
      </c>
      <c r="F104" s="46" t="s">
        <v>204</v>
      </c>
      <c r="G104" s="46">
        <v>3635</v>
      </c>
      <c r="H104" s="46" t="s">
        <v>205</v>
      </c>
      <c r="I104" s="48" t="s">
        <v>168</v>
      </c>
      <c r="J104" s="49">
        <v>4.7119999999999997</v>
      </c>
      <c r="K104" s="50" t="s">
        <v>282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27</v>
      </c>
      <c r="D105" s="47" t="s">
        <v>68</v>
      </c>
      <c r="E105" s="46">
        <v>25</v>
      </c>
      <c r="F105" s="46" t="s">
        <v>128</v>
      </c>
      <c r="G105" s="46">
        <v>6</v>
      </c>
      <c r="H105" s="46" t="s">
        <v>137</v>
      </c>
      <c r="I105" s="48" t="s">
        <v>130</v>
      </c>
      <c r="J105" s="49">
        <v>5.9169999999999998</v>
      </c>
      <c r="K105" s="50" t="s">
        <v>271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27</v>
      </c>
      <c r="D106" s="47" t="s">
        <v>68</v>
      </c>
      <c r="E106" s="46">
        <v>25</v>
      </c>
      <c r="F106" s="46" t="s">
        <v>152</v>
      </c>
      <c r="G106" s="46">
        <v>3595</v>
      </c>
      <c r="H106" s="46" t="s">
        <v>273</v>
      </c>
      <c r="I106" s="48" t="s">
        <v>130</v>
      </c>
      <c r="J106" s="49">
        <v>0.61199999999999999</v>
      </c>
      <c r="K106" s="50" t="s">
        <v>274</v>
      </c>
      <c r="L106" s="50">
        <v>0.1</v>
      </c>
      <c r="M106" s="52" t="s">
        <v>292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27</v>
      </c>
      <c r="D107" s="47" t="s">
        <v>68</v>
      </c>
      <c r="E107" s="46">
        <v>25</v>
      </c>
      <c r="F107" s="46" t="s">
        <v>166</v>
      </c>
      <c r="G107" s="46">
        <v>68</v>
      </c>
      <c r="H107" s="46" t="s">
        <v>183</v>
      </c>
      <c r="I107" s="48" t="s">
        <v>168</v>
      </c>
      <c r="J107" s="49">
        <v>1000</v>
      </c>
      <c r="K107" s="50" t="s">
        <v>276</v>
      </c>
      <c r="L107" s="50">
        <v>0.02</v>
      </c>
      <c r="M107" s="52" t="s">
        <v>277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27</v>
      </c>
      <c r="D108" s="47" t="s">
        <v>68</v>
      </c>
      <c r="E108" s="46">
        <v>25</v>
      </c>
      <c r="F108" s="46" t="s">
        <v>191</v>
      </c>
      <c r="G108" s="46">
        <v>3598</v>
      </c>
      <c r="H108" s="46" t="s">
        <v>197</v>
      </c>
      <c r="I108" s="48" t="s">
        <v>168</v>
      </c>
      <c r="J108" s="49">
        <v>2.976</v>
      </c>
      <c r="K108" s="50" t="s">
        <v>278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27</v>
      </c>
      <c r="D109" s="47" t="s">
        <v>68</v>
      </c>
      <c r="E109" s="46">
        <v>25</v>
      </c>
      <c r="F109" s="46" t="s">
        <v>201</v>
      </c>
      <c r="G109" s="46">
        <v>194</v>
      </c>
      <c r="H109" s="46" t="s">
        <v>202</v>
      </c>
      <c r="I109" s="48" t="s">
        <v>130</v>
      </c>
      <c r="J109" s="49">
        <v>6.1500000000000001E-3</v>
      </c>
      <c r="K109" s="50" t="s">
        <v>279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27</v>
      </c>
      <c r="D110" s="47" t="s">
        <v>68</v>
      </c>
      <c r="E110" s="46">
        <v>25</v>
      </c>
      <c r="F110" s="46" t="s">
        <v>145</v>
      </c>
      <c r="G110" s="46">
        <v>4155</v>
      </c>
      <c r="H110" s="46" t="s">
        <v>151</v>
      </c>
      <c r="I110" s="48" t="s">
        <v>148</v>
      </c>
      <c r="J110" s="49">
        <v>0.29199999999999998</v>
      </c>
      <c r="K110" s="50" t="s">
        <v>280</v>
      </c>
      <c r="L110" s="50">
        <v>0.1</v>
      </c>
      <c r="M110" s="52" t="s">
        <v>292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27</v>
      </c>
      <c r="D111" s="47" t="s">
        <v>68</v>
      </c>
      <c r="E111" s="46">
        <v>25</v>
      </c>
      <c r="F111" s="46" t="s">
        <v>204</v>
      </c>
      <c r="G111" s="46">
        <v>3635</v>
      </c>
      <c r="H111" s="46" t="s">
        <v>205</v>
      </c>
      <c r="I111" s="48" t="s">
        <v>168</v>
      </c>
      <c r="J111" s="49">
        <v>7.9000000000000001E-2</v>
      </c>
      <c r="K111" s="50" t="s">
        <v>282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299</v>
      </c>
      <c r="D112" s="47" t="s">
        <v>69</v>
      </c>
      <c r="E112" s="46">
        <v>25</v>
      </c>
      <c r="F112" s="46" t="s">
        <v>128</v>
      </c>
      <c r="G112" s="46">
        <v>6</v>
      </c>
      <c r="H112" s="46" t="s">
        <v>137</v>
      </c>
      <c r="I112" s="48" t="s">
        <v>130</v>
      </c>
      <c r="J112" s="49">
        <v>5.9169999999999998</v>
      </c>
      <c r="K112" s="50" t="s">
        <v>271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299</v>
      </c>
      <c r="D113" s="47" t="s">
        <v>69</v>
      </c>
      <c r="E113" s="46">
        <v>25</v>
      </c>
      <c r="F113" s="46" t="s">
        <v>152</v>
      </c>
      <c r="G113" s="46">
        <v>3595</v>
      </c>
      <c r="H113" s="46" t="s">
        <v>273</v>
      </c>
      <c r="I113" s="48" t="s">
        <v>130</v>
      </c>
      <c r="J113" s="49">
        <v>0.61199999999999999</v>
      </c>
      <c r="K113" s="50" t="s">
        <v>274</v>
      </c>
      <c r="L113" s="50">
        <v>0.1</v>
      </c>
      <c r="M113" s="52" t="s">
        <v>275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299</v>
      </c>
      <c r="D114" s="47" t="s">
        <v>69</v>
      </c>
      <c r="E114" s="46">
        <v>25</v>
      </c>
      <c r="F114" s="46" t="s">
        <v>166</v>
      </c>
      <c r="G114" s="46">
        <v>68</v>
      </c>
      <c r="H114" s="46" t="s">
        <v>183</v>
      </c>
      <c r="I114" s="48" t="s">
        <v>168</v>
      </c>
      <c r="J114" s="49">
        <v>1000</v>
      </c>
      <c r="K114" s="50" t="s">
        <v>276</v>
      </c>
      <c r="L114" s="50">
        <v>0.02</v>
      </c>
      <c r="M114" s="52" t="s">
        <v>277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299</v>
      </c>
      <c r="D115" s="47" t="s">
        <v>69</v>
      </c>
      <c r="E115" s="46">
        <v>25</v>
      </c>
      <c r="F115" s="46" t="s">
        <v>191</v>
      </c>
      <c r="G115" s="46">
        <v>3598</v>
      </c>
      <c r="H115" s="46" t="s">
        <v>197</v>
      </c>
      <c r="I115" s="48" t="s">
        <v>168</v>
      </c>
      <c r="J115" s="49">
        <v>2.976</v>
      </c>
      <c r="K115" s="50" t="s">
        <v>278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299</v>
      </c>
      <c r="D116" s="47" t="s">
        <v>69</v>
      </c>
      <c r="E116" s="46">
        <v>25</v>
      </c>
      <c r="F116" s="46" t="s">
        <v>201</v>
      </c>
      <c r="G116" s="46">
        <v>194</v>
      </c>
      <c r="H116" s="46" t="s">
        <v>202</v>
      </c>
      <c r="I116" s="48" t="s">
        <v>130</v>
      </c>
      <c r="J116" s="49">
        <v>6.1539999999999997E-3</v>
      </c>
      <c r="K116" s="50" t="s">
        <v>279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299</v>
      </c>
      <c r="D117" s="47" t="s">
        <v>69</v>
      </c>
      <c r="E117" s="46">
        <v>25</v>
      </c>
      <c r="F117" s="46" t="s">
        <v>145</v>
      </c>
      <c r="G117" s="46">
        <v>4155</v>
      </c>
      <c r="H117" s="46" t="s">
        <v>151</v>
      </c>
      <c r="I117" s="48" t="s">
        <v>148</v>
      </c>
      <c r="J117" s="49">
        <v>0.29199999999999998</v>
      </c>
      <c r="K117" s="50" t="s">
        <v>280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299</v>
      </c>
      <c r="D118" s="47" t="s">
        <v>69</v>
      </c>
      <c r="E118" s="46">
        <v>25</v>
      </c>
      <c r="F118" s="46" t="s">
        <v>204</v>
      </c>
      <c r="G118" s="46">
        <v>3635</v>
      </c>
      <c r="H118" s="46" t="s">
        <v>205</v>
      </c>
      <c r="I118" s="48" t="s">
        <v>168</v>
      </c>
      <c r="J118" s="49">
        <v>7.9000000000000001E-2</v>
      </c>
      <c r="K118" s="50" t="s">
        <v>282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299</v>
      </c>
      <c r="D119" s="47" t="s">
        <v>69</v>
      </c>
      <c r="E119" s="46">
        <v>25</v>
      </c>
      <c r="F119" s="46" t="s">
        <v>300</v>
      </c>
      <c r="G119" s="46">
        <v>3754</v>
      </c>
      <c r="H119" s="46" t="s">
        <v>301</v>
      </c>
      <c r="I119" s="48" t="s">
        <v>130</v>
      </c>
      <c r="J119" s="49">
        <v>2.5000000000000001E-2</v>
      </c>
      <c r="K119" s="50" t="s">
        <v>302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299</v>
      </c>
      <c r="D120" s="47" t="s">
        <v>69</v>
      </c>
      <c r="E120" s="46">
        <v>25</v>
      </c>
      <c r="F120" s="46" t="s">
        <v>300</v>
      </c>
      <c r="G120" s="46">
        <v>3955</v>
      </c>
      <c r="H120" s="46" t="s">
        <v>303</v>
      </c>
      <c r="I120" s="48" t="s">
        <v>130</v>
      </c>
      <c r="J120" s="49">
        <v>2.5000000000000001E-2</v>
      </c>
      <c r="K120" s="50" t="s">
        <v>302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27</v>
      </c>
      <c r="D121" s="47" t="s">
        <v>72</v>
      </c>
      <c r="E121" s="46">
        <v>25</v>
      </c>
      <c r="F121" s="46" t="s">
        <v>128</v>
      </c>
      <c r="G121" s="46">
        <v>6</v>
      </c>
      <c r="H121" s="46" t="s">
        <v>137</v>
      </c>
      <c r="I121" s="48" t="s">
        <v>130</v>
      </c>
      <c r="J121" s="49">
        <v>5.9169999999999998</v>
      </c>
      <c r="K121" s="50" t="s">
        <v>271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27</v>
      </c>
      <c r="D122" s="47" t="s">
        <v>72</v>
      </c>
      <c r="E122" s="46">
        <v>25</v>
      </c>
      <c r="F122" s="46" t="s">
        <v>152</v>
      </c>
      <c r="G122" s="46">
        <v>3595</v>
      </c>
      <c r="H122" s="46" t="s">
        <v>273</v>
      </c>
      <c r="I122" s="48" t="s">
        <v>130</v>
      </c>
      <c r="J122" s="49">
        <v>0.61199999999999999</v>
      </c>
      <c r="K122" s="50" t="s">
        <v>274</v>
      </c>
      <c r="L122" s="50">
        <v>0.1</v>
      </c>
      <c r="M122" s="52" t="s">
        <v>275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27</v>
      </c>
      <c r="D123" s="47" t="s">
        <v>72</v>
      </c>
      <c r="E123" s="46">
        <v>25</v>
      </c>
      <c r="F123" s="46" t="s">
        <v>166</v>
      </c>
      <c r="G123" s="46">
        <v>68</v>
      </c>
      <c r="H123" s="46" t="s">
        <v>183</v>
      </c>
      <c r="I123" s="48" t="s">
        <v>168</v>
      </c>
      <c r="J123" s="49">
        <v>1000</v>
      </c>
      <c r="K123" s="50" t="s">
        <v>276</v>
      </c>
      <c r="L123" s="50">
        <v>0.02</v>
      </c>
      <c r="M123" s="52" t="s">
        <v>277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27</v>
      </c>
      <c r="D124" s="47" t="s">
        <v>72</v>
      </c>
      <c r="E124" s="46">
        <v>25</v>
      </c>
      <c r="F124" s="46" t="s">
        <v>191</v>
      </c>
      <c r="G124" s="46">
        <v>3598</v>
      </c>
      <c r="H124" s="46" t="s">
        <v>197</v>
      </c>
      <c r="I124" s="48" t="s">
        <v>168</v>
      </c>
      <c r="J124" s="49">
        <v>2.976</v>
      </c>
      <c r="K124" s="50" t="s">
        <v>278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27</v>
      </c>
      <c r="D125" s="47" t="s">
        <v>72</v>
      </c>
      <c r="E125" s="46">
        <v>25</v>
      </c>
      <c r="F125" s="46" t="s">
        <v>201</v>
      </c>
      <c r="G125" s="46">
        <v>194</v>
      </c>
      <c r="H125" s="46" t="s">
        <v>202</v>
      </c>
      <c r="I125" s="48" t="s">
        <v>130</v>
      </c>
      <c r="J125" s="49">
        <v>6.1539999999999997E-3</v>
      </c>
      <c r="K125" s="50" t="s">
        <v>279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27</v>
      </c>
      <c r="D126" s="47" t="s">
        <v>72</v>
      </c>
      <c r="E126" s="46">
        <v>25</v>
      </c>
      <c r="F126" s="46" t="s">
        <v>145</v>
      </c>
      <c r="G126" s="46">
        <v>4155</v>
      </c>
      <c r="H126" s="46" t="s">
        <v>151</v>
      </c>
      <c r="I126" s="48" t="s">
        <v>148</v>
      </c>
      <c r="J126" s="49">
        <v>0.29199999999999998</v>
      </c>
      <c r="K126" s="50" t="s">
        <v>280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27</v>
      </c>
      <c r="D127" s="47" t="s">
        <v>72</v>
      </c>
      <c r="E127" s="46">
        <v>25</v>
      </c>
      <c r="F127" s="46" t="s">
        <v>204</v>
      </c>
      <c r="G127" s="46">
        <v>3635</v>
      </c>
      <c r="H127" s="46" t="s">
        <v>205</v>
      </c>
      <c r="I127" s="48" t="s">
        <v>168</v>
      </c>
      <c r="J127" s="49">
        <v>7.9000000000000001E-2</v>
      </c>
      <c r="K127" s="50" t="s">
        <v>282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27</v>
      </c>
      <c r="D128" s="47" t="s">
        <v>70</v>
      </c>
      <c r="E128" s="46">
        <v>25</v>
      </c>
      <c r="F128" s="46" t="s">
        <v>128</v>
      </c>
      <c r="G128" s="46">
        <v>6</v>
      </c>
      <c r="H128" s="46" t="s">
        <v>137</v>
      </c>
      <c r="I128" s="48" t="s">
        <v>130</v>
      </c>
      <c r="J128" s="49">
        <v>5.9169999999999998</v>
      </c>
      <c r="K128" s="50" t="s">
        <v>271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27</v>
      </c>
      <c r="D129" s="47" t="s">
        <v>70</v>
      </c>
      <c r="E129" s="46">
        <v>25</v>
      </c>
      <c r="F129" s="46" t="s">
        <v>152</v>
      </c>
      <c r="G129" s="46">
        <v>3595</v>
      </c>
      <c r="H129" s="46" t="s">
        <v>273</v>
      </c>
      <c r="I129" s="48" t="s">
        <v>130</v>
      </c>
      <c r="J129" s="49">
        <v>0.61199999999999999</v>
      </c>
      <c r="K129" s="50" t="s">
        <v>274</v>
      </c>
      <c r="L129" s="50">
        <v>0.1</v>
      </c>
      <c r="M129" s="52" t="s">
        <v>292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27</v>
      </c>
      <c r="D130" s="47" t="s">
        <v>70</v>
      </c>
      <c r="E130" s="46">
        <v>25</v>
      </c>
      <c r="F130" s="46" t="s">
        <v>166</v>
      </c>
      <c r="G130" s="46">
        <v>68</v>
      </c>
      <c r="H130" s="46" t="s">
        <v>183</v>
      </c>
      <c r="I130" s="48" t="s">
        <v>168</v>
      </c>
      <c r="J130" s="49">
        <v>1000</v>
      </c>
      <c r="K130" s="50" t="s">
        <v>276</v>
      </c>
      <c r="L130" s="50">
        <v>0.02</v>
      </c>
      <c r="M130" s="52" t="s">
        <v>277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27</v>
      </c>
      <c r="D131" s="47" t="s">
        <v>70</v>
      </c>
      <c r="E131" s="46">
        <v>25</v>
      </c>
      <c r="F131" s="46" t="s">
        <v>191</v>
      </c>
      <c r="G131" s="46">
        <v>3598</v>
      </c>
      <c r="H131" s="46" t="s">
        <v>197</v>
      </c>
      <c r="I131" s="48" t="s">
        <v>168</v>
      </c>
      <c r="J131" s="49">
        <v>2.976</v>
      </c>
      <c r="K131" s="50" t="s">
        <v>278</v>
      </c>
      <c r="L131" s="50">
        <v>0.1</v>
      </c>
      <c r="M131" s="52" t="s">
        <v>304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27</v>
      </c>
      <c r="D132" s="47" t="s">
        <v>70</v>
      </c>
      <c r="E132" s="46">
        <v>25</v>
      </c>
      <c r="F132" s="46" t="s">
        <v>201</v>
      </c>
      <c r="G132" s="46">
        <v>194</v>
      </c>
      <c r="H132" s="46" t="s">
        <v>202</v>
      </c>
      <c r="I132" s="48" t="s">
        <v>130</v>
      </c>
      <c r="J132" s="49">
        <v>6.1538499999999998E-3</v>
      </c>
      <c r="K132" s="50" t="s">
        <v>279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27</v>
      </c>
      <c r="D133" s="47" t="s">
        <v>70</v>
      </c>
      <c r="E133" s="46">
        <v>25</v>
      </c>
      <c r="F133" s="46" t="s">
        <v>145</v>
      </c>
      <c r="G133" s="46">
        <v>4155</v>
      </c>
      <c r="H133" s="46" t="s">
        <v>151</v>
      </c>
      <c r="I133" s="48" t="s">
        <v>148</v>
      </c>
      <c r="J133" s="49">
        <v>0.29199999999999998</v>
      </c>
      <c r="K133" s="50" t="s">
        <v>280</v>
      </c>
      <c r="L133" s="50">
        <v>0.1</v>
      </c>
      <c r="M133" s="52" t="s">
        <v>292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27</v>
      </c>
      <c r="D134" s="47" t="s">
        <v>70</v>
      </c>
      <c r="E134" s="46">
        <v>25</v>
      </c>
      <c r="F134" s="46" t="s">
        <v>204</v>
      </c>
      <c r="G134" s="46">
        <v>3635</v>
      </c>
      <c r="H134" s="46" t="s">
        <v>205</v>
      </c>
      <c r="I134" s="48" t="s">
        <v>168</v>
      </c>
      <c r="J134" s="49">
        <v>7.9000000000000001E-2</v>
      </c>
      <c r="K134" s="50" t="s">
        <v>282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74</v>
      </c>
      <c r="D135" s="47" t="s">
        <v>75</v>
      </c>
      <c r="E135" s="46">
        <v>25</v>
      </c>
      <c r="F135" s="46" t="s">
        <v>128</v>
      </c>
      <c r="G135" s="46">
        <v>10</v>
      </c>
      <c r="H135" s="46" t="s">
        <v>138</v>
      </c>
      <c r="I135" s="48" t="s">
        <v>130</v>
      </c>
      <c r="J135" s="49">
        <v>5.9169999999999998</v>
      </c>
      <c r="K135" s="50" t="s">
        <v>271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74</v>
      </c>
      <c r="D136" s="47" t="s">
        <v>75</v>
      </c>
      <c r="E136" s="46">
        <v>25</v>
      </c>
      <c r="F136" s="46" t="s">
        <v>152</v>
      </c>
      <c r="G136" s="46">
        <v>3595</v>
      </c>
      <c r="H136" s="46" t="s">
        <v>273</v>
      </c>
      <c r="I136" s="48" t="s">
        <v>130</v>
      </c>
      <c r="J136" s="49">
        <v>0.56000000000000005</v>
      </c>
      <c r="K136" s="50" t="s">
        <v>274</v>
      </c>
      <c r="L136" s="50">
        <v>0.1</v>
      </c>
      <c r="M136" s="52" t="s">
        <v>292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74</v>
      </c>
      <c r="D137" s="47" t="s">
        <v>75</v>
      </c>
      <c r="E137" s="46">
        <v>25</v>
      </c>
      <c r="F137" s="46" t="s">
        <v>191</v>
      </c>
      <c r="G137" s="46">
        <v>3598</v>
      </c>
      <c r="H137" s="46" t="s">
        <v>197</v>
      </c>
      <c r="I137" s="48" t="s">
        <v>168</v>
      </c>
      <c r="J137" s="49">
        <v>2.976</v>
      </c>
      <c r="K137" s="50" t="s">
        <v>278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74</v>
      </c>
      <c r="D138" s="47" t="s">
        <v>75</v>
      </c>
      <c r="E138" s="46">
        <v>25</v>
      </c>
      <c r="F138" s="46" t="s">
        <v>201</v>
      </c>
      <c r="G138" s="46">
        <v>194</v>
      </c>
      <c r="H138" s="46" t="s">
        <v>202</v>
      </c>
      <c r="I138" s="48" t="s">
        <v>130</v>
      </c>
      <c r="J138" s="49">
        <v>5.8700000000000002E-3</v>
      </c>
      <c r="K138" s="50" t="s">
        <v>279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74</v>
      </c>
      <c r="D139" s="47" t="s">
        <v>75</v>
      </c>
      <c r="E139" s="46">
        <v>25</v>
      </c>
      <c r="F139" s="46" t="s">
        <v>145</v>
      </c>
      <c r="G139" s="46">
        <v>4155</v>
      </c>
      <c r="H139" s="46" t="s">
        <v>151</v>
      </c>
      <c r="I139" s="48" t="s">
        <v>148</v>
      </c>
      <c r="J139" s="49">
        <v>0.37369999999999998</v>
      </c>
      <c r="K139" s="50" t="s">
        <v>280</v>
      </c>
      <c r="L139" s="50">
        <v>0.1</v>
      </c>
      <c r="M139" s="52" t="s">
        <v>292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74</v>
      </c>
      <c r="D140" s="47" t="s">
        <v>75</v>
      </c>
      <c r="E140" s="46">
        <v>25</v>
      </c>
      <c r="F140" s="46" t="s">
        <v>204</v>
      </c>
      <c r="G140" s="46">
        <v>3635</v>
      </c>
      <c r="H140" s="46" t="s">
        <v>205</v>
      </c>
      <c r="I140" s="48" t="s">
        <v>168</v>
      </c>
      <c r="J140" s="49">
        <v>7.9000000000000008E-3</v>
      </c>
      <c r="K140" s="50" t="s">
        <v>282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74</v>
      </c>
      <c r="D141" s="47" t="s">
        <v>75</v>
      </c>
      <c r="E141" s="46">
        <v>25</v>
      </c>
      <c r="F141" s="46" t="s">
        <v>300</v>
      </c>
      <c r="G141" s="46">
        <v>3857</v>
      </c>
      <c r="H141" s="46" t="s">
        <v>305</v>
      </c>
      <c r="I141" s="48" t="s">
        <v>130</v>
      </c>
      <c r="J141" s="49">
        <v>0.33</v>
      </c>
      <c r="K141" s="50" t="s">
        <v>302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84</v>
      </c>
      <c r="D142" s="47" t="s">
        <v>86</v>
      </c>
      <c r="E142" s="46">
        <v>30</v>
      </c>
      <c r="F142" s="46" t="s">
        <v>128</v>
      </c>
      <c r="G142" s="46">
        <v>406</v>
      </c>
      <c r="H142" s="46" t="s">
        <v>140</v>
      </c>
      <c r="I142" s="48" t="s">
        <v>130</v>
      </c>
      <c r="J142" s="49">
        <v>8</v>
      </c>
      <c r="K142" s="50" t="s">
        <v>271</v>
      </c>
      <c r="L142" s="50">
        <v>0.1</v>
      </c>
      <c r="M142" s="52" t="s">
        <v>306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84</v>
      </c>
      <c r="D143" s="47" t="s">
        <v>86</v>
      </c>
      <c r="E143" s="46">
        <v>30</v>
      </c>
      <c r="F143" s="46" t="s">
        <v>152</v>
      </c>
      <c r="G143" s="46">
        <v>3595</v>
      </c>
      <c r="H143" s="46" t="s">
        <v>273</v>
      </c>
      <c r="I143" s="48" t="s">
        <v>130</v>
      </c>
      <c r="J143" s="49">
        <v>0.67</v>
      </c>
      <c r="K143" s="50" t="s">
        <v>274</v>
      </c>
      <c r="L143" s="50">
        <v>0.1</v>
      </c>
      <c r="M143" s="52" t="s">
        <v>292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84</v>
      </c>
      <c r="D144" s="47" t="s">
        <v>86</v>
      </c>
      <c r="E144" s="46">
        <v>30</v>
      </c>
      <c r="F144" s="46" t="s">
        <v>164</v>
      </c>
      <c r="G144" s="46">
        <v>186</v>
      </c>
      <c r="H144" s="46" t="s">
        <v>165</v>
      </c>
      <c r="I144" s="48" t="s">
        <v>130</v>
      </c>
      <c r="J144" s="49">
        <v>0.28000000000000003</v>
      </c>
      <c r="K144" s="50" t="s">
        <v>295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84</v>
      </c>
      <c r="D145" s="47" t="s">
        <v>86</v>
      </c>
      <c r="E145" s="46">
        <v>30</v>
      </c>
      <c r="F145" s="46" t="s">
        <v>166</v>
      </c>
      <c r="G145" s="46">
        <v>578</v>
      </c>
      <c r="H145" s="46" t="s">
        <v>189</v>
      </c>
      <c r="I145" s="48" t="s">
        <v>168</v>
      </c>
      <c r="J145" s="49">
        <v>1000</v>
      </c>
      <c r="K145" s="50" t="s">
        <v>276</v>
      </c>
      <c r="L145" s="50">
        <v>0.02</v>
      </c>
      <c r="M145" s="52" t="s">
        <v>277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84</v>
      </c>
      <c r="D146" s="47" t="s">
        <v>86</v>
      </c>
      <c r="E146" s="46">
        <v>30</v>
      </c>
      <c r="F146" s="46" t="s">
        <v>191</v>
      </c>
      <c r="G146" s="46">
        <v>45</v>
      </c>
      <c r="H146" s="46" t="s">
        <v>198</v>
      </c>
      <c r="I146" s="48" t="s">
        <v>168</v>
      </c>
      <c r="J146" s="49">
        <v>6.6665999999999999</v>
      </c>
      <c r="K146" s="50" t="s">
        <v>278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84</v>
      </c>
      <c r="D147" s="47" t="s">
        <v>86</v>
      </c>
      <c r="E147" s="46">
        <v>30</v>
      </c>
      <c r="F147" s="46" t="s">
        <v>145</v>
      </c>
      <c r="G147" s="46">
        <v>4155</v>
      </c>
      <c r="H147" s="46" t="s">
        <v>151</v>
      </c>
      <c r="I147" s="48" t="s">
        <v>130</v>
      </c>
      <c r="J147" s="49">
        <v>0.28000000000000003</v>
      </c>
      <c r="K147" s="50" t="s">
        <v>280</v>
      </c>
      <c r="L147" s="50">
        <v>0.1</v>
      </c>
      <c r="M147" s="52" t="s">
        <v>292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84</v>
      </c>
      <c r="D148" s="47" t="s">
        <v>86</v>
      </c>
      <c r="E148" s="46">
        <v>30</v>
      </c>
      <c r="F148" s="46" t="s">
        <v>204</v>
      </c>
      <c r="G148" s="46">
        <v>3635</v>
      </c>
      <c r="H148" s="46" t="s">
        <v>205</v>
      </c>
      <c r="I148" s="48" t="s">
        <v>168</v>
      </c>
      <c r="J148" s="49">
        <v>0.156</v>
      </c>
      <c r="K148" s="50" t="s">
        <v>294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84</v>
      </c>
      <c r="D149" s="47" t="s">
        <v>86</v>
      </c>
      <c r="E149" s="46">
        <v>30</v>
      </c>
      <c r="F149" s="46" t="s">
        <v>201</v>
      </c>
      <c r="G149" s="46">
        <v>194</v>
      </c>
      <c r="H149" s="46" t="s">
        <v>202</v>
      </c>
      <c r="I149" s="48" t="s">
        <v>130</v>
      </c>
      <c r="J149" s="49">
        <v>8.3199999999999993E-3</v>
      </c>
      <c r="K149" s="50" t="s">
        <v>201</v>
      </c>
      <c r="L149" s="50">
        <v>0.1</v>
      </c>
      <c r="M149" s="52" t="s">
        <v>307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84</v>
      </c>
      <c r="D150" s="47" t="s">
        <v>85</v>
      </c>
      <c r="E150" s="46">
        <v>30</v>
      </c>
      <c r="F150" s="46" t="s">
        <v>128</v>
      </c>
      <c r="G150" s="46">
        <v>406</v>
      </c>
      <c r="H150" s="46" t="s">
        <v>140</v>
      </c>
      <c r="I150" s="48" t="s">
        <v>130</v>
      </c>
      <c r="J150" s="49">
        <v>8</v>
      </c>
      <c r="K150" s="50" t="s">
        <v>271</v>
      </c>
      <c r="L150" s="50">
        <v>0.1</v>
      </c>
      <c r="M150" s="52" t="s">
        <v>306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84</v>
      </c>
      <c r="D151" s="47" t="s">
        <v>85</v>
      </c>
      <c r="E151" s="46">
        <v>30</v>
      </c>
      <c r="F151" s="46" t="s">
        <v>152</v>
      </c>
      <c r="G151" s="46">
        <v>3595</v>
      </c>
      <c r="H151" s="46" t="s">
        <v>273</v>
      </c>
      <c r="I151" s="48" t="s">
        <v>130</v>
      </c>
      <c r="J151" s="49">
        <v>0.67</v>
      </c>
      <c r="K151" s="50" t="s">
        <v>274</v>
      </c>
      <c r="L151" s="50">
        <v>0.1</v>
      </c>
      <c r="M151" s="52" t="s">
        <v>275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84</v>
      </c>
      <c r="D152" s="47" t="s">
        <v>85</v>
      </c>
      <c r="E152" s="46">
        <v>30</v>
      </c>
      <c r="F152" s="46" t="s">
        <v>164</v>
      </c>
      <c r="G152" s="46">
        <v>186</v>
      </c>
      <c r="H152" s="46" t="s">
        <v>165</v>
      </c>
      <c r="I152" s="48" t="s">
        <v>130</v>
      </c>
      <c r="J152" s="49">
        <v>0.28000000000000003</v>
      </c>
      <c r="K152" s="50" t="s">
        <v>295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84</v>
      </c>
      <c r="D153" s="47" t="s">
        <v>85</v>
      </c>
      <c r="E153" s="46">
        <v>30</v>
      </c>
      <c r="F153" s="46" t="s">
        <v>166</v>
      </c>
      <c r="G153" s="46">
        <v>578</v>
      </c>
      <c r="H153" s="46" t="s">
        <v>189</v>
      </c>
      <c r="I153" s="48" t="s">
        <v>168</v>
      </c>
      <c r="J153" s="49">
        <v>1000</v>
      </c>
      <c r="K153" s="50" t="s">
        <v>276</v>
      </c>
      <c r="L153" s="50">
        <v>0.02</v>
      </c>
      <c r="M153" s="52" t="s">
        <v>277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84</v>
      </c>
      <c r="D154" s="47" t="s">
        <v>85</v>
      </c>
      <c r="E154" s="46">
        <v>30</v>
      </c>
      <c r="F154" s="46" t="s">
        <v>191</v>
      </c>
      <c r="G154" s="46">
        <v>3598</v>
      </c>
      <c r="H154" s="46" t="s">
        <v>197</v>
      </c>
      <c r="I154" s="48" t="s">
        <v>168</v>
      </c>
      <c r="J154" s="49">
        <v>4.2016</v>
      </c>
      <c r="K154" s="50" t="s">
        <v>278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84</v>
      </c>
      <c r="D155" s="47" t="s">
        <v>85</v>
      </c>
      <c r="E155" s="46">
        <v>30</v>
      </c>
      <c r="F155" s="46" t="s">
        <v>145</v>
      </c>
      <c r="G155" s="46">
        <v>4155</v>
      </c>
      <c r="H155" s="46" t="s">
        <v>151</v>
      </c>
      <c r="I155" s="48" t="s">
        <v>130</v>
      </c>
      <c r="J155" s="49">
        <v>0.28000000000000003</v>
      </c>
      <c r="K155" s="50" t="s">
        <v>280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84</v>
      </c>
      <c r="D156" s="47" t="s">
        <v>85</v>
      </c>
      <c r="E156" s="46">
        <v>30</v>
      </c>
      <c r="F156" s="46" t="s">
        <v>204</v>
      </c>
      <c r="G156" s="46">
        <v>3635</v>
      </c>
      <c r="H156" s="46" t="s">
        <v>205</v>
      </c>
      <c r="I156" s="48" t="s">
        <v>168</v>
      </c>
      <c r="J156" s="49">
        <v>0.156</v>
      </c>
      <c r="K156" s="50" t="s">
        <v>294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84</v>
      </c>
      <c r="D157" s="47" t="s">
        <v>85</v>
      </c>
      <c r="E157" s="46">
        <v>30</v>
      </c>
      <c r="F157" s="46" t="s">
        <v>201</v>
      </c>
      <c r="G157" s="46">
        <v>194</v>
      </c>
      <c r="H157" s="46" t="s">
        <v>202</v>
      </c>
      <c r="I157" s="48" t="s">
        <v>130</v>
      </c>
      <c r="J157" s="49">
        <v>8.3199999999999993E-3</v>
      </c>
      <c r="K157" s="50" t="s">
        <v>201</v>
      </c>
      <c r="L157" s="50">
        <v>0.1</v>
      </c>
      <c r="M157" s="52" t="s">
        <v>307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30</v>
      </c>
      <c r="D158" s="47" t="s">
        <v>31</v>
      </c>
      <c r="E158" s="46">
        <v>30</v>
      </c>
      <c r="F158" s="46" t="s">
        <v>128</v>
      </c>
      <c r="G158" s="46">
        <v>406</v>
      </c>
      <c r="H158" s="46" t="s">
        <v>140</v>
      </c>
      <c r="I158" s="48" t="s">
        <v>130</v>
      </c>
      <c r="J158" s="49">
        <v>8</v>
      </c>
      <c r="K158" s="50" t="s">
        <v>271</v>
      </c>
      <c r="L158" s="50">
        <v>0.1</v>
      </c>
      <c r="M158" s="52" t="s">
        <v>306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30</v>
      </c>
      <c r="D159" s="47" t="s">
        <v>31</v>
      </c>
      <c r="E159" s="46">
        <v>30</v>
      </c>
      <c r="F159" s="46" t="s">
        <v>152</v>
      </c>
      <c r="G159" s="46">
        <v>3595</v>
      </c>
      <c r="H159" s="46" t="s">
        <v>273</v>
      </c>
      <c r="I159" s="48" t="s">
        <v>130</v>
      </c>
      <c r="J159" s="49">
        <v>0.67</v>
      </c>
      <c r="K159" s="50" t="s">
        <v>274</v>
      </c>
      <c r="L159" s="50">
        <v>0.1</v>
      </c>
      <c r="M159" s="52" t="s">
        <v>275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30</v>
      </c>
      <c r="D160" s="47" t="s">
        <v>31</v>
      </c>
      <c r="E160" s="46">
        <v>30</v>
      </c>
      <c r="F160" s="46" t="s">
        <v>164</v>
      </c>
      <c r="G160" s="46">
        <v>186</v>
      </c>
      <c r="H160" s="46" t="s">
        <v>165</v>
      </c>
      <c r="I160" s="48" t="s">
        <v>130</v>
      </c>
      <c r="J160" s="49">
        <v>0.28000000000000003</v>
      </c>
      <c r="K160" s="50" t="s">
        <v>295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30</v>
      </c>
      <c r="D161" s="47" t="s">
        <v>31</v>
      </c>
      <c r="E161" s="46">
        <v>30</v>
      </c>
      <c r="F161" s="46" t="s">
        <v>166</v>
      </c>
      <c r="G161" s="46">
        <v>68</v>
      </c>
      <c r="H161" s="46" t="s">
        <v>183</v>
      </c>
      <c r="I161" s="48" t="s">
        <v>168</v>
      </c>
      <c r="J161" s="49">
        <v>1000</v>
      </c>
      <c r="K161" s="50" t="s">
        <v>276</v>
      </c>
      <c r="L161" s="50">
        <v>0.02</v>
      </c>
      <c r="M161" s="52" t="s">
        <v>277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30</v>
      </c>
      <c r="D162" s="47" t="s">
        <v>31</v>
      </c>
      <c r="E162" s="46">
        <v>30</v>
      </c>
      <c r="F162" s="46" t="s">
        <v>191</v>
      </c>
      <c r="G162" s="46">
        <v>3598</v>
      </c>
      <c r="H162" s="46" t="s">
        <v>197</v>
      </c>
      <c r="I162" s="48" t="s">
        <v>168</v>
      </c>
      <c r="J162" s="49">
        <v>4.2016</v>
      </c>
      <c r="K162" s="50" t="s">
        <v>278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30</v>
      </c>
      <c r="D163" s="47" t="s">
        <v>31</v>
      </c>
      <c r="E163" s="46">
        <v>30</v>
      </c>
      <c r="F163" s="46" t="s">
        <v>201</v>
      </c>
      <c r="G163" s="46">
        <v>194</v>
      </c>
      <c r="H163" s="46" t="s">
        <v>202</v>
      </c>
      <c r="I163" s="48" t="s">
        <v>130</v>
      </c>
      <c r="J163" s="49">
        <v>8.3199999999999993E-3</v>
      </c>
      <c r="K163" s="50" t="s">
        <v>279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30</v>
      </c>
      <c r="D164" s="47" t="s">
        <v>31</v>
      </c>
      <c r="E164" s="46">
        <v>30</v>
      </c>
      <c r="F164" s="46" t="s">
        <v>145</v>
      </c>
      <c r="G164" s="46">
        <v>4155</v>
      </c>
      <c r="H164" s="46" t="s">
        <v>151</v>
      </c>
      <c r="I164" s="48" t="s">
        <v>130</v>
      </c>
      <c r="J164" s="49">
        <v>0.28000000000000003</v>
      </c>
      <c r="K164" s="50" t="s">
        <v>280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30</v>
      </c>
      <c r="D165" s="47" t="s">
        <v>31</v>
      </c>
      <c r="E165" s="46">
        <v>30</v>
      </c>
      <c r="F165" s="46" t="s">
        <v>204</v>
      </c>
      <c r="G165" s="46">
        <v>3635</v>
      </c>
      <c r="H165" s="46" t="s">
        <v>205</v>
      </c>
      <c r="I165" s="48" t="s">
        <v>168</v>
      </c>
      <c r="J165" s="49">
        <v>0.156</v>
      </c>
      <c r="K165" s="50" t="s">
        <v>282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30</v>
      </c>
      <c r="D166" s="47" t="s">
        <v>31</v>
      </c>
      <c r="E166" s="46">
        <v>30</v>
      </c>
      <c r="F166" s="46" t="s">
        <v>300</v>
      </c>
      <c r="G166" s="46">
        <v>6935</v>
      </c>
      <c r="H166" s="46" t="s">
        <v>308</v>
      </c>
      <c r="I166" s="48" t="s">
        <v>130</v>
      </c>
      <c r="J166" s="49">
        <v>3.3000000000000002E-2</v>
      </c>
      <c r="K166" s="50" t="s">
        <v>302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41</v>
      </c>
      <c r="D167" s="47" t="s">
        <v>78</v>
      </c>
      <c r="E167" s="46">
        <v>30</v>
      </c>
      <c r="F167" s="46" t="s">
        <v>128</v>
      </c>
      <c r="G167" s="46">
        <v>406</v>
      </c>
      <c r="H167" s="46" t="s">
        <v>140</v>
      </c>
      <c r="I167" s="48" t="s">
        <v>130</v>
      </c>
      <c r="J167" s="49">
        <v>8</v>
      </c>
      <c r="K167" s="50" t="s">
        <v>271</v>
      </c>
      <c r="L167" s="50">
        <v>0.1</v>
      </c>
      <c r="M167" s="52" t="s">
        <v>306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41</v>
      </c>
      <c r="D168" s="47" t="s">
        <v>78</v>
      </c>
      <c r="E168" s="46">
        <v>30</v>
      </c>
      <c r="F168" s="46" t="s">
        <v>152</v>
      </c>
      <c r="G168" s="46">
        <v>3595</v>
      </c>
      <c r="H168" s="46" t="s">
        <v>273</v>
      </c>
      <c r="I168" s="48" t="s">
        <v>130</v>
      </c>
      <c r="J168" s="49">
        <v>0.66839999999999999</v>
      </c>
      <c r="K168" s="50" t="s">
        <v>274</v>
      </c>
      <c r="L168" s="50">
        <v>0.1</v>
      </c>
      <c r="M168" s="52" t="s">
        <v>292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41</v>
      </c>
      <c r="D169" s="47" t="s">
        <v>78</v>
      </c>
      <c r="E169" s="46">
        <v>30</v>
      </c>
      <c r="F169" s="46" t="s">
        <v>164</v>
      </c>
      <c r="G169" s="46">
        <v>186</v>
      </c>
      <c r="H169" s="46" t="s">
        <v>165</v>
      </c>
      <c r="I169" s="48" t="s">
        <v>130</v>
      </c>
      <c r="J169" s="49">
        <v>0.12</v>
      </c>
      <c r="K169" s="50" t="s">
        <v>295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41</v>
      </c>
      <c r="D170" s="47" t="s">
        <v>78</v>
      </c>
      <c r="E170" s="46">
        <v>30</v>
      </c>
      <c r="F170" s="46" t="s">
        <v>166</v>
      </c>
      <c r="G170" s="46">
        <v>578</v>
      </c>
      <c r="H170" s="46" t="s">
        <v>189</v>
      </c>
      <c r="I170" s="48" t="s">
        <v>168</v>
      </c>
      <c r="J170" s="49">
        <v>1000</v>
      </c>
      <c r="K170" s="50" t="s">
        <v>276</v>
      </c>
      <c r="L170" s="50">
        <v>0.02</v>
      </c>
      <c r="M170" s="52" t="s">
        <v>277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41</v>
      </c>
      <c r="D171" s="47" t="s">
        <v>78</v>
      </c>
      <c r="E171" s="46">
        <v>30</v>
      </c>
      <c r="F171" s="46" t="s">
        <v>145</v>
      </c>
      <c r="G171" s="46">
        <v>4155</v>
      </c>
      <c r="H171" s="46" t="s">
        <v>151</v>
      </c>
      <c r="I171" s="48" t="s">
        <v>130</v>
      </c>
      <c r="J171" s="49">
        <v>0.2959</v>
      </c>
      <c r="K171" s="50" t="s">
        <v>280</v>
      </c>
      <c r="L171" s="50">
        <v>0.1</v>
      </c>
      <c r="M171" s="52" t="s">
        <v>292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41</v>
      </c>
      <c r="D172" s="47" t="s">
        <v>78</v>
      </c>
      <c r="E172" s="46">
        <v>30</v>
      </c>
      <c r="F172" s="46" t="s">
        <v>204</v>
      </c>
      <c r="G172" s="46">
        <v>3635</v>
      </c>
      <c r="H172" s="46" t="s">
        <v>205</v>
      </c>
      <c r="I172" s="48" t="s">
        <v>168</v>
      </c>
      <c r="J172" s="49">
        <v>0.156</v>
      </c>
      <c r="K172" s="50" t="s">
        <v>282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41</v>
      </c>
      <c r="D173" s="47" t="s">
        <v>78</v>
      </c>
      <c r="E173" s="46">
        <v>30</v>
      </c>
      <c r="F173" s="46" t="s">
        <v>191</v>
      </c>
      <c r="G173" s="46">
        <v>3598</v>
      </c>
      <c r="H173" s="46" t="s">
        <v>197</v>
      </c>
      <c r="I173" s="48" t="s">
        <v>168</v>
      </c>
      <c r="J173" s="49">
        <v>4.202</v>
      </c>
      <c r="K173" s="50" t="s">
        <v>278</v>
      </c>
      <c r="L173" s="50">
        <v>0.1</v>
      </c>
      <c r="M173" s="52" t="s">
        <v>309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81</v>
      </c>
      <c r="D174" s="47" t="s">
        <v>82</v>
      </c>
      <c r="E174" s="46">
        <v>30</v>
      </c>
      <c r="F174" s="46" t="s">
        <v>128</v>
      </c>
      <c r="G174" s="46">
        <v>406</v>
      </c>
      <c r="H174" s="46" t="s">
        <v>140</v>
      </c>
      <c r="I174" s="48" t="s">
        <v>130</v>
      </c>
      <c r="J174" s="49">
        <v>8</v>
      </c>
      <c r="K174" s="50" t="s">
        <v>271</v>
      </c>
      <c r="L174" s="50">
        <v>0.1</v>
      </c>
      <c r="M174" s="52" t="s">
        <v>306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81</v>
      </c>
      <c r="D175" s="47" t="s">
        <v>82</v>
      </c>
      <c r="E175" s="46">
        <v>30</v>
      </c>
      <c r="F175" s="46" t="s">
        <v>152</v>
      </c>
      <c r="G175" s="46">
        <v>3595</v>
      </c>
      <c r="H175" s="46" t="s">
        <v>273</v>
      </c>
      <c r="I175" s="48" t="s">
        <v>130</v>
      </c>
      <c r="J175" s="49">
        <v>0.66839999999999999</v>
      </c>
      <c r="K175" s="50" t="s">
        <v>274</v>
      </c>
      <c r="L175" s="50">
        <v>0.1</v>
      </c>
      <c r="M175" s="52" t="s">
        <v>275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81</v>
      </c>
      <c r="D176" s="47" t="s">
        <v>82</v>
      </c>
      <c r="E176" s="46">
        <v>30</v>
      </c>
      <c r="F176" s="46" t="s">
        <v>164</v>
      </c>
      <c r="G176" s="46">
        <v>186</v>
      </c>
      <c r="H176" s="46" t="s">
        <v>165</v>
      </c>
      <c r="I176" s="48" t="s">
        <v>130</v>
      </c>
      <c r="J176" s="49">
        <v>0.12</v>
      </c>
      <c r="K176" s="50" t="s">
        <v>295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81</v>
      </c>
      <c r="D177" s="47" t="s">
        <v>82</v>
      </c>
      <c r="E177" s="46">
        <v>30</v>
      </c>
      <c r="F177" s="46" t="s">
        <v>166</v>
      </c>
      <c r="G177" s="46">
        <v>578</v>
      </c>
      <c r="H177" s="46" t="s">
        <v>189</v>
      </c>
      <c r="I177" s="48" t="s">
        <v>168</v>
      </c>
      <c r="J177" s="49">
        <v>1000</v>
      </c>
      <c r="K177" s="50" t="s">
        <v>276</v>
      </c>
      <c r="L177" s="50">
        <v>0.02</v>
      </c>
      <c r="M177" s="52" t="s">
        <v>277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81</v>
      </c>
      <c r="D178" s="47" t="s">
        <v>82</v>
      </c>
      <c r="E178" s="46">
        <v>30</v>
      </c>
      <c r="F178" s="46" t="s">
        <v>191</v>
      </c>
      <c r="G178" s="46">
        <v>45</v>
      </c>
      <c r="H178" s="46" t="s">
        <v>198</v>
      </c>
      <c r="I178" s="48" t="s">
        <v>168</v>
      </c>
      <c r="J178" s="49">
        <v>6.6660000000000004</v>
      </c>
      <c r="K178" s="50" t="s">
        <v>278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81</v>
      </c>
      <c r="D179" s="47" t="s">
        <v>82</v>
      </c>
      <c r="E179" s="46">
        <v>30</v>
      </c>
      <c r="F179" s="46" t="s">
        <v>201</v>
      </c>
      <c r="G179" s="46">
        <v>194</v>
      </c>
      <c r="H179" s="46" t="s">
        <v>202</v>
      </c>
      <c r="I179" s="48" t="s">
        <v>130</v>
      </c>
      <c r="J179" s="49">
        <v>8.3199999999999993E-3</v>
      </c>
      <c r="K179" s="50" t="s">
        <v>279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81</v>
      </c>
      <c r="D180" s="47" t="s">
        <v>82</v>
      </c>
      <c r="E180" s="46">
        <v>30</v>
      </c>
      <c r="F180" s="46" t="s">
        <v>145</v>
      </c>
      <c r="G180" s="46">
        <v>4155</v>
      </c>
      <c r="H180" s="46" t="s">
        <v>151</v>
      </c>
      <c r="I180" s="48" t="s">
        <v>130</v>
      </c>
      <c r="J180" s="49">
        <v>0.2959</v>
      </c>
      <c r="K180" s="50" t="s">
        <v>280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81</v>
      </c>
      <c r="D181" s="47" t="s">
        <v>82</v>
      </c>
      <c r="E181" s="46">
        <v>30</v>
      </c>
      <c r="F181" s="46" t="s">
        <v>204</v>
      </c>
      <c r="G181" s="46">
        <v>3635</v>
      </c>
      <c r="H181" s="46" t="s">
        <v>205</v>
      </c>
      <c r="I181" s="48" t="s">
        <v>168</v>
      </c>
      <c r="J181" s="49">
        <v>0.156</v>
      </c>
      <c r="K181" s="50" t="s">
        <v>282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81</v>
      </c>
      <c r="D182" s="47" t="s">
        <v>82</v>
      </c>
      <c r="E182" s="46">
        <v>30</v>
      </c>
      <c r="F182" s="46" t="s">
        <v>283</v>
      </c>
      <c r="G182" s="46">
        <v>57</v>
      </c>
      <c r="H182" s="46" t="s">
        <v>310</v>
      </c>
      <c r="I182" s="48" t="s">
        <v>285</v>
      </c>
      <c r="J182" s="49">
        <v>6.6660000000000004</v>
      </c>
      <c r="K182" s="50" t="s">
        <v>286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81</v>
      </c>
      <c r="D183" s="47" t="s">
        <v>83</v>
      </c>
      <c r="E183" s="46">
        <v>30</v>
      </c>
      <c r="F183" s="46" t="s">
        <v>128</v>
      </c>
      <c r="G183" s="46">
        <v>406</v>
      </c>
      <c r="H183" s="46" t="s">
        <v>140</v>
      </c>
      <c r="I183" s="48" t="s">
        <v>130</v>
      </c>
      <c r="J183" s="49">
        <v>8</v>
      </c>
      <c r="K183" s="50" t="s">
        <v>271</v>
      </c>
      <c r="L183" s="50">
        <v>0.1</v>
      </c>
      <c r="M183" s="52" t="s">
        <v>306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81</v>
      </c>
      <c r="D184" s="47" t="s">
        <v>83</v>
      </c>
      <c r="E184" s="46">
        <v>30</v>
      </c>
      <c r="F184" s="46" t="s">
        <v>152</v>
      </c>
      <c r="G184" s="46">
        <v>3595</v>
      </c>
      <c r="H184" s="46" t="s">
        <v>273</v>
      </c>
      <c r="I184" s="48" t="s">
        <v>130</v>
      </c>
      <c r="J184" s="49">
        <v>0.67</v>
      </c>
      <c r="K184" s="50" t="s">
        <v>274</v>
      </c>
      <c r="L184" s="50">
        <v>0.1</v>
      </c>
      <c r="M184" s="52" t="s">
        <v>292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81</v>
      </c>
      <c r="D185" s="47" t="s">
        <v>83</v>
      </c>
      <c r="E185" s="46">
        <v>30</v>
      </c>
      <c r="F185" s="46" t="s">
        <v>191</v>
      </c>
      <c r="G185" s="46">
        <v>45</v>
      </c>
      <c r="H185" s="46" t="s">
        <v>198</v>
      </c>
      <c r="I185" s="48" t="s">
        <v>168</v>
      </c>
      <c r="J185" s="49">
        <v>6.6665999999999999</v>
      </c>
      <c r="K185" s="50" t="s">
        <v>278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81</v>
      </c>
      <c r="D186" s="47" t="s">
        <v>83</v>
      </c>
      <c r="E186" s="46">
        <v>30</v>
      </c>
      <c r="F186" s="46" t="s">
        <v>145</v>
      </c>
      <c r="G186" s="46">
        <v>4155</v>
      </c>
      <c r="H186" s="46" t="s">
        <v>151</v>
      </c>
      <c r="I186" s="48" t="s">
        <v>130</v>
      </c>
      <c r="J186" s="49">
        <v>0.28000000000000003</v>
      </c>
      <c r="K186" s="50" t="s">
        <v>280</v>
      </c>
      <c r="L186" s="50">
        <v>0.1</v>
      </c>
      <c r="M186" s="52" t="s">
        <v>292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81</v>
      </c>
      <c r="D187" s="47" t="s">
        <v>83</v>
      </c>
      <c r="E187" s="46">
        <v>30</v>
      </c>
      <c r="F187" s="46" t="s">
        <v>204</v>
      </c>
      <c r="G187" s="46">
        <v>3635</v>
      </c>
      <c r="H187" s="46" t="s">
        <v>205</v>
      </c>
      <c r="I187" s="48" t="s">
        <v>168</v>
      </c>
      <c r="J187" s="49">
        <v>0.156</v>
      </c>
      <c r="K187" s="50" t="s">
        <v>294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81</v>
      </c>
      <c r="D188" s="47" t="s">
        <v>83</v>
      </c>
      <c r="E188" s="46">
        <v>30</v>
      </c>
      <c r="F188" s="46" t="s">
        <v>283</v>
      </c>
      <c r="G188" s="46">
        <v>57</v>
      </c>
      <c r="H188" s="46" t="s">
        <v>310</v>
      </c>
      <c r="I188" s="48" t="s">
        <v>285</v>
      </c>
      <c r="J188" s="49">
        <v>6.6665999999999999</v>
      </c>
      <c r="K188" s="50" t="s">
        <v>286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81</v>
      </c>
      <c r="D189" s="47" t="s">
        <v>83</v>
      </c>
      <c r="E189" s="46">
        <v>30</v>
      </c>
      <c r="F189" s="46" t="s">
        <v>201</v>
      </c>
      <c r="G189" s="46">
        <v>194</v>
      </c>
      <c r="H189" s="46" t="s">
        <v>202</v>
      </c>
      <c r="I189" s="48" t="s">
        <v>130</v>
      </c>
      <c r="J189" s="49">
        <v>8.3199999999999993E-3</v>
      </c>
      <c r="K189" s="50" t="s">
        <v>201</v>
      </c>
      <c r="L189" s="50">
        <v>0.1</v>
      </c>
      <c r="M189" s="52" t="s">
        <v>307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79</v>
      </c>
      <c r="D190" s="47" t="s">
        <v>80</v>
      </c>
      <c r="E190" s="46">
        <v>30</v>
      </c>
      <c r="F190" s="46" t="s">
        <v>128</v>
      </c>
      <c r="G190" s="46">
        <v>406</v>
      </c>
      <c r="H190" s="46" t="s">
        <v>140</v>
      </c>
      <c r="I190" s="48" t="s">
        <v>130</v>
      </c>
      <c r="J190" s="49">
        <v>8</v>
      </c>
      <c r="K190" s="50" t="s">
        <v>271</v>
      </c>
      <c r="L190" s="50">
        <v>0.1</v>
      </c>
      <c r="M190" s="52" t="s">
        <v>306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79</v>
      </c>
      <c r="D191" s="47" t="s">
        <v>80</v>
      </c>
      <c r="E191" s="46">
        <v>30</v>
      </c>
      <c r="F191" s="46" t="s">
        <v>152</v>
      </c>
      <c r="G191" s="46">
        <v>3595</v>
      </c>
      <c r="H191" s="46" t="s">
        <v>273</v>
      </c>
      <c r="I191" s="48" t="s">
        <v>130</v>
      </c>
      <c r="J191" s="49">
        <v>0.67</v>
      </c>
      <c r="K191" s="50" t="s">
        <v>274</v>
      </c>
      <c r="L191" s="50">
        <v>0.1</v>
      </c>
      <c r="M191" s="52" t="s">
        <v>275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79</v>
      </c>
      <c r="D192" s="47" t="s">
        <v>80</v>
      </c>
      <c r="E192" s="46">
        <v>30</v>
      </c>
      <c r="F192" s="46" t="s">
        <v>164</v>
      </c>
      <c r="G192" s="46">
        <v>186</v>
      </c>
      <c r="H192" s="46" t="s">
        <v>165</v>
      </c>
      <c r="I192" s="48" t="s">
        <v>130</v>
      </c>
      <c r="J192" s="49">
        <v>0.28000000000000003</v>
      </c>
      <c r="K192" s="50" t="s">
        <v>295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79</v>
      </c>
      <c r="D193" s="47" t="s">
        <v>80</v>
      </c>
      <c r="E193" s="46">
        <v>30</v>
      </c>
      <c r="F193" s="46" t="s">
        <v>166</v>
      </c>
      <c r="G193" s="46">
        <v>3211</v>
      </c>
      <c r="H193" s="46" t="s">
        <v>176</v>
      </c>
      <c r="I193" s="48" t="s">
        <v>168</v>
      </c>
      <c r="J193" s="49">
        <v>1000</v>
      </c>
      <c r="K193" s="50" t="s">
        <v>276</v>
      </c>
      <c r="L193" s="50">
        <v>0.02</v>
      </c>
      <c r="M193" s="52" t="s">
        <v>277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79</v>
      </c>
      <c r="D194" s="47" t="s">
        <v>80</v>
      </c>
      <c r="E194" s="46">
        <v>30</v>
      </c>
      <c r="F194" s="46" t="s">
        <v>191</v>
      </c>
      <c r="G194" s="46">
        <v>3598</v>
      </c>
      <c r="H194" s="46" t="s">
        <v>197</v>
      </c>
      <c r="I194" s="48" t="s">
        <v>168</v>
      </c>
      <c r="J194" s="49">
        <v>4.2016</v>
      </c>
      <c r="K194" s="50" t="s">
        <v>278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79</v>
      </c>
      <c r="D195" s="47" t="s">
        <v>80</v>
      </c>
      <c r="E195" s="46">
        <v>30</v>
      </c>
      <c r="F195" s="46" t="s">
        <v>145</v>
      </c>
      <c r="G195" s="46">
        <v>4155</v>
      </c>
      <c r="H195" s="46" t="s">
        <v>151</v>
      </c>
      <c r="I195" s="48" t="s">
        <v>148</v>
      </c>
      <c r="J195" s="49">
        <v>0.28000000000000003</v>
      </c>
      <c r="K195" s="50" t="s">
        <v>280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79</v>
      </c>
      <c r="D196" s="47" t="s">
        <v>80</v>
      </c>
      <c r="E196" s="46">
        <v>30</v>
      </c>
      <c r="F196" s="46" t="s">
        <v>201</v>
      </c>
      <c r="G196" s="46">
        <v>194</v>
      </c>
      <c r="H196" s="46" t="s">
        <v>202</v>
      </c>
      <c r="I196" s="48" t="s">
        <v>130</v>
      </c>
      <c r="J196" s="49">
        <v>8.3219999999999995E-3</v>
      </c>
      <c r="K196" s="50" t="s">
        <v>279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79</v>
      </c>
      <c r="D197" s="47" t="s">
        <v>80</v>
      </c>
      <c r="E197" s="46">
        <v>30</v>
      </c>
      <c r="F197" s="46" t="s">
        <v>204</v>
      </c>
      <c r="G197" s="46">
        <v>3635</v>
      </c>
      <c r="H197" s="46" t="s">
        <v>205</v>
      </c>
      <c r="I197" s="48" t="s">
        <v>168</v>
      </c>
      <c r="J197" s="49">
        <v>0.156</v>
      </c>
      <c r="K197" s="50" t="s">
        <v>282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91</v>
      </c>
      <c r="D198" s="47" t="s">
        <v>92</v>
      </c>
      <c r="E198" s="46">
        <v>32</v>
      </c>
      <c r="F198" s="46" t="s">
        <v>128</v>
      </c>
      <c r="G198" s="46">
        <v>3935</v>
      </c>
      <c r="H198" s="46" t="s">
        <v>142</v>
      </c>
      <c r="I198" s="48" t="s">
        <v>130</v>
      </c>
      <c r="J198" s="49">
        <v>10.863200000000001</v>
      </c>
      <c r="K198" s="50" t="s">
        <v>271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91</v>
      </c>
      <c r="D199" s="47" t="s">
        <v>92</v>
      </c>
      <c r="E199" s="46">
        <v>32</v>
      </c>
      <c r="F199" s="46" t="s">
        <v>152</v>
      </c>
      <c r="G199" s="46">
        <v>3595</v>
      </c>
      <c r="H199" s="46" t="s">
        <v>273</v>
      </c>
      <c r="I199" s="48" t="s">
        <v>130</v>
      </c>
      <c r="J199" s="49">
        <v>0.78</v>
      </c>
      <c r="K199" s="50" t="s">
        <v>274</v>
      </c>
      <c r="L199" s="50">
        <v>0.1</v>
      </c>
      <c r="M199" s="52" t="s">
        <v>292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91</v>
      </c>
      <c r="D200" s="47" t="s">
        <v>92</v>
      </c>
      <c r="E200" s="46">
        <v>32</v>
      </c>
      <c r="F200" s="46" t="s">
        <v>164</v>
      </c>
      <c r="G200" s="46">
        <v>186</v>
      </c>
      <c r="H200" s="46" t="s">
        <v>165</v>
      </c>
      <c r="I200" s="48" t="s">
        <v>130</v>
      </c>
      <c r="J200" s="49">
        <v>0.7</v>
      </c>
      <c r="K200" s="50" t="s">
        <v>295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91</v>
      </c>
      <c r="D201" s="47" t="s">
        <v>92</v>
      </c>
      <c r="E201" s="46">
        <v>32</v>
      </c>
      <c r="F201" s="46" t="s">
        <v>166</v>
      </c>
      <c r="G201" s="46">
        <v>1285</v>
      </c>
      <c r="H201" s="46" t="s">
        <v>186</v>
      </c>
      <c r="I201" s="48" t="s">
        <v>168</v>
      </c>
      <c r="J201" s="49">
        <v>1000</v>
      </c>
      <c r="K201" s="50" t="s">
        <v>276</v>
      </c>
      <c r="L201" s="50">
        <v>0.02</v>
      </c>
      <c r="M201" s="52" t="s">
        <v>277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91</v>
      </c>
      <c r="D202" s="47" t="s">
        <v>92</v>
      </c>
      <c r="E202" s="46">
        <v>32</v>
      </c>
      <c r="F202" s="46" t="s">
        <v>191</v>
      </c>
      <c r="G202" s="46">
        <v>3988</v>
      </c>
      <c r="H202" s="46" t="s">
        <v>311</v>
      </c>
      <c r="I202" s="48" t="s">
        <v>168</v>
      </c>
      <c r="J202" s="49">
        <v>6.06</v>
      </c>
      <c r="K202" s="50" t="s">
        <v>278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91</v>
      </c>
      <c r="D203" s="47" t="s">
        <v>92</v>
      </c>
      <c r="E203" s="46">
        <v>32</v>
      </c>
      <c r="F203" s="46" t="s">
        <v>201</v>
      </c>
      <c r="G203" s="46">
        <v>194</v>
      </c>
      <c r="H203" s="46" t="s">
        <v>202</v>
      </c>
      <c r="I203" s="48" t="s">
        <v>130</v>
      </c>
      <c r="J203" s="49">
        <v>9.5999999999999992E-3</v>
      </c>
      <c r="K203" s="50" t="s">
        <v>279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91</v>
      </c>
      <c r="D204" s="47" t="s">
        <v>92</v>
      </c>
      <c r="E204" s="46">
        <v>32</v>
      </c>
      <c r="F204" s="46" t="s">
        <v>145</v>
      </c>
      <c r="G204" s="46">
        <v>4155</v>
      </c>
      <c r="H204" s="46" t="s">
        <v>151</v>
      </c>
      <c r="I204" s="48" t="s">
        <v>148</v>
      </c>
      <c r="J204" s="49">
        <v>0.17849999999999999</v>
      </c>
      <c r="K204" s="50" t="s">
        <v>280</v>
      </c>
      <c r="L204" s="50">
        <v>0.1</v>
      </c>
      <c r="M204" s="52" t="s">
        <v>292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91</v>
      </c>
      <c r="D205" s="47" t="s">
        <v>92</v>
      </c>
      <c r="E205" s="46">
        <v>32</v>
      </c>
      <c r="F205" s="46" t="s">
        <v>204</v>
      </c>
      <c r="G205" s="46">
        <v>3635</v>
      </c>
      <c r="H205" s="46" t="s">
        <v>205</v>
      </c>
      <c r="I205" s="48" t="s">
        <v>168</v>
      </c>
      <c r="J205" s="49">
        <v>0.16800000000000001</v>
      </c>
      <c r="K205" s="50" t="s">
        <v>282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33</v>
      </c>
      <c r="D206" s="47" t="s">
        <v>34</v>
      </c>
      <c r="E206" s="46">
        <v>32</v>
      </c>
      <c r="F206" s="46" t="s">
        <v>128</v>
      </c>
      <c r="G206" s="46">
        <v>3935</v>
      </c>
      <c r="H206" s="46" t="s">
        <v>142</v>
      </c>
      <c r="I206" s="48" t="s">
        <v>130</v>
      </c>
      <c r="J206" s="49">
        <v>10.863200000000001</v>
      </c>
      <c r="K206" s="50" t="s">
        <v>271</v>
      </c>
      <c r="L206" s="50">
        <v>0.1</v>
      </c>
      <c r="M206" s="50" t="s">
        <v>312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33</v>
      </c>
      <c r="D207" s="47" t="s">
        <v>34</v>
      </c>
      <c r="E207" s="46">
        <v>32</v>
      </c>
      <c r="F207" s="46" t="s">
        <v>152</v>
      </c>
      <c r="G207" s="46">
        <v>3595</v>
      </c>
      <c r="H207" s="46" t="s">
        <v>273</v>
      </c>
      <c r="I207" s="48" t="s">
        <v>130</v>
      </c>
      <c r="J207" s="49">
        <v>0.78</v>
      </c>
      <c r="K207" s="50" t="s">
        <v>274</v>
      </c>
      <c r="L207" s="50">
        <v>0.1</v>
      </c>
      <c r="M207" s="52" t="s">
        <v>275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33</v>
      </c>
      <c r="D208" s="47" t="s">
        <v>34</v>
      </c>
      <c r="E208" s="46">
        <v>32</v>
      </c>
      <c r="F208" s="46" t="s">
        <v>164</v>
      </c>
      <c r="G208" s="46">
        <v>186</v>
      </c>
      <c r="H208" s="46" t="s">
        <v>165</v>
      </c>
      <c r="I208" s="48" t="s">
        <v>130</v>
      </c>
      <c r="J208" s="49">
        <v>0.7</v>
      </c>
      <c r="K208" s="50" t="s">
        <v>295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33</v>
      </c>
      <c r="D209" s="47" t="s">
        <v>34</v>
      </c>
      <c r="E209" s="46">
        <v>32</v>
      </c>
      <c r="F209" s="46" t="s">
        <v>166</v>
      </c>
      <c r="G209" s="46">
        <v>1073</v>
      </c>
      <c r="H209" s="46" t="s">
        <v>185</v>
      </c>
      <c r="I209" s="48" t="s">
        <v>168</v>
      </c>
      <c r="J209" s="49">
        <v>1000</v>
      </c>
      <c r="K209" s="50" t="s">
        <v>276</v>
      </c>
      <c r="L209" s="50">
        <v>0.02</v>
      </c>
      <c r="M209" s="52" t="s">
        <v>277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33</v>
      </c>
      <c r="D210" s="47" t="s">
        <v>34</v>
      </c>
      <c r="E210" s="46">
        <v>32</v>
      </c>
      <c r="F210" s="46" t="s">
        <v>191</v>
      </c>
      <c r="G210" s="46">
        <v>3988</v>
      </c>
      <c r="H210" s="46" t="s">
        <v>311</v>
      </c>
      <c r="I210" s="48" t="s">
        <v>168</v>
      </c>
      <c r="J210" s="49">
        <v>6.06</v>
      </c>
      <c r="K210" s="50" t="s">
        <v>278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33</v>
      </c>
      <c r="D211" s="47" t="s">
        <v>34</v>
      </c>
      <c r="E211" s="46">
        <v>32</v>
      </c>
      <c r="F211" s="46" t="s">
        <v>201</v>
      </c>
      <c r="G211" s="46">
        <v>194</v>
      </c>
      <c r="H211" s="46" t="s">
        <v>202</v>
      </c>
      <c r="I211" s="48" t="s">
        <v>130</v>
      </c>
      <c r="J211" s="49">
        <v>9.5999999999999992E-3</v>
      </c>
      <c r="K211" s="50" t="s">
        <v>279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33</v>
      </c>
      <c r="D212" s="47" t="s">
        <v>34</v>
      </c>
      <c r="E212" s="46">
        <v>32</v>
      </c>
      <c r="F212" s="46" t="s">
        <v>145</v>
      </c>
      <c r="G212" s="46">
        <v>4155</v>
      </c>
      <c r="H212" s="46" t="s">
        <v>151</v>
      </c>
      <c r="I212" s="48" t="s">
        <v>130</v>
      </c>
      <c r="J212" s="49">
        <v>0.17849999999999999</v>
      </c>
      <c r="K212" s="50" t="s">
        <v>280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33</v>
      </c>
      <c r="D213" s="47" t="s">
        <v>34</v>
      </c>
      <c r="E213" s="46">
        <v>32</v>
      </c>
      <c r="F213" s="46" t="s">
        <v>204</v>
      </c>
      <c r="G213" s="46">
        <v>3635</v>
      </c>
      <c r="H213" s="46" t="s">
        <v>205</v>
      </c>
      <c r="I213" s="48" t="s">
        <v>168</v>
      </c>
      <c r="J213" s="49">
        <v>0.16800000000000001</v>
      </c>
      <c r="K213" s="50" t="s">
        <v>282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93</v>
      </c>
      <c r="D214" s="47" t="s">
        <v>96</v>
      </c>
      <c r="E214" s="46">
        <v>35</v>
      </c>
      <c r="F214" s="46" t="s">
        <v>128</v>
      </c>
      <c r="G214" s="46">
        <v>3503</v>
      </c>
      <c r="H214" s="46" t="s">
        <v>143</v>
      </c>
      <c r="I214" s="48" t="s">
        <v>130</v>
      </c>
      <c r="J214" s="49">
        <v>12.82</v>
      </c>
      <c r="K214" s="50" t="s">
        <v>271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93</v>
      </c>
      <c r="D215" s="47" t="s">
        <v>96</v>
      </c>
      <c r="E215" s="46">
        <v>35</v>
      </c>
      <c r="F215" s="46" t="s">
        <v>152</v>
      </c>
      <c r="G215" s="46">
        <v>4156</v>
      </c>
      <c r="H215" s="46" t="s">
        <v>158</v>
      </c>
      <c r="I215" s="48" t="s">
        <v>130</v>
      </c>
      <c r="J215" s="49">
        <v>1.2</v>
      </c>
      <c r="K215" s="50" t="s">
        <v>274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93</v>
      </c>
      <c r="D216" s="47" t="s">
        <v>96</v>
      </c>
      <c r="E216" s="46">
        <v>35</v>
      </c>
      <c r="F216" s="46" t="s">
        <v>152</v>
      </c>
      <c r="G216" s="46"/>
      <c r="H216" s="46" t="s">
        <v>313</v>
      </c>
      <c r="I216" s="48" t="s">
        <v>130</v>
      </c>
      <c r="J216" s="49">
        <v>0.78</v>
      </c>
      <c r="K216" s="50" t="s">
        <v>274</v>
      </c>
      <c r="L216" s="50">
        <v>0.1</v>
      </c>
      <c r="M216" s="52" t="s">
        <v>314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93</v>
      </c>
      <c r="D217" s="47" t="s">
        <v>96</v>
      </c>
      <c r="E217" s="46">
        <v>35</v>
      </c>
      <c r="F217" s="46" t="s">
        <v>166</v>
      </c>
      <c r="G217" s="46">
        <v>1073</v>
      </c>
      <c r="H217" s="46" t="s">
        <v>185</v>
      </c>
      <c r="I217" s="48" t="s">
        <v>168</v>
      </c>
      <c r="J217" s="49">
        <v>1000</v>
      </c>
      <c r="K217" s="50" t="s">
        <v>276</v>
      </c>
      <c r="L217" s="50">
        <v>0.02</v>
      </c>
      <c r="M217" s="52" t="s">
        <v>277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93</v>
      </c>
      <c r="D218" s="47" t="s">
        <v>96</v>
      </c>
      <c r="E218" s="46">
        <v>35</v>
      </c>
      <c r="F218" s="46" t="s">
        <v>191</v>
      </c>
      <c r="G218" s="46">
        <v>3988</v>
      </c>
      <c r="H218" s="46" t="s">
        <v>311</v>
      </c>
      <c r="I218" s="48" t="s">
        <v>168</v>
      </c>
      <c r="J218" s="49">
        <v>6.06</v>
      </c>
      <c r="K218" s="50" t="s">
        <v>278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93</v>
      </c>
      <c r="D219" s="47" t="s">
        <v>96</v>
      </c>
      <c r="E219" s="46">
        <v>35</v>
      </c>
      <c r="F219" s="46" t="s">
        <v>201</v>
      </c>
      <c r="G219" s="46">
        <v>194</v>
      </c>
      <c r="H219" s="46" t="s">
        <v>202</v>
      </c>
      <c r="I219" s="48" t="s">
        <v>130</v>
      </c>
      <c r="J219" s="49">
        <v>1.333E-2</v>
      </c>
      <c r="K219" s="50" t="s">
        <v>279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93</v>
      </c>
      <c r="D220" s="47" t="s">
        <v>96</v>
      </c>
      <c r="E220" s="46">
        <v>35</v>
      </c>
      <c r="F220" s="46" t="s">
        <v>204</v>
      </c>
      <c r="G220" s="46">
        <v>3635</v>
      </c>
      <c r="H220" s="46" t="s">
        <v>205</v>
      </c>
      <c r="I220" s="48" t="s">
        <v>168</v>
      </c>
      <c r="J220" s="49">
        <v>0.16800000000000001</v>
      </c>
      <c r="K220" s="50" t="s">
        <v>282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93</v>
      </c>
      <c r="D221" s="47" t="s">
        <v>96</v>
      </c>
      <c r="E221" s="46">
        <v>35</v>
      </c>
      <c r="F221" s="46" t="s">
        <v>145</v>
      </c>
      <c r="G221" s="46">
        <v>4155</v>
      </c>
      <c r="H221" s="46" t="s">
        <v>151</v>
      </c>
      <c r="I221" s="48" t="s">
        <v>130</v>
      </c>
      <c r="J221" s="49">
        <v>0.5</v>
      </c>
      <c r="K221" s="50" t="s">
        <v>280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93</v>
      </c>
      <c r="D222" s="47" t="s">
        <v>96</v>
      </c>
      <c r="E222" s="46">
        <v>35</v>
      </c>
      <c r="F222" s="46" t="s">
        <v>164</v>
      </c>
      <c r="G222" s="46">
        <v>186</v>
      </c>
      <c r="H222" s="46" t="s">
        <v>165</v>
      </c>
      <c r="I222" s="48" t="s">
        <v>130</v>
      </c>
      <c r="J222" s="49">
        <v>0.7</v>
      </c>
      <c r="K222" s="50" t="s">
        <v>295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93</v>
      </c>
      <c r="D223" s="47" t="s">
        <v>97</v>
      </c>
      <c r="E223" s="46">
        <v>35</v>
      </c>
      <c r="F223" s="46" t="s">
        <v>128</v>
      </c>
      <c r="G223" s="46">
        <v>3503</v>
      </c>
      <c r="H223" s="46" t="s">
        <v>143</v>
      </c>
      <c r="I223" s="48" t="s">
        <v>130</v>
      </c>
      <c r="J223" s="49">
        <v>12.82</v>
      </c>
      <c r="K223" s="50" t="s">
        <v>271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93</v>
      </c>
      <c r="D224" s="47" t="s">
        <v>97</v>
      </c>
      <c r="E224" s="46">
        <v>35</v>
      </c>
      <c r="F224" s="46" t="s">
        <v>152</v>
      </c>
      <c r="G224" s="46">
        <v>4156</v>
      </c>
      <c r="H224" s="46" t="s">
        <v>158</v>
      </c>
      <c r="I224" s="48" t="s">
        <v>130</v>
      </c>
      <c r="J224" s="49">
        <v>1.2</v>
      </c>
      <c r="K224" s="50" t="s">
        <v>274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93</v>
      </c>
      <c r="D225" s="47" t="s">
        <v>97</v>
      </c>
      <c r="E225" s="46">
        <v>35</v>
      </c>
      <c r="F225" s="46" t="s">
        <v>152</v>
      </c>
      <c r="G225" s="46"/>
      <c r="H225" s="46" t="s">
        <v>313</v>
      </c>
      <c r="I225" s="48" t="s">
        <v>130</v>
      </c>
      <c r="J225" s="49">
        <v>0.78</v>
      </c>
      <c r="K225" s="50" t="s">
        <v>274</v>
      </c>
      <c r="L225" s="50">
        <v>0.1</v>
      </c>
      <c r="M225" s="52" t="s">
        <v>314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93</v>
      </c>
      <c r="D226" s="47" t="s">
        <v>97</v>
      </c>
      <c r="E226" s="46">
        <v>35</v>
      </c>
      <c r="F226" s="46" t="s">
        <v>166</v>
      </c>
      <c r="G226" s="46">
        <v>1073</v>
      </c>
      <c r="H226" s="46" t="s">
        <v>185</v>
      </c>
      <c r="I226" s="48" t="s">
        <v>168</v>
      </c>
      <c r="J226" s="49">
        <v>1000</v>
      </c>
      <c r="K226" s="50" t="s">
        <v>276</v>
      </c>
      <c r="L226" s="50">
        <v>0.02</v>
      </c>
      <c r="M226" s="52" t="s">
        <v>277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93</v>
      </c>
      <c r="D227" s="47" t="s">
        <v>97</v>
      </c>
      <c r="E227" s="46">
        <v>35</v>
      </c>
      <c r="F227" s="46" t="s">
        <v>191</v>
      </c>
      <c r="G227" s="46">
        <v>3988</v>
      </c>
      <c r="H227" s="46" t="s">
        <v>311</v>
      </c>
      <c r="I227" s="48" t="s">
        <v>168</v>
      </c>
      <c r="J227" s="49">
        <v>6.06</v>
      </c>
      <c r="K227" s="50" t="s">
        <v>278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93</v>
      </c>
      <c r="D228" s="47" t="s">
        <v>97</v>
      </c>
      <c r="E228" s="46">
        <v>35</v>
      </c>
      <c r="F228" s="46" t="s">
        <v>201</v>
      </c>
      <c r="G228" s="46">
        <v>194</v>
      </c>
      <c r="H228" s="46" t="s">
        <v>202</v>
      </c>
      <c r="I228" s="48" t="s">
        <v>130</v>
      </c>
      <c r="J228" s="49">
        <v>1.333E-2</v>
      </c>
      <c r="K228" s="50" t="s">
        <v>279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93</v>
      </c>
      <c r="D229" s="47" t="s">
        <v>97</v>
      </c>
      <c r="E229" s="46">
        <v>35</v>
      </c>
      <c r="F229" s="46" t="s">
        <v>204</v>
      </c>
      <c r="G229" s="46">
        <v>3635</v>
      </c>
      <c r="H229" s="46" t="s">
        <v>205</v>
      </c>
      <c r="I229" s="48" t="s">
        <v>168</v>
      </c>
      <c r="J229" s="49">
        <v>0.16800000000000001</v>
      </c>
      <c r="K229" s="50" t="s">
        <v>282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93</v>
      </c>
      <c r="D230" s="47" t="s">
        <v>97</v>
      </c>
      <c r="E230" s="46">
        <v>35</v>
      </c>
      <c r="F230" s="46" t="s">
        <v>145</v>
      </c>
      <c r="G230" s="46">
        <v>4155</v>
      </c>
      <c r="H230" s="46" t="s">
        <v>151</v>
      </c>
      <c r="I230" s="48" t="s">
        <v>130</v>
      </c>
      <c r="J230" s="49">
        <v>0.5</v>
      </c>
      <c r="K230" s="50" t="s">
        <v>280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93</v>
      </c>
      <c r="D231" s="47" t="s">
        <v>97</v>
      </c>
      <c r="E231" s="46">
        <v>35</v>
      </c>
      <c r="F231" s="46" t="s">
        <v>164</v>
      </c>
      <c r="G231" s="46">
        <v>186</v>
      </c>
      <c r="H231" s="46" t="s">
        <v>165</v>
      </c>
      <c r="I231" s="48" t="s">
        <v>130</v>
      </c>
      <c r="J231" s="49">
        <v>0.7</v>
      </c>
      <c r="K231" s="50" t="s">
        <v>295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93</v>
      </c>
      <c r="D232" s="47" t="s">
        <v>94</v>
      </c>
      <c r="E232" s="46">
        <v>35</v>
      </c>
      <c r="F232" s="46" t="s">
        <v>128</v>
      </c>
      <c r="G232" s="46">
        <v>3503</v>
      </c>
      <c r="H232" s="46" t="s">
        <v>143</v>
      </c>
      <c r="I232" s="48" t="s">
        <v>130</v>
      </c>
      <c r="J232" s="49">
        <v>12.82</v>
      </c>
      <c r="K232" s="50" t="s">
        <v>271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93</v>
      </c>
      <c r="D233" s="47" t="s">
        <v>94</v>
      </c>
      <c r="E233" s="46">
        <v>35</v>
      </c>
      <c r="F233" s="46" t="s">
        <v>152</v>
      </c>
      <c r="G233" s="46">
        <v>3595</v>
      </c>
      <c r="H233" s="46" t="s">
        <v>273</v>
      </c>
      <c r="I233" s="48" t="s">
        <v>130</v>
      </c>
      <c r="J233" s="49">
        <v>0.78</v>
      </c>
      <c r="K233" s="50" t="s">
        <v>274</v>
      </c>
      <c r="L233" s="50">
        <v>0.1</v>
      </c>
      <c r="M233" s="52" t="s">
        <v>275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93</v>
      </c>
      <c r="D234" s="47" t="s">
        <v>94</v>
      </c>
      <c r="E234" s="46">
        <v>35</v>
      </c>
      <c r="F234" s="46" t="s">
        <v>166</v>
      </c>
      <c r="G234" s="46">
        <v>578</v>
      </c>
      <c r="H234" s="46" t="s">
        <v>189</v>
      </c>
      <c r="I234" s="48" t="s">
        <v>168</v>
      </c>
      <c r="J234" s="49">
        <v>1000</v>
      </c>
      <c r="K234" s="50" t="s">
        <v>276</v>
      </c>
      <c r="L234" s="50">
        <v>0.02</v>
      </c>
      <c r="M234" s="52" t="s">
        <v>277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93</v>
      </c>
      <c r="D235" s="47" t="s">
        <v>94</v>
      </c>
      <c r="E235" s="46">
        <v>35</v>
      </c>
      <c r="F235" s="46" t="s">
        <v>191</v>
      </c>
      <c r="G235" s="46">
        <v>3988</v>
      </c>
      <c r="H235" s="46" t="s">
        <v>311</v>
      </c>
      <c r="I235" s="48" t="s">
        <v>168</v>
      </c>
      <c r="J235" s="49">
        <v>6.06</v>
      </c>
      <c r="K235" s="50" t="s">
        <v>278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93</v>
      </c>
      <c r="D236" s="47" t="s">
        <v>94</v>
      </c>
      <c r="E236" s="46">
        <v>35</v>
      </c>
      <c r="F236" s="46" t="s">
        <v>201</v>
      </c>
      <c r="G236" s="46">
        <v>194</v>
      </c>
      <c r="H236" s="46" t="s">
        <v>202</v>
      </c>
      <c r="I236" s="48" t="s">
        <v>130</v>
      </c>
      <c r="J236" s="49">
        <v>1.3299999999999999E-2</v>
      </c>
      <c r="K236" s="50" t="s">
        <v>279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93</v>
      </c>
      <c r="D237" s="47" t="s">
        <v>94</v>
      </c>
      <c r="E237" s="46">
        <v>35</v>
      </c>
      <c r="F237" s="46" t="s">
        <v>145</v>
      </c>
      <c r="G237" s="46">
        <v>4155</v>
      </c>
      <c r="H237" s="46" t="s">
        <v>151</v>
      </c>
      <c r="I237" s="48" t="s">
        <v>130</v>
      </c>
      <c r="J237" s="49">
        <v>0.16</v>
      </c>
      <c r="K237" s="50" t="s">
        <v>280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93</v>
      </c>
      <c r="D238" s="47" t="s">
        <v>94</v>
      </c>
      <c r="E238" s="46">
        <v>35</v>
      </c>
      <c r="F238" s="46" t="s">
        <v>296</v>
      </c>
      <c r="G238" s="46">
        <v>495</v>
      </c>
      <c r="H238" s="46" t="s">
        <v>297</v>
      </c>
      <c r="I238" s="48" t="s">
        <v>285</v>
      </c>
      <c r="J238" s="49">
        <v>6.06</v>
      </c>
      <c r="K238" s="50" t="s">
        <v>298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93</v>
      </c>
      <c r="D239" s="47" t="s">
        <v>94</v>
      </c>
      <c r="E239" s="46">
        <v>35</v>
      </c>
      <c r="F239" s="46" t="s">
        <v>204</v>
      </c>
      <c r="G239" s="46">
        <v>3635</v>
      </c>
      <c r="H239" s="46" t="s">
        <v>205</v>
      </c>
      <c r="I239" s="48" t="s">
        <v>168</v>
      </c>
      <c r="J239" s="49">
        <v>0.16800000000000001</v>
      </c>
      <c r="K239" s="50" t="s">
        <v>282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93</v>
      </c>
      <c r="D240" s="47" t="s">
        <v>95</v>
      </c>
      <c r="E240" s="46">
        <v>35</v>
      </c>
      <c r="F240" s="46" t="s">
        <v>128</v>
      </c>
      <c r="G240" s="46">
        <v>3503</v>
      </c>
      <c r="H240" s="46" t="s">
        <v>143</v>
      </c>
      <c r="I240" s="48" t="s">
        <v>130</v>
      </c>
      <c r="J240" s="49">
        <v>12.82</v>
      </c>
      <c r="K240" s="50" t="s">
        <v>271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93</v>
      </c>
      <c r="D241" s="47" t="s">
        <v>95</v>
      </c>
      <c r="E241" s="46">
        <v>35</v>
      </c>
      <c r="F241" s="46" t="s">
        <v>152</v>
      </c>
      <c r="G241" s="46">
        <v>3595</v>
      </c>
      <c r="H241" s="46" t="s">
        <v>273</v>
      </c>
      <c r="I241" s="48" t="s">
        <v>130</v>
      </c>
      <c r="J241" s="49">
        <v>0.78</v>
      </c>
      <c r="K241" s="50" t="s">
        <v>274</v>
      </c>
      <c r="L241" s="50">
        <v>0.1</v>
      </c>
      <c r="M241" s="52" t="s">
        <v>275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93</v>
      </c>
      <c r="D242" s="47" t="s">
        <v>95</v>
      </c>
      <c r="E242" s="46">
        <v>35</v>
      </c>
      <c r="F242" s="46" t="s">
        <v>166</v>
      </c>
      <c r="G242" s="46">
        <v>578</v>
      </c>
      <c r="H242" s="46" t="s">
        <v>189</v>
      </c>
      <c r="I242" s="48" t="s">
        <v>168</v>
      </c>
      <c r="J242" s="49">
        <v>1000</v>
      </c>
      <c r="K242" s="50" t="s">
        <v>276</v>
      </c>
      <c r="L242" s="50">
        <v>0.02</v>
      </c>
      <c r="M242" s="52" t="s">
        <v>277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93</v>
      </c>
      <c r="D243" s="47" t="s">
        <v>95</v>
      </c>
      <c r="E243" s="46">
        <v>35</v>
      </c>
      <c r="F243" s="46" t="s">
        <v>191</v>
      </c>
      <c r="G243" s="46">
        <v>3988</v>
      </c>
      <c r="H243" s="46" t="s">
        <v>311</v>
      </c>
      <c r="I243" s="48" t="s">
        <v>168</v>
      </c>
      <c r="J243" s="49">
        <v>6.06</v>
      </c>
      <c r="K243" s="50" t="s">
        <v>278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93</v>
      </c>
      <c r="D244" s="47" t="s">
        <v>95</v>
      </c>
      <c r="E244" s="46">
        <v>35</v>
      </c>
      <c r="F244" s="46" t="s">
        <v>201</v>
      </c>
      <c r="G244" s="46">
        <v>194</v>
      </c>
      <c r="H244" s="46" t="s">
        <v>202</v>
      </c>
      <c r="I244" s="48" t="s">
        <v>130</v>
      </c>
      <c r="J244" s="49">
        <v>1.3299999999999999E-2</v>
      </c>
      <c r="K244" s="50" t="s">
        <v>279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93</v>
      </c>
      <c r="D245" s="47" t="s">
        <v>95</v>
      </c>
      <c r="E245" s="46">
        <v>35</v>
      </c>
      <c r="F245" s="46" t="s">
        <v>145</v>
      </c>
      <c r="G245" s="46">
        <v>4155</v>
      </c>
      <c r="H245" s="46" t="s">
        <v>151</v>
      </c>
      <c r="I245" s="48" t="s">
        <v>130</v>
      </c>
      <c r="J245" s="49">
        <v>0.16</v>
      </c>
      <c r="K245" s="50" t="s">
        <v>280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93</v>
      </c>
      <c r="D246" s="47" t="s">
        <v>95</v>
      </c>
      <c r="E246" s="46">
        <v>35</v>
      </c>
      <c r="F246" s="46" t="s">
        <v>204</v>
      </c>
      <c r="G246" s="46">
        <v>3635</v>
      </c>
      <c r="H246" s="46" t="s">
        <v>205</v>
      </c>
      <c r="I246" s="48" t="s">
        <v>168</v>
      </c>
      <c r="J246" s="49">
        <v>0.16800000000000001</v>
      </c>
      <c r="K246" s="50" t="s">
        <v>282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93</v>
      </c>
      <c r="D247" s="47" t="s">
        <v>95</v>
      </c>
      <c r="E247" s="46">
        <v>35</v>
      </c>
      <c r="F247" s="46" t="s">
        <v>296</v>
      </c>
      <c r="G247" s="46">
        <v>495</v>
      </c>
      <c r="H247" s="46" t="s">
        <v>297</v>
      </c>
      <c r="I247" s="48" t="s">
        <v>285</v>
      </c>
      <c r="J247" s="49">
        <v>6.06</v>
      </c>
      <c r="K247" s="50" t="s">
        <v>298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44</v>
      </c>
      <c r="D248" s="47" t="s">
        <v>45</v>
      </c>
      <c r="E248" s="46" t="s">
        <v>46</v>
      </c>
      <c r="F248" s="46" t="s">
        <v>209</v>
      </c>
      <c r="G248" s="46">
        <v>2680</v>
      </c>
      <c r="H248" s="46" t="s">
        <v>210</v>
      </c>
      <c r="I248" s="48" t="s">
        <v>130</v>
      </c>
      <c r="J248" s="49">
        <v>22</v>
      </c>
      <c r="K248" s="50" t="s">
        <v>315</v>
      </c>
      <c r="L248" s="50">
        <v>0.15</v>
      </c>
      <c r="M248" s="52" t="s">
        <v>277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44</v>
      </c>
      <c r="D249" s="47" t="s">
        <v>45</v>
      </c>
      <c r="E249" s="46" t="s">
        <v>46</v>
      </c>
      <c r="F249" s="46" t="s">
        <v>316</v>
      </c>
      <c r="G249" s="46">
        <v>5977</v>
      </c>
      <c r="H249" s="46" t="s">
        <v>200</v>
      </c>
      <c r="I249" s="48" t="s">
        <v>168</v>
      </c>
      <c r="J249" s="49">
        <v>1.087</v>
      </c>
      <c r="K249" s="50" t="s">
        <v>317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44</v>
      </c>
      <c r="D250" s="47" t="s">
        <v>45</v>
      </c>
      <c r="E250" s="46" t="s">
        <v>46</v>
      </c>
      <c r="F250" s="46" t="s">
        <v>224</v>
      </c>
      <c r="G250" s="46">
        <v>2267</v>
      </c>
      <c r="H250" s="46" t="s">
        <v>225</v>
      </c>
      <c r="I250" s="48" t="s">
        <v>168</v>
      </c>
      <c r="J250" s="49">
        <v>8.6959999999999997</v>
      </c>
      <c r="K250" s="50" t="s">
        <v>238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44</v>
      </c>
      <c r="D251" s="47" t="s">
        <v>45</v>
      </c>
      <c r="E251" s="46" t="s">
        <v>46</v>
      </c>
      <c r="F251" s="46" t="s">
        <v>204</v>
      </c>
      <c r="G251" s="46">
        <v>3635</v>
      </c>
      <c r="H251" s="46" t="s">
        <v>205</v>
      </c>
      <c r="I251" s="48" t="s">
        <v>168</v>
      </c>
      <c r="J251" s="49">
        <v>2.7E-2</v>
      </c>
      <c r="K251" s="50" t="s">
        <v>282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44</v>
      </c>
      <c r="D252" s="47" t="s">
        <v>45</v>
      </c>
      <c r="E252" s="46" t="s">
        <v>46</v>
      </c>
      <c r="F252" s="46" t="s">
        <v>227</v>
      </c>
      <c r="G252" s="46">
        <v>3043</v>
      </c>
      <c r="H252" s="46" t="s">
        <v>227</v>
      </c>
      <c r="I252" s="48" t="s">
        <v>228</v>
      </c>
      <c r="J252" s="49">
        <v>5.0000000000000001E-3</v>
      </c>
      <c r="K252" s="50" t="s">
        <v>318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27</v>
      </c>
      <c r="D253" s="47" t="s">
        <v>39</v>
      </c>
      <c r="E253" s="46" t="s">
        <v>40</v>
      </c>
      <c r="F253" s="46" t="s">
        <v>209</v>
      </c>
      <c r="G253" s="46">
        <v>2680</v>
      </c>
      <c r="H253" s="46" t="s">
        <v>210</v>
      </c>
      <c r="I253" s="48" t="s">
        <v>130</v>
      </c>
      <c r="J253" s="49">
        <v>17.100000000000001</v>
      </c>
      <c r="K253" s="50" t="s">
        <v>315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27</v>
      </c>
      <c r="D254" s="47" t="s">
        <v>39</v>
      </c>
      <c r="E254" s="46" t="s">
        <v>40</v>
      </c>
      <c r="F254" s="46" t="s">
        <v>319</v>
      </c>
      <c r="G254" s="46">
        <v>4002</v>
      </c>
      <c r="H254" s="46" t="s">
        <v>213</v>
      </c>
      <c r="I254" s="48" t="s">
        <v>130</v>
      </c>
      <c r="J254" s="49">
        <v>0.9</v>
      </c>
      <c r="K254" s="50" t="s">
        <v>320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27</v>
      </c>
      <c r="D255" s="47" t="s">
        <v>39</v>
      </c>
      <c r="E255" s="46" t="s">
        <v>40</v>
      </c>
      <c r="F255" s="46" t="s">
        <v>224</v>
      </c>
      <c r="G255" s="46">
        <v>2267</v>
      </c>
      <c r="H255" s="46" t="s">
        <v>225</v>
      </c>
      <c r="I255" s="48" t="s">
        <v>168</v>
      </c>
      <c r="J255" s="49">
        <v>8.3330000000000002</v>
      </c>
      <c r="K255" s="50" t="s">
        <v>238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27</v>
      </c>
      <c r="D256" s="47" t="s">
        <v>39</v>
      </c>
      <c r="E256" s="46" t="s">
        <v>40</v>
      </c>
      <c r="F256" s="46" t="s">
        <v>227</v>
      </c>
      <c r="G256" s="46">
        <v>3043</v>
      </c>
      <c r="H256" s="46" t="s">
        <v>227</v>
      </c>
      <c r="I256" s="48" t="s">
        <v>228</v>
      </c>
      <c r="J256" s="49">
        <v>5.0000000000000001E-3</v>
      </c>
      <c r="K256" s="50" t="s">
        <v>318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27</v>
      </c>
      <c r="D257" s="47" t="s">
        <v>98</v>
      </c>
      <c r="E257" s="46" t="s">
        <v>40</v>
      </c>
      <c r="F257" s="46" t="s">
        <v>209</v>
      </c>
      <c r="G257" s="46">
        <v>2680</v>
      </c>
      <c r="H257" s="46" t="s">
        <v>210</v>
      </c>
      <c r="I257" s="48" t="s">
        <v>130</v>
      </c>
      <c r="J257" s="49">
        <v>17.46</v>
      </c>
      <c r="K257" s="50" t="s">
        <v>315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27</v>
      </c>
      <c r="D258" s="47" t="s">
        <v>98</v>
      </c>
      <c r="E258" s="46" t="s">
        <v>40</v>
      </c>
      <c r="F258" s="46" t="s">
        <v>319</v>
      </c>
      <c r="G258" s="46">
        <v>7412</v>
      </c>
      <c r="H258" s="46" t="s">
        <v>219</v>
      </c>
      <c r="I258" s="48" t="s">
        <v>130</v>
      </c>
      <c r="J258" s="49">
        <v>0.54</v>
      </c>
      <c r="K258" s="50" t="s">
        <v>320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27</v>
      </c>
      <c r="D259" s="47" t="s">
        <v>98</v>
      </c>
      <c r="E259" s="46" t="s">
        <v>40</v>
      </c>
      <c r="F259" s="46" t="s">
        <v>224</v>
      </c>
      <c r="G259" s="46">
        <v>2267</v>
      </c>
      <c r="H259" s="46" t="s">
        <v>225</v>
      </c>
      <c r="I259" s="48" t="s">
        <v>168</v>
      </c>
      <c r="J259" s="49">
        <v>8.3330000000000002</v>
      </c>
      <c r="K259" s="50" t="s">
        <v>238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27</v>
      </c>
      <c r="D260" s="47" t="s">
        <v>98</v>
      </c>
      <c r="E260" s="46" t="s">
        <v>40</v>
      </c>
      <c r="F260" s="46" t="s">
        <v>227</v>
      </c>
      <c r="G260" s="46">
        <v>3043</v>
      </c>
      <c r="H260" s="46" t="s">
        <v>227</v>
      </c>
      <c r="I260" s="48" t="s">
        <v>228</v>
      </c>
      <c r="J260" s="49">
        <v>5.0000000000000001E-3</v>
      </c>
      <c r="K260" s="50" t="s">
        <v>318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27</v>
      </c>
      <c r="D261" s="47" t="s">
        <v>99</v>
      </c>
      <c r="E261" s="46" t="s">
        <v>40</v>
      </c>
      <c r="F261" s="46" t="s">
        <v>209</v>
      </c>
      <c r="G261" s="46">
        <v>2680</v>
      </c>
      <c r="H261" s="46" t="s">
        <v>210</v>
      </c>
      <c r="I261" s="48" t="s">
        <v>130</v>
      </c>
      <c r="J261" s="49">
        <v>17.100000000000001</v>
      </c>
      <c r="K261" s="50" t="s">
        <v>315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27</v>
      </c>
      <c r="D262" s="47" t="s">
        <v>99</v>
      </c>
      <c r="E262" s="46" t="s">
        <v>40</v>
      </c>
      <c r="F262" s="46" t="s">
        <v>319</v>
      </c>
      <c r="G262" s="46">
        <v>5816</v>
      </c>
      <c r="H262" s="46" t="s">
        <v>216</v>
      </c>
      <c r="I262" s="48" t="s">
        <v>130</v>
      </c>
      <c r="J262" s="49">
        <v>0.9</v>
      </c>
      <c r="K262" s="50" t="s">
        <v>320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27</v>
      </c>
      <c r="D263" s="47" t="s">
        <v>99</v>
      </c>
      <c r="E263" s="46" t="s">
        <v>40</v>
      </c>
      <c r="F263" s="46" t="s">
        <v>224</v>
      </c>
      <c r="G263" s="46">
        <v>2267</v>
      </c>
      <c r="H263" s="46" t="s">
        <v>225</v>
      </c>
      <c r="I263" s="48" t="s">
        <v>168</v>
      </c>
      <c r="J263" s="49">
        <v>8.3330000000000002</v>
      </c>
      <c r="K263" s="50" t="s">
        <v>238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27</v>
      </c>
      <c r="D264" s="47" t="s">
        <v>99</v>
      </c>
      <c r="E264" s="46" t="s">
        <v>40</v>
      </c>
      <c r="F264" s="46" t="s">
        <v>227</v>
      </c>
      <c r="G264" s="46">
        <v>3043</v>
      </c>
      <c r="H264" s="46" t="s">
        <v>227</v>
      </c>
      <c r="I264" s="48" t="s">
        <v>228</v>
      </c>
      <c r="J264" s="49">
        <v>5.0000000000000001E-3</v>
      </c>
      <c r="K264" s="50" t="s">
        <v>318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44</v>
      </c>
      <c r="D265" s="47" t="s">
        <v>100</v>
      </c>
      <c r="E265" s="46" t="s">
        <v>43</v>
      </c>
      <c r="F265" s="46" t="s">
        <v>209</v>
      </c>
      <c r="G265" s="46">
        <v>2680</v>
      </c>
      <c r="H265" s="46" t="s">
        <v>210</v>
      </c>
      <c r="I265" s="48" t="s">
        <v>130</v>
      </c>
      <c r="J265" s="49">
        <v>18</v>
      </c>
      <c r="K265" s="50" t="s">
        <v>315</v>
      </c>
      <c r="L265" s="50">
        <v>0.15</v>
      </c>
      <c r="M265" s="52" t="s">
        <v>277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44</v>
      </c>
      <c r="D266" s="47" t="s">
        <v>100</v>
      </c>
      <c r="E266" s="46" t="s">
        <v>43</v>
      </c>
      <c r="F266" s="46" t="s">
        <v>316</v>
      </c>
      <c r="G266" s="46">
        <v>5977</v>
      </c>
      <c r="H266" s="46" t="s">
        <v>200</v>
      </c>
      <c r="I266" s="48" t="s">
        <v>168</v>
      </c>
      <c r="J266" s="49">
        <v>1.667</v>
      </c>
      <c r="K266" s="50" t="s">
        <v>317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44</v>
      </c>
      <c r="D267" s="47" t="s">
        <v>100</v>
      </c>
      <c r="E267" s="46" t="s">
        <v>43</v>
      </c>
      <c r="F267" s="46" t="s">
        <v>224</v>
      </c>
      <c r="G267" s="46">
        <v>2267</v>
      </c>
      <c r="H267" s="46" t="s">
        <v>225</v>
      </c>
      <c r="I267" s="48" t="s">
        <v>168</v>
      </c>
      <c r="J267" s="49">
        <v>10</v>
      </c>
      <c r="K267" s="50" t="s">
        <v>238</v>
      </c>
      <c r="L267" s="50">
        <v>0.15</v>
      </c>
      <c r="M267" s="52" t="s">
        <v>277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44</v>
      </c>
      <c r="D268" s="47" t="s">
        <v>100</v>
      </c>
      <c r="E268" s="46" t="s">
        <v>43</v>
      </c>
      <c r="F268" s="46" t="s">
        <v>204</v>
      </c>
      <c r="G268" s="46">
        <v>3635</v>
      </c>
      <c r="H268" s="46" t="s">
        <v>205</v>
      </c>
      <c r="I268" s="48" t="s">
        <v>168</v>
      </c>
      <c r="J268" s="49">
        <v>4.2000000000000003E-2</v>
      </c>
      <c r="K268" s="50" t="s">
        <v>282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44</v>
      </c>
      <c r="D269" s="47" t="s">
        <v>100</v>
      </c>
      <c r="E269" s="46" t="s">
        <v>43</v>
      </c>
      <c r="F269" s="46" t="s">
        <v>227</v>
      </c>
      <c r="G269" s="46">
        <v>3043</v>
      </c>
      <c r="H269" s="46" t="s">
        <v>227</v>
      </c>
      <c r="I269" s="48" t="s">
        <v>228</v>
      </c>
      <c r="J269" s="49">
        <v>5.0000000000000001E-3</v>
      </c>
      <c r="K269" s="50" t="s">
        <v>318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27</v>
      </c>
      <c r="D270" s="47" t="s">
        <v>103</v>
      </c>
      <c r="E270" s="46" t="s">
        <v>102</v>
      </c>
      <c r="F270" s="46" t="s">
        <v>209</v>
      </c>
      <c r="G270" s="46">
        <v>2680</v>
      </c>
      <c r="H270" s="46" t="s">
        <v>210</v>
      </c>
      <c r="I270" s="48" t="s">
        <v>130</v>
      </c>
      <c r="J270" s="49">
        <v>23.75</v>
      </c>
      <c r="K270" s="50" t="s">
        <v>315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27</v>
      </c>
      <c r="D271" s="47" t="s">
        <v>103</v>
      </c>
      <c r="E271" s="46" t="s">
        <v>102</v>
      </c>
      <c r="F271" s="46" t="s">
        <v>319</v>
      </c>
      <c r="G271" s="46">
        <v>4002</v>
      </c>
      <c r="H271" s="46" t="s">
        <v>213</v>
      </c>
      <c r="I271" s="48" t="s">
        <v>130</v>
      </c>
      <c r="J271" s="49">
        <v>1.25</v>
      </c>
      <c r="K271" s="50" t="s">
        <v>320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27</v>
      </c>
      <c r="D272" s="47" t="s">
        <v>103</v>
      </c>
      <c r="E272" s="46" t="s">
        <v>102</v>
      </c>
      <c r="F272" s="46" t="s">
        <v>224</v>
      </c>
      <c r="G272" s="46">
        <v>3006</v>
      </c>
      <c r="H272" s="46" t="s">
        <v>239</v>
      </c>
      <c r="I272" s="48" t="s">
        <v>168</v>
      </c>
      <c r="J272" s="49">
        <v>8.3330000000000002</v>
      </c>
      <c r="K272" s="50" t="s">
        <v>238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27</v>
      </c>
      <c r="D273" s="47" t="s">
        <v>103</v>
      </c>
      <c r="E273" s="46" t="s">
        <v>102</v>
      </c>
      <c r="F273" s="46" t="s">
        <v>227</v>
      </c>
      <c r="G273" s="46">
        <v>3043</v>
      </c>
      <c r="H273" s="46" t="s">
        <v>227</v>
      </c>
      <c r="I273" s="48" t="s">
        <v>228</v>
      </c>
      <c r="J273" s="49">
        <v>5.0000000000000001E-3</v>
      </c>
      <c r="K273" s="50" t="s">
        <v>318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27</v>
      </c>
      <c r="D274" s="47" t="s">
        <v>101</v>
      </c>
      <c r="E274" s="46" t="s">
        <v>102</v>
      </c>
      <c r="F274" s="46" t="s">
        <v>209</v>
      </c>
      <c r="G274" s="46">
        <v>2680</v>
      </c>
      <c r="H274" s="46" t="s">
        <v>210</v>
      </c>
      <c r="I274" s="48" t="s">
        <v>130</v>
      </c>
      <c r="J274" s="49">
        <v>23.75</v>
      </c>
      <c r="K274" s="50" t="s">
        <v>315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27</v>
      </c>
      <c r="D275" s="47" t="s">
        <v>101</v>
      </c>
      <c r="E275" s="46" t="s">
        <v>102</v>
      </c>
      <c r="F275" s="46" t="s">
        <v>319</v>
      </c>
      <c r="G275" s="46">
        <v>5816</v>
      </c>
      <c r="H275" s="46" t="s">
        <v>216</v>
      </c>
      <c r="I275" s="48" t="s">
        <v>130</v>
      </c>
      <c r="J275" s="49">
        <v>1.25</v>
      </c>
      <c r="K275" s="50" t="s">
        <v>320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27</v>
      </c>
      <c r="D276" s="47" t="s">
        <v>101</v>
      </c>
      <c r="E276" s="46" t="s">
        <v>102</v>
      </c>
      <c r="F276" s="46" t="s">
        <v>224</v>
      </c>
      <c r="G276" s="46">
        <v>3006</v>
      </c>
      <c r="H276" s="46" t="s">
        <v>239</v>
      </c>
      <c r="I276" s="48" t="s">
        <v>168</v>
      </c>
      <c r="J276" s="49">
        <v>8.3330000000000002</v>
      </c>
      <c r="K276" s="50" t="s">
        <v>238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27</v>
      </c>
      <c r="D277" s="47" t="s">
        <v>101</v>
      </c>
      <c r="E277" s="46" t="s">
        <v>102</v>
      </c>
      <c r="F277" s="46" t="s">
        <v>227</v>
      </c>
      <c r="G277" s="46">
        <v>3043</v>
      </c>
      <c r="H277" s="46" t="s">
        <v>227</v>
      </c>
      <c r="I277" s="48" t="s">
        <v>228</v>
      </c>
      <c r="J277" s="49">
        <v>5.0000000000000001E-3</v>
      </c>
      <c r="K277" s="50" t="s">
        <v>318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27</v>
      </c>
      <c r="D278" s="184" t="s">
        <v>105</v>
      </c>
      <c r="E278" s="183" t="s">
        <v>102</v>
      </c>
      <c r="F278" s="183" t="s">
        <v>209</v>
      </c>
      <c r="G278" s="183">
        <v>2680</v>
      </c>
      <c r="H278" s="183" t="s">
        <v>210</v>
      </c>
      <c r="I278" s="185" t="s">
        <v>130</v>
      </c>
      <c r="J278" s="186">
        <v>23.75</v>
      </c>
      <c r="K278" s="187" t="s">
        <v>315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27</v>
      </c>
      <c r="D279" s="184" t="s">
        <v>105</v>
      </c>
      <c r="E279" s="183" t="s">
        <v>102</v>
      </c>
      <c r="F279" s="183" t="s">
        <v>319</v>
      </c>
      <c r="G279" s="183">
        <v>5816</v>
      </c>
      <c r="H279" s="183" t="s">
        <v>216</v>
      </c>
      <c r="I279" s="185" t="s">
        <v>130</v>
      </c>
      <c r="J279" s="186">
        <v>1.25</v>
      </c>
      <c r="K279" s="187" t="s">
        <v>320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27</v>
      </c>
      <c r="D280" s="184" t="s">
        <v>105</v>
      </c>
      <c r="E280" s="183" t="s">
        <v>102</v>
      </c>
      <c r="F280" s="183" t="s">
        <v>224</v>
      </c>
      <c r="G280" s="183">
        <v>3006</v>
      </c>
      <c r="H280" s="183" t="s">
        <v>239</v>
      </c>
      <c r="I280" s="185" t="s">
        <v>168</v>
      </c>
      <c r="J280" s="186">
        <v>8.3330000000000002</v>
      </c>
      <c r="K280" s="187" t="s">
        <v>238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27</v>
      </c>
      <c r="D281" s="184" t="s">
        <v>105</v>
      </c>
      <c r="E281" s="183" t="s">
        <v>102</v>
      </c>
      <c r="F281" s="183" t="s">
        <v>227</v>
      </c>
      <c r="G281" s="183">
        <v>3043</v>
      </c>
      <c r="H281" s="183" t="s">
        <v>227</v>
      </c>
      <c r="I281" s="185" t="s">
        <v>228</v>
      </c>
      <c r="J281" s="186">
        <v>5.0000000000000001E-3</v>
      </c>
      <c r="K281" s="187" t="s">
        <v>318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27</v>
      </c>
      <c r="D282" s="47" t="s">
        <v>106</v>
      </c>
      <c r="E282" s="46" t="s">
        <v>102</v>
      </c>
      <c r="F282" s="46" t="s">
        <v>209</v>
      </c>
      <c r="G282" s="46">
        <v>2680</v>
      </c>
      <c r="H282" s="46" t="s">
        <v>210</v>
      </c>
      <c r="I282" s="48" t="s">
        <v>130</v>
      </c>
      <c r="J282" s="49">
        <v>24.25</v>
      </c>
      <c r="K282" s="50" t="s">
        <v>315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27</v>
      </c>
      <c r="D283" s="47" t="s">
        <v>106</v>
      </c>
      <c r="E283" s="46" t="s">
        <v>102</v>
      </c>
      <c r="F283" s="46" t="s">
        <v>319</v>
      </c>
      <c r="G283" s="46">
        <v>7412</v>
      </c>
      <c r="H283" s="46" t="s">
        <v>219</v>
      </c>
      <c r="I283" s="48" t="s">
        <v>130</v>
      </c>
      <c r="J283" s="49">
        <v>0.75</v>
      </c>
      <c r="K283" s="50" t="s">
        <v>320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27</v>
      </c>
      <c r="D284" s="47" t="s">
        <v>106</v>
      </c>
      <c r="E284" s="46" t="s">
        <v>102</v>
      </c>
      <c r="F284" s="46" t="s">
        <v>224</v>
      </c>
      <c r="G284" s="46">
        <v>3006</v>
      </c>
      <c r="H284" s="46" t="s">
        <v>239</v>
      </c>
      <c r="I284" s="48" t="s">
        <v>168</v>
      </c>
      <c r="J284" s="49">
        <v>8.3330000000000002</v>
      </c>
      <c r="K284" s="50" t="s">
        <v>238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27</v>
      </c>
      <c r="D285" s="47" t="s">
        <v>106</v>
      </c>
      <c r="E285" s="46" t="s">
        <v>102</v>
      </c>
      <c r="F285" s="46" t="s">
        <v>227</v>
      </c>
      <c r="G285" s="46">
        <v>3043</v>
      </c>
      <c r="H285" s="46" t="s">
        <v>227</v>
      </c>
      <c r="I285" s="48" t="s">
        <v>228</v>
      </c>
      <c r="J285" s="49">
        <v>5.0000000000000001E-3</v>
      </c>
      <c r="K285" s="50" t="s">
        <v>318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41</v>
      </c>
      <c r="D286" s="47" t="s">
        <v>107</v>
      </c>
      <c r="E286" s="46" t="s">
        <v>108</v>
      </c>
      <c r="F286" s="46" t="s">
        <v>209</v>
      </c>
      <c r="G286" s="46">
        <v>2680</v>
      </c>
      <c r="H286" s="46" t="s">
        <v>210</v>
      </c>
      <c r="I286" s="48" t="s">
        <v>130</v>
      </c>
      <c r="J286" s="49">
        <v>25</v>
      </c>
      <c r="K286" s="50" t="s">
        <v>315</v>
      </c>
      <c r="L286" s="50">
        <v>0.15</v>
      </c>
      <c r="M286" s="52" t="s">
        <v>277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41</v>
      </c>
      <c r="D287" s="47" t="s">
        <v>107</v>
      </c>
      <c r="E287" s="46" t="s">
        <v>108</v>
      </c>
      <c r="F287" s="46" t="s">
        <v>316</v>
      </c>
      <c r="G287" s="46">
        <v>3621</v>
      </c>
      <c r="H287" s="46" t="s">
        <v>321</v>
      </c>
      <c r="I287" s="48" t="s">
        <v>168</v>
      </c>
      <c r="J287" s="49">
        <v>7.1429999999999998</v>
      </c>
      <c r="K287" s="50" t="s">
        <v>317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41</v>
      </c>
      <c r="D288" s="47" t="s">
        <v>107</v>
      </c>
      <c r="E288" s="46" t="s">
        <v>108</v>
      </c>
      <c r="F288" s="46" t="s">
        <v>224</v>
      </c>
      <c r="G288" s="46">
        <v>3006</v>
      </c>
      <c r="H288" s="46" t="s">
        <v>239</v>
      </c>
      <c r="I288" s="48" t="s">
        <v>168</v>
      </c>
      <c r="J288" s="49">
        <v>11.111000000000001</v>
      </c>
      <c r="K288" s="50" t="s">
        <v>238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41</v>
      </c>
      <c r="D289" s="47" t="s">
        <v>107</v>
      </c>
      <c r="E289" s="46" t="s">
        <v>108</v>
      </c>
      <c r="F289" s="46" t="s">
        <v>204</v>
      </c>
      <c r="G289" s="46">
        <v>3635</v>
      </c>
      <c r="H289" s="46" t="s">
        <v>205</v>
      </c>
      <c r="I289" s="48" t="s">
        <v>168</v>
      </c>
      <c r="J289" s="49">
        <v>0.17899999999999999</v>
      </c>
      <c r="K289" s="50" t="s">
        <v>282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41</v>
      </c>
      <c r="D290" s="47" t="s">
        <v>107</v>
      </c>
      <c r="E290" s="46" t="s">
        <v>108</v>
      </c>
      <c r="F290" s="46" t="s">
        <v>227</v>
      </c>
      <c r="G290" s="46">
        <v>3043</v>
      </c>
      <c r="H290" s="46" t="s">
        <v>227</v>
      </c>
      <c r="I290" s="48" t="s">
        <v>228</v>
      </c>
      <c r="J290" s="49">
        <v>5.0000000000000001E-3</v>
      </c>
      <c r="K290" s="50" t="s">
        <v>318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41</v>
      </c>
      <c r="D291" s="47" t="s">
        <v>109</v>
      </c>
      <c r="E291" s="46" t="s">
        <v>110</v>
      </c>
      <c r="F291" s="46" t="s">
        <v>209</v>
      </c>
      <c r="G291" s="46">
        <v>2680</v>
      </c>
      <c r="H291" s="46" t="s">
        <v>210</v>
      </c>
      <c r="I291" s="48" t="s">
        <v>130</v>
      </c>
      <c r="J291" s="49">
        <v>50</v>
      </c>
      <c r="K291" s="50" t="s">
        <v>315</v>
      </c>
      <c r="L291" s="50">
        <v>0.15</v>
      </c>
      <c r="M291" s="52" t="s">
        <v>277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41</v>
      </c>
      <c r="D292" s="47" t="s">
        <v>109</v>
      </c>
      <c r="E292" s="46" t="s">
        <v>110</v>
      </c>
      <c r="F292" s="46" t="s">
        <v>316</v>
      </c>
      <c r="G292" s="46">
        <v>3621</v>
      </c>
      <c r="H292" s="46" t="s">
        <v>321</v>
      </c>
      <c r="I292" s="48" t="s">
        <v>168</v>
      </c>
      <c r="J292" s="49">
        <v>2.778</v>
      </c>
      <c r="K292" s="50" t="s">
        <v>317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41</v>
      </c>
      <c r="D293" s="47" t="s">
        <v>109</v>
      </c>
      <c r="E293" s="46" t="s">
        <v>110</v>
      </c>
      <c r="F293" s="46" t="s">
        <v>224</v>
      </c>
      <c r="G293" s="46">
        <v>3006</v>
      </c>
      <c r="H293" s="46" t="s">
        <v>239</v>
      </c>
      <c r="I293" s="48" t="s">
        <v>168</v>
      </c>
      <c r="J293" s="49">
        <v>16.667000000000002</v>
      </c>
      <c r="K293" s="50" t="s">
        <v>238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41</v>
      </c>
      <c r="D294" s="47" t="s">
        <v>109</v>
      </c>
      <c r="E294" s="46" t="s">
        <v>110</v>
      </c>
      <c r="F294" s="46" t="s">
        <v>204</v>
      </c>
      <c r="G294" s="46">
        <v>3635</v>
      </c>
      <c r="H294" s="46" t="s">
        <v>205</v>
      </c>
      <c r="I294" s="48" t="s">
        <v>168</v>
      </c>
      <c r="J294" s="49">
        <v>6.9000000000000006E-2</v>
      </c>
      <c r="K294" s="50" t="s">
        <v>282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41</v>
      </c>
      <c r="D295" s="47" t="s">
        <v>109</v>
      </c>
      <c r="E295" s="46" t="s">
        <v>110</v>
      </c>
      <c r="F295" s="46" t="s">
        <v>227</v>
      </c>
      <c r="G295" s="46">
        <v>3043</v>
      </c>
      <c r="H295" s="46" t="s">
        <v>227</v>
      </c>
      <c r="I295" s="48" t="s">
        <v>228</v>
      </c>
      <c r="J295" s="49">
        <v>5.0000000000000001E-3</v>
      </c>
      <c r="K295" s="50" t="s">
        <v>318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27</v>
      </c>
      <c r="D296" s="47" t="s">
        <v>104</v>
      </c>
      <c r="E296" s="46" t="s">
        <v>102</v>
      </c>
      <c r="F296" s="46" t="s">
        <v>209</v>
      </c>
      <c r="G296" s="46">
        <v>2680</v>
      </c>
      <c r="H296" s="46" t="s">
        <v>210</v>
      </c>
      <c r="I296" s="48" t="s">
        <v>130</v>
      </c>
      <c r="J296" s="49">
        <v>23.75</v>
      </c>
      <c r="K296" s="50" t="s">
        <v>315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27</v>
      </c>
      <c r="D297" s="47" t="s">
        <v>104</v>
      </c>
      <c r="E297" s="46" t="s">
        <v>102</v>
      </c>
      <c r="F297" s="46" t="s">
        <v>224</v>
      </c>
      <c r="G297" s="46">
        <v>3006</v>
      </c>
      <c r="H297" s="46" t="s">
        <v>239</v>
      </c>
      <c r="I297" s="48" t="s">
        <v>168</v>
      </c>
      <c r="J297" s="49">
        <v>8.3330000000000002</v>
      </c>
      <c r="K297" s="50" t="s">
        <v>238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27</v>
      </c>
      <c r="D298" s="47" t="s">
        <v>104</v>
      </c>
      <c r="E298" s="46" t="s">
        <v>102</v>
      </c>
      <c r="F298" s="46" t="s">
        <v>227</v>
      </c>
      <c r="G298" s="46">
        <v>3043</v>
      </c>
      <c r="H298" s="46" t="s">
        <v>227</v>
      </c>
      <c r="I298" s="48" t="s">
        <v>228</v>
      </c>
      <c r="J298" s="49">
        <v>5.0000000000000001E-3</v>
      </c>
      <c r="K298" s="50" t="s">
        <v>318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322</v>
      </c>
      <c r="D299" s="47" t="s">
        <v>88</v>
      </c>
      <c r="E299" s="46">
        <v>30</v>
      </c>
      <c r="F299" s="46" t="s">
        <v>128</v>
      </c>
      <c r="G299" s="46">
        <v>2</v>
      </c>
      <c r="H299" s="46" t="s">
        <v>139</v>
      </c>
      <c r="I299" s="48" t="s">
        <v>130</v>
      </c>
      <c r="J299" s="49">
        <v>8</v>
      </c>
      <c r="K299" s="50" t="s">
        <v>128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322</v>
      </c>
      <c r="D300" s="47" t="s">
        <v>88</v>
      </c>
      <c r="E300" s="46">
        <v>30</v>
      </c>
      <c r="F300" s="46" t="s">
        <v>152</v>
      </c>
      <c r="G300" s="46">
        <v>3595</v>
      </c>
      <c r="H300" s="46" t="s">
        <v>273</v>
      </c>
      <c r="I300" s="48" t="s">
        <v>130</v>
      </c>
      <c r="J300" s="49">
        <v>0.67</v>
      </c>
      <c r="K300" s="50" t="s">
        <v>152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322</v>
      </c>
      <c r="D301" s="47" t="s">
        <v>88</v>
      </c>
      <c r="E301" s="46">
        <v>30</v>
      </c>
      <c r="F301" s="46" t="s">
        <v>191</v>
      </c>
      <c r="G301" s="46">
        <v>45</v>
      </c>
      <c r="H301" s="46" t="s">
        <v>323</v>
      </c>
      <c r="I301" s="48" t="s">
        <v>285</v>
      </c>
      <c r="J301" s="49">
        <v>6.6665999999999999</v>
      </c>
      <c r="K301" s="50" t="s">
        <v>191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322</v>
      </c>
      <c r="D302" s="47" t="s">
        <v>88</v>
      </c>
      <c r="E302" s="46">
        <v>30</v>
      </c>
      <c r="F302" s="46" t="s">
        <v>201</v>
      </c>
      <c r="G302" s="46">
        <v>4165</v>
      </c>
      <c r="H302" s="46" t="s">
        <v>324</v>
      </c>
      <c r="I302" s="48" t="s">
        <v>130</v>
      </c>
      <c r="J302" s="49">
        <v>8.3199999999999993E-3</v>
      </c>
      <c r="K302" s="50" t="s">
        <v>201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322</v>
      </c>
      <c r="D303" s="47" t="s">
        <v>88</v>
      </c>
      <c r="E303" s="46">
        <v>30</v>
      </c>
      <c r="F303" s="46" t="s">
        <v>283</v>
      </c>
      <c r="G303" s="46">
        <v>57</v>
      </c>
      <c r="H303" s="46" t="s">
        <v>310</v>
      </c>
      <c r="I303" s="48" t="s">
        <v>285</v>
      </c>
      <c r="J303" s="49">
        <v>6.6665999999999999</v>
      </c>
      <c r="K303" s="50" t="s">
        <v>283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322</v>
      </c>
      <c r="D304" s="47" t="s">
        <v>88</v>
      </c>
      <c r="E304" s="46">
        <v>30</v>
      </c>
      <c r="F304" s="46" t="s">
        <v>145</v>
      </c>
      <c r="G304" s="46">
        <v>4155</v>
      </c>
      <c r="H304" s="46" t="s">
        <v>151</v>
      </c>
      <c r="I304" s="48" t="s">
        <v>130</v>
      </c>
      <c r="J304" s="49">
        <v>0.28000000000000003</v>
      </c>
      <c r="K304" s="50" t="s">
        <v>145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322</v>
      </c>
      <c r="D305" s="47" t="s">
        <v>88</v>
      </c>
      <c r="E305" s="46">
        <v>30</v>
      </c>
      <c r="F305" s="46" t="s">
        <v>204</v>
      </c>
      <c r="G305" s="46">
        <v>3635</v>
      </c>
      <c r="H305" s="46" t="s">
        <v>205</v>
      </c>
      <c r="I305" s="48" t="s">
        <v>168</v>
      </c>
      <c r="J305" s="49">
        <v>0.156</v>
      </c>
      <c r="K305" s="50" t="s">
        <v>204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76</v>
      </c>
      <c r="D306" s="47" t="s">
        <v>77</v>
      </c>
      <c r="E306" s="46">
        <v>25</v>
      </c>
      <c r="F306" s="46" t="s">
        <v>128</v>
      </c>
      <c r="G306" s="46">
        <v>6</v>
      </c>
      <c r="H306" s="46" t="s">
        <v>137</v>
      </c>
      <c r="I306" s="48" t="s">
        <v>130</v>
      </c>
      <c r="J306" s="49">
        <v>5.9170999999999996</v>
      </c>
      <c r="K306" s="50" t="s">
        <v>128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76</v>
      </c>
      <c r="D307" s="47" t="s">
        <v>77</v>
      </c>
      <c r="E307" s="46">
        <v>25</v>
      </c>
      <c r="F307" s="46" t="s">
        <v>164</v>
      </c>
      <c r="G307" s="46">
        <v>186</v>
      </c>
      <c r="H307" s="46" t="s">
        <v>165</v>
      </c>
      <c r="I307" s="48" t="s">
        <v>130</v>
      </c>
      <c r="J307" s="49">
        <v>0.09</v>
      </c>
      <c r="K307" s="50" t="s">
        <v>164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76</v>
      </c>
      <c r="D308" s="47" t="s">
        <v>77</v>
      </c>
      <c r="E308" s="46">
        <v>25</v>
      </c>
      <c r="F308" s="46" t="s">
        <v>166</v>
      </c>
      <c r="G308" s="46">
        <v>3522</v>
      </c>
      <c r="H308" s="46" t="s">
        <v>187</v>
      </c>
      <c r="I308" s="48" t="s">
        <v>168</v>
      </c>
      <c r="J308" s="49">
        <v>1000</v>
      </c>
      <c r="K308" s="50" t="s">
        <v>166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76</v>
      </c>
      <c r="D309" s="47" t="s">
        <v>77</v>
      </c>
      <c r="E309" s="46">
        <v>25</v>
      </c>
      <c r="F309" s="46" t="s">
        <v>191</v>
      </c>
      <c r="G309" s="46">
        <v>3598</v>
      </c>
      <c r="H309" s="46" t="s">
        <v>325</v>
      </c>
      <c r="I309" s="48" t="s">
        <v>168</v>
      </c>
      <c r="J309" s="49">
        <v>2.9761000000000002</v>
      </c>
      <c r="K309" s="50" t="s">
        <v>191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76</v>
      </c>
      <c r="D310" s="47" t="s">
        <v>77</v>
      </c>
      <c r="E310" s="46">
        <v>25</v>
      </c>
      <c r="F310" s="46" t="s">
        <v>201</v>
      </c>
      <c r="G310" s="46">
        <v>194</v>
      </c>
      <c r="H310" s="46" t="s">
        <v>202</v>
      </c>
      <c r="I310" s="48" t="s">
        <v>130</v>
      </c>
      <c r="J310" s="49">
        <v>8.3199999999999993E-3</v>
      </c>
      <c r="K310" s="50" t="s">
        <v>201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76</v>
      </c>
      <c r="D311" s="47" t="s">
        <v>77</v>
      </c>
      <c r="E311" s="46">
        <v>25</v>
      </c>
      <c r="F311" s="46" t="s">
        <v>145</v>
      </c>
      <c r="G311" s="46">
        <v>4155</v>
      </c>
      <c r="H311" s="46" t="s">
        <v>151</v>
      </c>
      <c r="I311" s="48" t="s">
        <v>130</v>
      </c>
      <c r="J311" s="49">
        <v>0.42020000000000002</v>
      </c>
      <c r="K311" s="50" t="s">
        <v>145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76</v>
      </c>
      <c r="D312" s="47" t="s">
        <v>77</v>
      </c>
      <c r="E312" s="46">
        <v>25</v>
      </c>
      <c r="F312" s="46" t="s">
        <v>204</v>
      </c>
      <c r="G312" s="46">
        <v>3635</v>
      </c>
      <c r="H312" s="46" t="s">
        <v>205</v>
      </c>
      <c r="I312" s="48" t="s">
        <v>168</v>
      </c>
      <c r="J312" s="49">
        <v>7.9000000000000001E-2</v>
      </c>
      <c r="K312" s="50" t="s">
        <v>204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27</v>
      </c>
      <c r="D313" s="47" t="s">
        <v>28</v>
      </c>
      <c r="E313" s="46">
        <v>25</v>
      </c>
      <c r="F313" s="46" t="s">
        <v>128</v>
      </c>
      <c r="G313" s="46">
        <v>6</v>
      </c>
      <c r="H313" s="46" t="s">
        <v>137</v>
      </c>
      <c r="I313" s="48" t="s">
        <v>130</v>
      </c>
      <c r="J313" s="49">
        <v>5.9169999999999998</v>
      </c>
      <c r="K313" s="50" t="s">
        <v>271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27</v>
      </c>
      <c r="D314" s="47" t="s">
        <v>28</v>
      </c>
      <c r="E314" s="46">
        <v>25</v>
      </c>
      <c r="F314" s="46" t="s">
        <v>152</v>
      </c>
      <c r="G314" s="46">
        <v>3595</v>
      </c>
      <c r="H314" s="46" t="s">
        <v>273</v>
      </c>
      <c r="I314" s="48" t="s">
        <v>130</v>
      </c>
      <c r="J314" s="49">
        <v>0.61199999999999999</v>
      </c>
      <c r="K314" s="50" t="s">
        <v>274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27</v>
      </c>
      <c r="D315" s="47" t="s">
        <v>28</v>
      </c>
      <c r="E315" s="46">
        <v>25</v>
      </c>
      <c r="F315" s="46" t="s">
        <v>166</v>
      </c>
      <c r="G315" s="46">
        <v>68</v>
      </c>
      <c r="H315" s="46" t="s">
        <v>183</v>
      </c>
      <c r="I315" s="48" t="s">
        <v>168</v>
      </c>
      <c r="J315" s="49">
        <v>1000</v>
      </c>
      <c r="K315" s="50" t="s">
        <v>276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27</v>
      </c>
      <c r="D316" s="47" t="s">
        <v>28</v>
      </c>
      <c r="E316" s="46">
        <v>25</v>
      </c>
      <c r="F316" s="46" t="s">
        <v>191</v>
      </c>
      <c r="G316" s="46">
        <v>3598</v>
      </c>
      <c r="H316" s="46" t="s">
        <v>197</v>
      </c>
      <c r="I316" s="48" t="s">
        <v>168</v>
      </c>
      <c r="J316" s="49">
        <v>2.976</v>
      </c>
      <c r="K316" s="50" t="s">
        <v>278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27</v>
      </c>
      <c r="D317" s="47" t="s">
        <v>28</v>
      </c>
      <c r="E317" s="46">
        <v>25</v>
      </c>
      <c r="F317" s="46" t="s">
        <v>201</v>
      </c>
      <c r="G317" s="46">
        <v>194</v>
      </c>
      <c r="H317" s="46" t="s">
        <v>202</v>
      </c>
      <c r="I317" s="48" t="s">
        <v>130</v>
      </c>
      <c r="J317" s="49">
        <v>6.1500000000000001E-3</v>
      </c>
      <c r="K317" s="50" t="s">
        <v>279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27</v>
      </c>
      <c r="D318" s="47" t="s">
        <v>28</v>
      </c>
      <c r="E318" s="46">
        <v>25</v>
      </c>
      <c r="F318" s="46" t="s">
        <v>145</v>
      </c>
      <c r="G318" s="46">
        <v>4155</v>
      </c>
      <c r="H318" s="46" t="s">
        <v>151</v>
      </c>
      <c r="I318" s="48" t="s">
        <v>148</v>
      </c>
      <c r="J318" s="49">
        <v>0.29199999999999998</v>
      </c>
      <c r="K318" s="50" t="s">
        <v>280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27</v>
      </c>
      <c r="D319" s="47" t="s">
        <v>28</v>
      </c>
      <c r="E319" s="46">
        <v>25</v>
      </c>
      <c r="F319" s="46" t="s">
        <v>204</v>
      </c>
      <c r="G319" s="46">
        <v>3635</v>
      </c>
      <c r="H319" s="46" t="s">
        <v>205</v>
      </c>
      <c r="I319" s="48" t="s">
        <v>168</v>
      </c>
      <c r="J319" s="49">
        <v>7.9000000000000001E-2</v>
      </c>
      <c r="K319" s="50" t="s">
        <v>282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89</v>
      </c>
      <c r="D320" s="47" t="s">
        <v>90</v>
      </c>
      <c r="E320" s="46">
        <v>30</v>
      </c>
      <c r="F320" s="46" t="s">
        <v>128</v>
      </c>
      <c r="G320" s="46">
        <v>2</v>
      </c>
      <c r="H320" s="46" t="s">
        <v>139</v>
      </c>
      <c r="I320" s="48" t="s">
        <v>130</v>
      </c>
      <c r="J320" s="49">
        <v>8</v>
      </c>
      <c r="K320" s="50" t="s">
        <v>128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89</v>
      </c>
      <c r="D321" s="47" t="s">
        <v>90</v>
      </c>
      <c r="E321" s="46">
        <v>30</v>
      </c>
      <c r="F321" s="46" t="s">
        <v>152</v>
      </c>
      <c r="G321" s="46">
        <v>3595</v>
      </c>
      <c r="H321" s="46" t="s">
        <v>273</v>
      </c>
      <c r="I321" s="48" t="s">
        <v>130</v>
      </c>
      <c r="J321" s="49">
        <v>0.67</v>
      </c>
      <c r="K321" s="50" t="s">
        <v>152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89</v>
      </c>
      <c r="D322" s="47" t="s">
        <v>90</v>
      </c>
      <c r="E322" s="46">
        <v>30</v>
      </c>
      <c r="F322" s="46" t="s">
        <v>164</v>
      </c>
      <c r="G322" s="46">
        <v>186</v>
      </c>
      <c r="H322" s="46" t="s">
        <v>165</v>
      </c>
      <c r="I322" s="48" t="s">
        <v>130</v>
      </c>
      <c r="J322" s="49">
        <v>0.28000000000000003</v>
      </c>
      <c r="K322" s="50" t="s">
        <v>164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89</v>
      </c>
      <c r="D323" s="47" t="s">
        <v>90</v>
      </c>
      <c r="E323" s="46">
        <v>30</v>
      </c>
      <c r="F323" s="46" t="s">
        <v>166</v>
      </c>
      <c r="G323" s="46">
        <v>578</v>
      </c>
      <c r="H323" s="46" t="s">
        <v>326</v>
      </c>
      <c r="I323" s="48" t="s">
        <v>285</v>
      </c>
      <c r="J323" s="49">
        <v>1000</v>
      </c>
      <c r="K323" s="50" t="s">
        <v>166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89</v>
      </c>
      <c r="D324" s="47" t="s">
        <v>90</v>
      </c>
      <c r="E324" s="46">
        <v>30</v>
      </c>
      <c r="F324" s="46" t="s">
        <v>191</v>
      </c>
      <c r="G324" s="46">
        <v>3988</v>
      </c>
      <c r="H324" s="46" t="s">
        <v>327</v>
      </c>
      <c r="I324" s="48" t="s">
        <v>285</v>
      </c>
      <c r="J324" s="49">
        <v>4.2016</v>
      </c>
      <c r="K324" s="50" t="s">
        <v>191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89</v>
      </c>
      <c r="D325" s="47" t="s">
        <v>90</v>
      </c>
      <c r="E325" s="46">
        <v>30</v>
      </c>
      <c r="F325" s="46" t="s">
        <v>201</v>
      </c>
      <c r="G325" s="46">
        <v>4165</v>
      </c>
      <c r="H325" s="46" t="s">
        <v>324</v>
      </c>
      <c r="I325" s="48" t="s">
        <v>130</v>
      </c>
      <c r="J325" s="49">
        <v>8.3199999999999993E-3</v>
      </c>
      <c r="K325" s="50" t="s">
        <v>201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89</v>
      </c>
      <c r="D326" s="47" t="s">
        <v>90</v>
      </c>
      <c r="E326" s="46">
        <v>30</v>
      </c>
      <c r="F326" s="46" t="s">
        <v>145</v>
      </c>
      <c r="G326" s="46">
        <v>4155</v>
      </c>
      <c r="H326" s="46" t="s">
        <v>151</v>
      </c>
      <c r="I326" s="48" t="s">
        <v>130</v>
      </c>
      <c r="J326" s="49">
        <v>0.28000000000000003</v>
      </c>
      <c r="K326" s="50" t="s">
        <v>145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89</v>
      </c>
      <c r="D327" s="47" t="s">
        <v>90</v>
      </c>
      <c r="E327" s="46">
        <v>30</v>
      </c>
      <c r="F327" s="46" t="s">
        <v>204</v>
      </c>
      <c r="G327" s="46">
        <v>3635</v>
      </c>
      <c r="H327" s="46" t="s">
        <v>205</v>
      </c>
      <c r="I327" s="48" t="s">
        <v>168</v>
      </c>
      <c r="J327" s="49">
        <v>0.156</v>
      </c>
      <c r="K327" s="50" t="s">
        <v>204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89</v>
      </c>
      <c r="D328" s="47" t="s">
        <v>90</v>
      </c>
      <c r="E328" s="46">
        <v>30</v>
      </c>
      <c r="F328" s="46" t="s">
        <v>300</v>
      </c>
      <c r="G328" s="46">
        <v>6935</v>
      </c>
      <c r="H328" s="46" t="s">
        <v>308</v>
      </c>
      <c r="I328" s="48" t="s">
        <v>130</v>
      </c>
      <c r="J328" s="49">
        <v>3.3000000000000002E-2</v>
      </c>
      <c r="K328" s="50" t="s">
        <v>300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27</v>
      </c>
      <c r="D329" s="47" t="s">
        <v>56</v>
      </c>
      <c r="E329" s="46">
        <v>19</v>
      </c>
      <c r="F329" s="46" t="s">
        <v>128</v>
      </c>
      <c r="G329" s="46">
        <v>19</v>
      </c>
      <c r="H329" s="46" t="s">
        <v>135</v>
      </c>
      <c r="I329" s="48" t="s">
        <v>130</v>
      </c>
      <c r="J329" s="49">
        <v>3.367</v>
      </c>
      <c r="K329" s="50" t="s">
        <v>128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27</v>
      </c>
      <c r="D330" s="47" t="s">
        <v>56</v>
      </c>
      <c r="E330" s="46">
        <v>19</v>
      </c>
      <c r="F330" s="46" t="s">
        <v>152</v>
      </c>
      <c r="G330" s="46">
        <v>3595</v>
      </c>
      <c r="H330" s="46" t="s">
        <v>328</v>
      </c>
      <c r="I330" s="48" t="s">
        <v>130</v>
      </c>
      <c r="J330" s="49">
        <v>0.31</v>
      </c>
      <c r="K330" s="50" t="s">
        <v>152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27</v>
      </c>
      <c r="D331" s="47" t="s">
        <v>56</v>
      </c>
      <c r="E331" s="46">
        <v>19</v>
      </c>
      <c r="F331" s="46" t="s">
        <v>166</v>
      </c>
      <c r="G331" s="46">
        <v>80</v>
      </c>
      <c r="H331" s="46" t="s">
        <v>173</v>
      </c>
      <c r="I331" s="48" t="s">
        <v>285</v>
      </c>
      <c r="J331" s="49">
        <v>1000</v>
      </c>
      <c r="K331" s="50" t="s">
        <v>166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27</v>
      </c>
      <c r="D332" s="47" t="s">
        <v>56</v>
      </c>
      <c r="E332" s="46">
        <v>19</v>
      </c>
      <c r="F332" s="46" t="s">
        <v>191</v>
      </c>
      <c r="G332" s="46">
        <v>3619</v>
      </c>
      <c r="H332" s="46" t="s">
        <v>329</v>
      </c>
      <c r="I332" s="48" t="s">
        <v>285</v>
      </c>
      <c r="J332" s="49">
        <v>1.7</v>
      </c>
      <c r="K332" s="50" t="s">
        <v>191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27</v>
      </c>
      <c r="D333" s="47" t="s">
        <v>56</v>
      </c>
      <c r="E333" s="46">
        <v>19</v>
      </c>
      <c r="F333" s="46" t="s">
        <v>201</v>
      </c>
      <c r="G333" s="46">
        <v>194</v>
      </c>
      <c r="H333" s="46" t="s">
        <v>202</v>
      </c>
      <c r="I333" s="48" t="s">
        <v>130</v>
      </c>
      <c r="J333" s="49">
        <v>3.3999999999999998E-3</v>
      </c>
      <c r="K333" s="50" t="s">
        <v>201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27</v>
      </c>
      <c r="D334" s="47" t="s">
        <v>56</v>
      </c>
      <c r="E334" s="46">
        <v>19</v>
      </c>
      <c r="F334" s="46" t="s">
        <v>145</v>
      </c>
      <c r="G334" s="46">
        <v>4155</v>
      </c>
      <c r="H334" s="46" t="s">
        <v>151</v>
      </c>
      <c r="I334" s="48" t="s">
        <v>148</v>
      </c>
      <c r="J334" s="49">
        <v>0.1449</v>
      </c>
      <c r="K334" s="50" t="s">
        <v>145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27</v>
      </c>
      <c r="D335" s="47" t="s">
        <v>56</v>
      </c>
      <c r="E335" s="46">
        <v>19</v>
      </c>
      <c r="F335" s="46" t="s">
        <v>204</v>
      </c>
      <c r="G335" s="46">
        <v>3635</v>
      </c>
      <c r="H335" s="46" t="s">
        <v>205</v>
      </c>
      <c r="I335" s="48" t="s">
        <v>168</v>
      </c>
      <c r="J335" s="49">
        <v>5.8999999999999997E-2</v>
      </c>
      <c r="K335" s="50" t="s">
        <v>204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27</v>
      </c>
      <c r="D336" s="47" t="s">
        <v>55</v>
      </c>
      <c r="E336" s="46">
        <v>19</v>
      </c>
      <c r="F336" s="46" t="s">
        <v>128</v>
      </c>
      <c r="G336" s="46">
        <v>19</v>
      </c>
      <c r="H336" s="46" t="s">
        <v>135</v>
      </c>
      <c r="I336" s="48" t="s">
        <v>130</v>
      </c>
      <c r="J336" s="49">
        <v>3.367</v>
      </c>
      <c r="K336" s="50" t="s">
        <v>128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27</v>
      </c>
      <c r="D337" s="47" t="s">
        <v>55</v>
      </c>
      <c r="E337" s="46">
        <v>19</v>
      </c>
      <c r="F337" s="46" t="s">
        <v>152</v>
      </c>
      <c r="G337" s="46">
        <v>3595</v>
      </c>
      <c r="H337" s="46" t="s">
        <v>328</v>
      </c>
      <c r="I337" s="48" t="s">
        <v>130</v>
      </c>
      <c r="J337" s="49">
        <v>0.31</v>
      </c>
      <c r="K337" s="50" t="s">
        <v>152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27</v>
      </c>
      <c r="D338" s="47" t="s">
        <v>55</v>
      </c>
      <c r="E338" s="46">
        <v>19</v>
      </c>
      <c r="F338" s="46" t="s">
        <v>166</v>
      </c>
      <c r="G338" s="46">
        <v>80</v>
      </c>
      <c r="H338" s="46" t="s">
        <v>173</v>
      </c>
      <c r="I338" s="48" t="s">
        <v>285</v>
      </c>
      <c r="J338" s="49">
        <v>1000</v>
      </c>
      <c r="K338" s="50" t="s">
        <v>166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27</v>
      </c>
      <c r="D339" s="47" t="s">
        <v>55</v>
      </c>
      <c r="E339" s="46">
        <v>19</v>
      </c>
      <c r="F339" s="46" t="s">
        <v>191</v>
      </c>
      <c r="G339" s="46">
        <v>3619</v>
      </c>
      <c r="H339" s="46" t="s">
        <v>329</v>
      </c>
      <c r="I339" s="48" t="s">
        <v>285</v>
      </c>
      <c r="J339" s="49">
        <v>1.7</v>
      </c>
      <c r="K339" s="50" t="s">
        <v>191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27</v>
      </c>
      <c r="D340" s="47" t="s">
        <v>55</v>
      </c>
      <c r="E340" s="46">
        <v>19</v>
      </c>
      <c r="F340" s="46" t="s">
        <v>201</v>
      </c>
      <c r="G340" s="46">
        <v>194</v>
      </c>
      <c r="H340" s="46" t="s">
        <v>202</v>
      </c>
      <c r="I340" s="48" t="s">
        <v>130</v>
      </c>
      <c r="J340" s="49">
        <v>3.3999999999999998E-3</v>
      </c>
      <c r="K340" s="50" t="s">
        <v>201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27</v>
      </c>
      <c r="D341" s="47" t="s">
        <v>55</v>
      </c>
      <c r="E341" s="46">
        <v>19</v>
      </c>
      <c r="F341" s="46" t="s">
        <v>145</v>
      </c>
      <c r="G341" s="46">
        <v>4155</v>
      </c>
      <c r="H341" s="46" t="s">
        <v>151</v>
      </c>
      <c r="I341" s="48" t="s">
        <v>148</v>
      </c>
      <c r="J341" s="49">
        <v>0.1449</v>
      </c>
      <c r="K341" s="50" t="s">
        <v>145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27</v>
      </c>
      <c r="D342" s="47" t="s">
        <v>55</v>
      </c>
      <c r="E342" s="46">
        <v>19</v>
      </c>
      <c r="F342" s="46" t="s">
        <v>204</v>
      </c>
      <c r="G342" s="46">
        <v>3635</v>
      </c>
      <c r="H342" s="46" t="s">
        <v>205</v>
      </c>
      <c r="I342" s="48" t="s">
        <v>168</v>
      </c>
      <c r="J342" s="49">
        <v>5.8999999999999997E-2</v>
      </c>
      <c r="K342" s="50" t="s">
        <v>204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41</v>
      </c>
      <c r="D343" s="47" t="s">
        <v>42</v>
      </c>
      <c r="E343" s="46" t="s">
        <v>43</v>
      </c>
      <c r="F343" s="46" t="s">
        <v>209</v>
      </c>
      <c r="G343" s="46">
        <v>2680</v>
      </c>
      <c r="H343" s="46" t="s">
        <v>210</v>
      </c>
      <c r="I343" s="48" t="s">
        <v>130</v>
      </c>
      <c r="J343" s="49">
        <v>17.100000000000001</v>
      </c>
      <c r="K343" s="50" t="s">
        <v>315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41</v>
      </c>
      <c r="D344" s="47" t="s">
        <v>42</v>
      </c>
      <c r="E344" s="46" t="s">
        <v>43</v>
      </c>
      <c r="F344" s="46" t="s">
        <v>319</v>
      </c>
      <c r="G344" s="46">
        <v>5816</v>
      </c>
      <c r="H344" s="46" t="s">
        <v>216</v>
      </c>
      <c r="I344" s="48" t="s">
        <v>130</v>
      </c>
      <c r="J344" s="49">
        <v>0.9</v>
      </c>
      <c r="K344" s="50" t="s">
        <v>330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41</v>
      </c>
      <c r="D345" s="47" t="s">
        <v>42</v>
      </c>
      <c r="E345" s="46" t="s">
        <v>43</v>
      </c>
      <c r="F345" s="46" t="s">
        <v>316</v>
      </c>
      <c r="G345" s="46">
        <v>5977</v>
      </c>
      <c r="H345" s="46" t="s">
        <v>200</v>
      </c>
      <c r="I345" s="48" t="s">
        <v>168</v>
      </c>
      <c r="J345" s="49">
        <v>1.667</v>
      </c>
      <c r="K345" s="50" t="s">
        <v>317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41</v>
      </c>
      <c r="D346" s="47" t="s">
        <v>42</v>
      </c>
      <c r="E346" s="46" t="s">
        <v>43</v>
      </c>
      <c r="F346" s="46" t="s">
        <v>224</v>
      </c>
      <c r="G346" s="46">
        <v>2267</v>
      </c>
      <c r="H346" s="46" t="s">
        <v>225</v>
      </c>
      <c r="I346" s="48" t="s">
        <v>168</v>
      </c>
      <c r="J346" s="49">
        <v>10</v>
      </c>
      <c r="K346" s="50" t="s">
        <v>238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41</v>
      </c>
      <c r="D347" s="47" t="s">
        <v>42</v>
      </c>
      <c r="E347" s="46" t="s">
        <v>43</v>
      </c>
      <c r="F347" s="46" t="s">
        <v>204</v>
      </c>
      <c r="G347" s="46">
        <v>3635</v>
      </c>
      <c r="H347" s="46" t="s">
        <v>205</v>
      </c>
      <c r="I347" s="48" t="s">
        <v>168</v>
      </c>
      <c r="J347" s="49">
        <v>4.2000000000000003E-2</v>
      </c>
      <c r="K347" s="50" t="s">
        <v>282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41</v>
      </c>
      <c r="D348" s="47" t="s">
        <v>42</v>
      </c>
      <c r="E348" s="46" t="s">
        <v>43</v>
      </c>
      <c r="F348" s="46" t="s">
        <v>227</v>
      </c>
      <c r="G348" s="46">
        <v>3043</v>
      </c>
      <c r="H348" s="46" t="s">
        <v>227</v>
      </c>
      <c r="I348" s="48" t="s">
        <v>228</v>
      </c>
      <c r="J348" s="49">
        <v>5.0000000000000001E-3</v>
      </c>
      <c r="K348" s="50" t="s">
        <v>318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48</v>
      </c>
      <c r="D349" s="184" t="s">
        <v>49</v>
      </c>
      <c r="E349" s="183" t="s">
        <v>46</v>
      </c>
      <c r="F349" s="183" t="s">
        <v>209</v>
      </c>
      <c r="G349" s="183">
        <v>2680</v>
      </c>
      <c r="H349" s="183" t="s">
        <v>210</v>
      </c>
      <c r="I349" s="185" t="s">
        <v>130</v>
      </c>
      <c r="J349" s="186">
        <v>22</v>
      </c>
      <c r="K349" s="187" t="s">
        <v>315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48</v>
      </c>
      <c r="D350" s="184" t="s">
        <v>49</v>
      </c>
      <c r="E350" s="183" t="s">
        <v>46</v>
      </c>
      <c r="F350" s="183" t="s">
        <v>316</v>
      </c>
      <c r="G350" s="183">
        <v>5977</v>
      </c>
      <c r="H350" s="183" t="s">
        <v>200</v>
      </c>
      <c r="I350" s="185" t="s">
        <v>168</v>
      </c>
      <c r="J350" s="186">
        <v>1.087</v>
      </c>
      <c r="K350" s="187" t="s">
        <v>317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48</v>
      </c>
      <c r="D351" s="184" t="s">
        <v>49</v>
      </c>
      <c r="E351" s="183" t="s">
        <v>46</v>
      </c>
      <c r="F351" s="183" t="s">
        <v>224</v>
      </c>
      <c r="G351" s="183">
        <v>2267</v>
      </c>
      <c r="H351" s="183" t="s">
        <v>225</v>
      </c>
      <c r="I351" s="185" t="s">
        <v>168</v>
      </c>
      <c r="J351" s="186">
        <v>8.6959999999999997</v>
      </c>
      <c r="K351" s="187" t="s">
        <v>238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48</v>
      </c>
      <c r="D352" s="184" t="s">
        <v>49</v>
      </c>
      <c r="E352" s="183" t="s">
        <v>46</v>
      </c>
      <c r="F352" s="183" t="s">
        <v>204</v>
      </c>
      <c r="G352" s="183">
        <v>3635</v>
      </c>
      <c r="H352" s="183" t="s">
        <v>205</v>
      </c>
      <c r="I352" s="185" t="s">
        <v>168</v>
      </c>
      <c r="J352" s="186">
        <v>2.7E-2</v>
      </c>
      <c r="K352" s="187" t="s">
        <v>282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48</v>
      </c>
      <c r="D353" s="184" t="s">
        <v>49</v>
      </c>
      <c r="E353" s="183" t="s">
        <v>46</v>
      </c>
      <c r="F353" s="183" t="s">
        <v>227</v>
      </c>
      <c r="G353" s="183">
        <v>3043</v>
      </c>
      <c r="H353" s="183" t="s">
        <v>227</v>
      </c>
      <c r="I353" s="185" t="s">
        <v>228</v>
      </c>
      <c r="J353" s="186">
        <v>5.0000000000000001E-3</v>
      </c>
      <c r="K353" s="187" t="s">
        <v>318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87" zoomScale="130" zoomScaleNormal="130" workbookViewId="0">
      <selection activeCell="A94" sqref="A94:J102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570312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331</v>
      </c>
      <c r="B1" s="272"/>
      <c r="C1" s="272"/>
      <c r="D1" s="272"/>
      <c r="E1" s="272"/>
      <c r="F1" s="272"/>
      <c r="G1" s="272"/>
      <c r="H1" s="272"/>
      <c r="I1" s="55" t="s">
        <v>112</v>
      </c>
      <c r="J1" s="56">
        <f ca="1">TODAY()</f>
        <v>46249</v>
      </c>
    </row>
    <row r="2" spans="1:11" s="57" customFormat="1" ht="37.5" customHeight="1" x14ac:dyDescent="0.25">
      <c r="A2" s="12" t="s">
        <v>120</v>
      </c>
      <c r="B2" s="12" t="s">
        <v>7</v>
      </c>
      <c r="C2" s="12" t="s">
        <v>332</v>
      </c>
      <c r="D2" s="12" t="s">
        <v>122</v>
      </c>
      <c r="E2" s="15" t="s">
        <v>333</v>
      </c>
      <c r="F2" s="15" t="s">
        <v>334</v>
      </c>
      <c r="G2" s="15" t="s">
        <v>335</v>
      </c>
      <c r="H2" s="15" t="s">
        <v>336</v>
      </c>
      <c r="I2" s="15" t="s">
        <v>337</v>
      </c>
      <c r="J2" s="156" t="s">
        <v>338</v>
      </c>
      <c r="K2" s="164"/>
    </row>
    <row r="3" spans="1:11" ht="15" customHeight="1" x14ac:dyDescent="0.25">
      <c r="A3" s="26">
        <v>31</v>
      </c>
      <c r="B3" s="26" t="s">
        <v>339</v>
      </c>
      <c r="C3" s="27" t="s">
        <v>131</v>
      </c>
      <c r="D3" s="26" t="s">
        <v>130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339</v>
      </c>
      <c r="C4" s="27" t="s">
        <v>132</v>
      </c>
      <c r="D4" s="26" t="s">
        <v>130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339</v>
      </c>
      <c r="C5" s="27" t="s">
        <v>135</v>
      </c>
      <c r="D5" s="26" t="s">
        <v>130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339</v>
      </c>
      <c r="C6" s="27" t="s">
        <v>136</v>
      </c>
      <c r="D6" s="26" t="s">
        <v>130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339</v>
      </c>
      <c r="C7" s="27" t="s">
        <v>137</v>
      </c>
      <c r="D7" s="26" t="s">
        <v>130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339</v>
      </c>
      <c r="C8" s="27" t="s">
        <v>140</v>
      </c>
      <c r="D8" s="26" t="s">
        <v>130</v>
      </c>
      <c r="E8" s="28">
        <v>111</v>
      </c>
      <c r="F8" s="28">
        <v>1089</v>
      </c>
      <c r="G8" s="28">
        <v>1200</v>
      </c>
      <c r="H8" s="29">
        <f t="shared" si="0"/>
        <v>0</v>
      </c>
      <c r="I8" s="28">
        <v>60</v>
      </c>
      <c r="J8" s="157">
        <f>IFERROR(IF(AVERAGEIF(TableBOM[Item ID],A8,TableBOM[Per 1000 Units])=0,"-",ROUND((H8+I8)/(AVERAGEIF(TableBOM[Item ID],A8,TableBOM[Per 1000 Units])/1000),0)),"-")</f>
        <v>7500</v>
      </c>
    </row>
    <row r="9" spans="1:11" ht="15" customHeight="1" x14ac:dyDescent="0.25">
      <c r="A9" s="26">
        <v>3935</v>
      </c>
      <c r="B9" s="26" t="s">
        <v>339</v>
      </c>
      <c r="C9" s="27" t="s">
        <v>142</v>
      </c>
      <c r="D9" s="26" t="s">
        <v>130</v>
      </c>
      <c r="E9" s="28">
        <v>444</v>
      </c>
      <c r="F9" s="28">
        <v>0</v>
      </c>
      <c r="G9" s="28">
        <v>19</v>
      </c>
      <c r="H9" s="29">
        <f t="shared" si="0"/>
        <v>425</v>
      </c>
      <c r="I9" s="28">
        <v>19</v>
      </c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339</v>
      </c>
      <c r="C10" s="27" t="s">
        <v>143</v>
      </c>
      <c r="D10" s="26" t="s">
        <v>130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340</v>
      </c>
      <c r="B12" s="60"/>
      <c r="C12" s="60"/>
      <c r="D12" s="60"/>
      <c r="E12" s="60"/>
      <c r="F12" s="60"/>
      <c r="G12" s="60"/>
      <c r="H12" s="55" t="s">
        <v>112</v>
      </c>
      <c r="I12" s="60"/>
      <c r="J12" s="56">
        <f ca="1">TODAY()</f>
        <v>46249</v>
      </c>
    </row>
    <row r="13" spans="1:11" ht="36" customHeight="1" x14ac:dyDescent="0.25">
      <c r="A13" s="12" t="s">
        <v>120</v>
      </c>
      <c r="B13" s="12" t="s">
        <v>7</v>
      </c>
      <c r="C13" s="12" t="s">
        <v>332</v>
      </c>
      <c r="D13" s="12" t="s">
        <v>122</v>
      </c>
      <c r="E13" s="12" t="s">
        <v>333</v>
      </c>
      <c r="F13" s="12" t="s">
        <v>334</v>
      </c>
      <c r="G13" s="12" t="s">
        <v>335</v>
      </c>
      <c r="H13" s="12" t="s">
        <v>336</v>
      </c>
      <c r="I13" s="12" t="s">
        <v>337</v>
      </c>
      <c r="J13" s="159" t="s">
        <v>338</v>
      </c>
    </row>
    <row r="14" spans="1:11" ht="15" hidden="1" customHeight="1" x14ac:dyDescent="0.25">
      <c r="A14" s="152">
        <v>184</v>
      </c>
      <c r="B14" s="152" t="s">
        <v>280</v>
      </c>
      <c r="C14" s="153" t="s">
        <v>341</v>
      </c>
      <c r="D14" s="152" t="s">
        <v>130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342</v>
      </c>
    </row>
    <row r="15" spans="1:11" ht="15" customHeight="1" x14ac:dyDescent="0.25">
      <c r="A15" s="142">
        <v>185</v>
      </c>
      <c r="B15" s="142" t="s">
        <v>280</v>
      </c>
      <c r="C15" s="143" t="s">
        <v>147</v>
      </c>
      <c r="D15" s="142" t="s">
        <v>148</v>
      </c>
      <c r="E15" s="144">
        <v>100</v>
      </c>
      <c r="F15" s="144">
        <v>0</v>
      </c>
      <c r="G15" s="144">
        <v>25</v>
      </c>
      <c r="H15" s="145">
        <f t="shared" si="1"/>
        <v>75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280</v>
      </c>
      <c r="C16" s="143" t="s">
        <v>343</v>
      </c>
      <c r="D16" s="142" t="s">
        <v>130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280</v>
      </c>
      <c r="C17" s="153" t="s">
        <v>344</v>
      </c>
      <c r="D17" s="152" t="s">
        <v>130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342</v>
      </c>
    </row>
    <row r="18" spans="1:16" ht="15" customHeight="1" x14ac:dyDescent="0.25">
      <c r="A18" s="142">
        <v>4155</v>
      </c>
      <c r="B18" s="142" t="s">
        <v>280</v>
      </c>
      <c r="C18" s="143" t="s">
        <v>345</v>
      </c>
      <c r="D18" s="142" t="s">
        <v>130</v>
      </c>
      <c r="E18" s="144">
        <v>100</v>
      </c>
      <c r="F18" s="144">
        <v>100</v>
      </c>
      <c r="G18" s="144">
        <v>50</v>
      </c>
      <c r="H18" s="145">
        <f t="shared" si="1"/>
        <v>150</v>
      </c>
      <c r="I18" s="144"/>
      <c r="J18" s="161">
        <f>IFERROR(IF(AVERAGEIF(TableBOM[Item ID],A18,TableBOM[Per 1000 Units])=0,"-",ROUND((H18+I18)/(AVERAGEIF(TableBOM[Item ID],A18,TableBOM[Per 1000 Units])/1000),0)),"-")</f>
        <v>576456</v>
      </c>
    </row>
    <row r="19" spans="1:16" ht="15" hidden="1" customHeight="1" x14ac:dyDescent="0.25">
      <c r="A19" s="152">
        <v>170</v>
      </c>
      <c r="B19" s="152" t="s">
        <v>274</v>
      </c>
      <c r="C19" s="153" t="s">
        <v>153</v>
      </c>
      <c r="D19" s="152" t="s">
        <v>130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342</v>
      </c>
    </row>
    <row r="20" spans="1:16" ht="15" customHeight="1" x14ac:dyDescent="0.25">
      <c r="A20" s="142">
        <v>175</v>
      </c>
      <c r="B20" s="142" t="s">
        <v>274</v>
      </c>
      <c r="C20" s="143" t="s">
        <v>154</v>
      </c>
      <c r="D20" s="142" t="s">
        <v>130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274</v>
      </c>
      <c r="C21" s="143" t="s">
        <v>155</v>
      </c>
      <c r="D21" s="142" t="s">
        <v>130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274</v>
      </c>
      <c r="C22" s="143" t="s">
        <v>156</v>
      </c>
      <c r="D22" s="142" t="s">
        <v>130</v>
      </c>
      <c r="E22" s="144">
        <v>150</v>
      </c>
      <c r="F22" s="144">
        <v>210</v>
      </c>
      <c r="G22" s="144">
        <v>150</v>
      </c>
      <c r="H22" s="145">
        <f t="shared" si="1"/>
        <v>210</v>
      </c>
      <c r="I22" s="144"/>
      <c r="J22" s="161">
        <f>IFERROR(IF(AVERAGEIF(TableBOM[Item ID],A22,TableBOM[Per 1000 Units])=0,"-",ROUND((H22+I22)/(AVERAGEIF(TableBOM[Item ID],A22,TableBOM[Per 1000 Units])/1000),0)),"-")</f>
        <v>387017</v>
      </c>
    </row>
    <row r="23" spans="1:16" ht="15" customHeight="1" x14ac:dyDescent="0.25">
      <c r="A23" s="142">
        <v>3869</v>
      </c>
      <c r="B23" s="142" t="s">
        <v>274</v>
      </c>
      <c r="C23" s="143" t="s">
        <v>157</v>
      </c>
      <c r="D23" s="142" t="s">
        <v>130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274</v>
      </c>
      <c r="C24" s="153" t="s">
        <v>158</v>
      </c>
      <c r="D24" s="152" t="s">
        <v>130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342</v>
      </c>
    </row>
    <row r="25" spans="1:16" ht="15" customHeight="1" x14ac:dyDescent="0.25">
      <c r="A25" s="142">
        <v>4157</v>
      </c>
      <c r="B25" s="142" t="s">
        <v>274</v>
      </c>
      <c r="C25" s="143" t="s">
        <v>159</v>
      </c>
      <c r="D25" s="142" t="s">
        <v>130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274</v>
      </c>
      <c r="C26" s="143" t="s">
        <v>160</v>
      </c>
      <c r="D26" s="142" t="s">
        <v>130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274</v>
      </c>
      <c r="C27" s="143" t="s">
        <v>161</v>
      </c>
      <c r="D27" s="142" t="s">
        <v>148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274</v>
      </c>
      <c r="C28" s="143" t="s">
        <v>162</v>
      </c>
      <c r="D28" s="142" t="s">
        <v>130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274</v>
      </c>
      <c r="C29" s="143" t="s">
        <v>163</v>
      </c>
      <c r="D29" s="142" t="s">
        <v>130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295</v>
      </c>
      <c r="C30" s="143" t="s">
        <v>165</v>
      </c>
      <c r="D30" s="142" t="s">
        <v>130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346</v>
      </c>
      <c r="C31" s="143" t="s">
        <v>202</v>
      </c>
      <c r="D31" s="142" t="s">
        <v>130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347</v>
      </c>
      <c r="C32" s="153" t="s">
        <v>167</v>
      </c>
      <c r="D32" s="152" t="s">
        <v>168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342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347</v>
      </c>
      <c r="C33" s="143" t="s">
        <v>170</v>
      </c>
      <c r="D33" s="142" t="s">
        <v>285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347</v>
      </c>
      <c r="C34" s="143" t="s">
        <v>171</v>
      </c>
      <c r="D34" s="142" t="s">
        <v>285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347</v>
      </c>
      <c r="C35" s="143" t="s">
        <v>172</v>
      </c>
      <c r="D35" s="142" t="s">
        <v>285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347</v>
      </c>
      <c r="C36" s="143" t="s">
        <v>173</v>
      </c>
      <c r="D36" s="142" t="s">
        <v>168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347</v>
      </c>
      <c r="C37" s="143" t="s">
        <v>174</v>
      </c>
      <c r="D37" s="142" t="s">
        <v>168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347</v>
      </c>
      <c r="C38" s="153" t="s">
        <v>175</v>
      </c>
      <c r="D38" s="152" t="s">
        <v>168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342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347</v>
      </c>
      <c r="C39" s="143" t="s">
        <v>176</v>
      </c>
      <c r="D39" s="142" t="s">
        <v>168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347</v>
      </c>
      <c r="C40" s="143" t="s">
        <v>177</v>
      </c>
      <c r="D40" s="142" t="s">
        <v>168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347</v>
      </c>
      <c r="C41" s="153" t="s">
        <v>178</v>
      </c>
      <c r="D41" s="152" t="s">
        <v>168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342</v>
      </c>
    </row>
    <row r="42" spans="1:16" ht="15" customHeight="1" x14ac:dyDescent="0.25">
      <c r="A42" s="142">
        <v>4088</v>
      </c>
      <c r="B42" s="142" t="s">
        <v>347</v>
      </c>
      <c r="C42" s="143" t="s">
        <v>179</v>
      </c>
      <c r="D42" s="142" t="s">
        <v>168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347</v>
      </c>
      <c r="C43" s="143" t="s">
        <v>180</v>
      </c>
      <c r="D43" s="142" t="s">
        <v>168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347</v>
      </c>
      <c r="C44" s="153" t="s">
        <v>181</v>
      </c>
      <c r="D44" s="152" t="s">
        <v>168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342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347</v>
      </c>
      <c r="C45" s="143" t="s">
        <v>182</v>
      </c>
      <c r="D45" s="142" t="s">
        <v>168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347</v>
      </c>
      <c r="C46" s="143" t="s">
        <v>183</v>
      </c>
      <c r="D46" s="142" t="s">
        <v>168</v>
      </c>
      <c r="E46" s="144">
        <v>193000</v>
      </c>
      <c r="F46" s="144">
        <v>0</v>
      </c>
      <c r="G46" s="144">
        <v>193000</v>
      </c>
      <c r="H46" s="145">
        <f t="shared" ref="H46:H77" si="2">E46+F46-G46</f>
        <v>0</v>
      </c>
      <c r="I46" s="144"/>
      <c r="J46" s="161">
        <f>IFERROR(IF(AVERAGEIF(TableBOM[Item ID],A46,TableBOM[Per 1000 Units])=0,"-",ROUND((H46+I46)/(AVERAGEIF(TableBOM[Item ID],A46,TableBOM[Per 1000 Units])/1000),0)),"-")</f>
        <v>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347</v>
      </c>
      <c r="C47" s="143" t="s">
        <v>184</v>
      </c>
      <c r="D47" s="142" t="s">
        <v>285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347</v>
      </c>
      <c r="C48" s="143" t="s">
        <v>185</v>
      </c>
      <c r="D48" s="142" t="s">
        <v>168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347</v>
      </c>
      <c r="C49" s="143" t="s">
        <v>186</v>
      </c>
      <c r="D49" s="142" t="s">
        <v>168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347</v>
      </c>
      <c r="C50" s="143" t="s">
        <v>187</v>
      </c>
      <c r="D50" s="142" t="s">
        <v>168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347</v>
      </c>
      <c r="C51" s="153" t="s">
        <v>188</v>
      </c>
      <c r="D51" s="152" t="s">
        <v>168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342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347</v>
      </c>
      <c r="C52" s="153" t="s">
        <v>189</v>
      </c>
      <c r="D52" s="152" t="s">
        <v>168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236</v>
      </c>
      <c r="C53" s="153" t="s">
        <v>193</v>
      </c>
      <c r="D53" s="152" t="s">
        <v>168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342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236</v>
      </c>
      <c r="C54" s="153" t="s">
        <v>194</v>
      </c>
      <c r="D54" s="152" t="s">
        <v>168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342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236</v>
      </c>
      <c r="C55" s="153" t="s">
        <v>195</v>
      </c>
      <c r="D55" s="152" t="s">
        <v>168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342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236</v>
      </c>
      <c r="C56" s="143" t="s">
        <v>196</v>
      </c>
      <c r="D56" s="142" t="s">
        <v>168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236</v>
      </c>
      <c r="C57" s="143" t="s">
        <v>197</v>
      </c>
      <c r="D57" s="142" t="s">
        <v>168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236</v>
      </c>
      <c r="C58" s="143" t="s">
        <v>198</v>
      </c>
      <c r="D58" s="142" t="s">
        <v>168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236</v>
      </c>
      <c r="C59" s="143" t="s">
        <v>199</v>
      </c>
      <c r="D59" s="142" t="s">
        <v>168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236</v>
      </c>
      <c r="C60" s="143" t="s">
        <v>200</v>
      </c>
      <c r="D60" s="142" t="s">
        <v>168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294</v>
      </c>
      <c r="C61" s="143" t="s">
        <v>205</v>
      </c>
      <c r="D61" s="142" t="s">
        <v>168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281</v>
      </c>
      <c r="C62" s="143" t="s">
        <v>207</v>
      </c>
      <c r="D62" s="142" t="s">
        <v>148</v>
      </c>
      <c r="E62" s="144">
        <v>175</v>
      </c>
      <c r="F62" s="144">
        <v>100</v>
      </c>
      <c r="G62" s="144">
        <v>50</v>
      </c>
      <c r="H62" s="145">
        <f t="shared" si="2"/>
        <v>225</v>
      </c>
      <c r="I62" s="144"/>
      <c r="J62" s="161">
        <f>IFERROR(IF(AVERAGEIF(TableBOM[Item ID],A62,TableBOM[Per 1000 Units])=0,"-",ROUND((H62+I62)/(AVERAGEIF(TableBOM[Item ID],A62,TableBOM[Per 1000 Units])/1000),0)),"-")</f>
        <v>3750000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281</v>
      </c>
      <c r="C63" s="143" t="s">
        <v>348</v>
      </c>
      <c r="D63" s="142" t="s">
        <v>148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302</v>
      </c>
      <c r="C64" s="143" t="s">
        <v>349</v>
      </c>
      <c r="D64" s="142" t="s">
        <v>130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302</v>
      </c>
      <c r="C65" s="143" t="s">
        <v>350</v>
      </c>
      <c r="D65" s="142" t="s">
        <v>130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302</v>
      </c>
      <c r="C66" s="143" t="s">
        <v>351</v>
      </c>
      <c r="D66" s="142" t="s">
        <v>130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302</v>
      </c>
      <c r="C67" s="153" t="s">
        <v>352</v>
      </c>
      <c r="D67" s="152" t="s">
        <v>130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342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302</v>
      </c>
      <c r="C68" s="143" t="s">
        <v>353</v>
      </c>
      <c r="D68" s="142" t="s">
        <v>130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302</v>
      </c>
      <c r="C69" s="143" t="s">
        <v>354</v>
      </c>
      <c r="D69" s="142" t="s">
        <v>130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302</v>
      </c>
      <c r="C70" s="143" t="s">
        <v>355</v>
      </c>
      <c r="D70" s="142" t="s">
        <v>130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302</v>
      </c>
      <c r="C71" s="153" t="s">
        <v>356</v>
      </c>
      <c r="D71" s="152" t="s">
        <v>130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342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302</v>
      </c>
      <c r="C72" s="153" t="s">
        <v>357</v>
      </c>
      <c r="D72" s="152" t="s">
        <v>130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342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302</v>
      </c>
      <c r="C73" s="153" t="s">
        <v>358</v>
      </c>
      <c r="D73" s="152" t="s">
        <v>130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342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302</v>
      </c>
      <c r="C74" s="143" t="s">
        <v>359</v>
      </c>
      <c r="D74" s="142" t="s">
        <v>130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302</v>
      </c>
      <c r="C75" s="143" t="s">
        <v>360</v>
      </c>
      <c r="D75" s="142" t="s">
        <v>130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302</v>
      </c>
      <c r="C76" s="143" t="s">
        <v>301</v>
      </c>
      <c r="D76" s="142" t="s">
        <v>130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302</v>
      </c>
      <c r="C77" s="153" t="s">
        <v>361</v>
      </c>
      <c r="D77" s="152" t="s">
        <v>130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342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302</v>
      </c>
      <c r="C78" s="143" t="s">
        <v>362</v>
      </c>
      <c r="D78" s="142" t="s">
        <v>130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302</v>
      </c>
      <c r="C79" s="153" t="s">
        <v>305</v>
      </c>
      <c r="D79" s="152" t="s">
        <v>130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302</v>
      </c>
      <c r="C80" s="153" t="s">
        <v>363</v>
      </c>
      <c r="D80" s="152" t="s">
        <v>130</v>
      </c>
      <c r="E80" s="154">
        <v>0</v>
      </c>
      <c r="F80" s="154">
        <v>2</v>
      </c>
      <c r="G80" s="154">
        <v>2</v>
      </c>
      <c r="H80" s="155">
        <f t="shared" si="3"/>
        <v>0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302</v>
      </c>
      <c r="C81" s="143" t="s">
        <v>303</v>
      </c>
      <c r="D81" s="142" t="s">
        <v>130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302</v>
      </c>
      <c r="C82" s="143" t="s">
        <v>364</v>
      </c>
      <c r="D82" s="142" t="s">
        <v>130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302</v>
      </c>
      <c r="C83" s="143" t="s">
        <v>365</v>
      </c>
      <c r="D83" s="142" t="s">
        <v>130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302</v>
      </c>
      <c r="C84" s="143" t="s">
        <v>366</v>
      </c>
      <c r="D84" s="142" t="s">
        <v>130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302</v>
      </c>
      <c r="C85" s="143" t="s">
        <v>367</v>
      </c>
      <c r="D85" s="142" t="s">
        <v>130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302</v>
      </c>
      <c r="C86" s="153" t="s">
        <v>368</v>
      </c>
      <c r="D86" s="152" t="s">
        <v>130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342</v>
      </c>
    </row>
    <row r="87" spans="1:11" ht="15" customHeight="1" x14ac:dyDescent="0.25">
      <c r="A87" s="142">
        <v>6040</v>
      </c>
      <c r="B87" s="142" t="s">
        <v>302</v>
      </c>
      <c r="C87" s="143" t="s">
        <v>369</v>
      </c>
      <c r="D87" s="142" t="s">
        <v>130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302</v>
      </c>
      <c r="C88" s="153" t="s">
        <v>308</v>
      </c>
      <c r="D88" s="152" t="s">
        <v>130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342</v>
      </c>
    </row>
    <row r="89" spans="1:11" ht="15" customHeight="1" x14ac:dyDescent="0.25">
      <c r="A89" s="152">
        <v>7094</v>
      </c>
      <c r="B89" s="152" t="s">
        <v>302</v>
      </c>
      <c r="C89" s="153" t="s">
        <v>370</v>
      </c>
      <c r="D89" s="152" t="s">
        <v>130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342</v>
      </c>
    </row>
    <row r="90" spans="1:11" ht="15" customHeight="1" x14ac:dyDescent="0.25">
      <c r="A90" s="152">
        <v>7095</v>
      </c>
      <c r="B90" s="152" t="s">
        <v>302</v>
      </c>
      <c r="C90" s="153" t="s">
        <v>371</v>
      </c>
      <c r="D90" s="152" t="s">
        <v>130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342</v>
      </c>
    </row>
    <row r="91" spans="1:11" ht="15" customHeight="1" x14ac:dyDescent="0.25">
      <c r="A91" s="26">
        <v>7152</v>
      </c>
      <c r="B91" s="26" t="s">
        <v>302</v>
      </c>
      <c r="C91" s="27" t="s">
        <v>372</v>
      </c>
      <c r="D91" s="26" t="s">
        <v>130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342</v>
      </c>
    </row>
    <row r="92" spans="1:11" ht="15" customHeight="1" x14ac:dyDescent="0.25">
      <c r="A92" s="26">
        <v>7398</v>
      </c>
      <c r="B92" s="26" t="s">
        <v>302</v>
      </c>
      <c r="C92" s="27" t="s">
        <v>373</v>
      </c>
      <c r="D92" s="26" t="s">
        <v>130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374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120</v>
      </c>
      <c r="B95" s="12" t="s">
        <v>7</v>
      </c>
      <c r="C95" s="12" t="s">
        <v>332</v>
      </c>
      <c r="D95" s="12" t="s">
        <v>122</v>
      </c>
      <c r="E95" s="12" t="s">
        <v>333</v>
      </c>
      <c r="F95" s="12" t="s">
        <v>334</v>
      </c>
      <c r="G95" s="12" t="s">
        <v>335</v>
      </c>
      <c r="H95" s="12" t="s">
        <v>336</v>
      </c>
      <c r="I95" s="12" t="s">
        <v>337</v>
      </c>
      <c r="J95" s="159" t="s">
        <v>338</v>
      </c>
    </row>
    <row r="96" spans="1:11" ht="15" customHeight="1" x14ac:dyDescent="0.25">
      <c r="A96" s="26">
        <v>2680</v>
      </c>
      <c r="B96" s="26" t="s">
        <v>315</v>
      </c>
      <c r="C96" s="27" t="s">
        <v>210</v>
      </c>
      <c r="D96" s="26" t="s">
        <v>130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330</v>
      </c>
      <c r="C97" s="27" t="s">
        <v>212</v>
      </c>
      <c r="D97" s="26" t="s">
        <v>130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330</v>
      </c>
      <c r="C98" s="27" t="s">
        <v>213</v>
      </c>
      <c r="D98" s="26" t="s">
        <v>130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330</v>
      </c>
      <c r="C99" s="169" t="s">
        <v>375</v>
      </c>
      <c r="D99" s="168" t="s">
        <v>130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342</v>
      </c>
    </row>
    <row r="100" spans="1:11" ht="15" customHeight="1" x14ac:dyDescent="0.25">
      <c r="A100" s="26">
        <v>4310</v>
      </c>
      <c r="B100" s="26" t="s">
        <v>330</v>
      </c>
      <c r="C100" s="27" t="s">
        <v>214</v>
      </c>
      <c r="D100" s="26" t="s">
        <v>130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330</v>
      </c>
      <c r="C101" s="27" t="s">
        <v>215</v>
      </c>
      <c r="D101" s="26" t="s">
        <v>130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330</v>
      </c>
      <c r="C102" s="169" t="s">
        <v>216</v>
      </c>
      <c r="D102" s="168" t="s">
        <v>130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330</v>
      </c>
      <c r="C103" s="27" t="s">
        <v>217</v>
      </c>
      <c r="D103" s="26" t="s">
        <v>130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330</v>
      </c>
      <c r="C104" s="27" t="s">
        <v>218</v>
      </c>
      <c r="D104" s="26" t="s">
        <v>130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330</v>
      </c>
      <c r="C105" s="27" t="s">
        <v>219</v>
      </c>
      <c r="D105" s="26" t="s">
        <v>130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238</v>
      </c>
      <c r="C106" s="27" t="s">
        <v>225</v>
      </c>
      <c r="D106" s="26" t="s">
        <v>168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238</v>
      </c>
      <c r="C107" s="27" t="s">
        <v>239</v>
      </c>
      <c r="D107" s="26" t="s">
        <v>168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376</v>
      </c>
      <c r="C108" s="27" t="s">
        <v>221</v>
      </c>
      <c r="D108" s="26" t="s">
        <v>130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376</v>
      </c>
      <c r="C109" s="27" t="s">
        <v>222</v>
      </c>
      <c r="D109" s="26" t="s">
        <v>130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376</v>
      </c>
      <c r="C110" s="27" t="s">
        <v>223</v>
      </c>
      <c r="D110" s="26" t="s">
        <v>130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318</v>
      </c>
      <c r="C111" s="27" t="s">
        <v>227</v>
      </c>
      <c r="D111" s="26" t="s">
        <v>228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342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113</v>
      </c>
      <c r="B2" s="30" t="s">
        <v>265</v>
      </c>
      <c r="C2" s="30" t="s">
        <v>16</v>
      </c>
      <c r="D2" s="30" t="s">
        <v>17</v>
      </c>
      <c r="E2" s="30" t="s">
        <v>378</v>
      </c>
      <c r="F2" s="30" t="s">
        <v>379</v>
      </c>
      <c r="G2" s="30" t="s">
        <v>295</v>
      </c>
      <c r="H2" s="30" t="s">
        <v>380</v>
      </c>
      <c r="I2" s="62" t="s">
        <v>381</v>
      </c>
      <c r="J2" s="62" t="s">
        <v>382</v>
      </c>
      <c r="K2" s="62" t="s">
        <v>383</v>
      </c>
      <c r="L2" s="62" t="s">
        <v>384</v>
      </c>
      <c r="M2" s="62" t="s">
        <v>385</v>
      </c>
      <c r="N2" s="62" t="s">
        <v>386</v>
      </c>
      <c r="O2" s="62" t="s">
        <v>387</v>
      </c>
      <c r="P2" s="62" t="s">
        <v>388</v>
      </c>
      <c r="Q2" s="62" t="s">
        <v>389</v>
      </c>
      <c r="R2" s="62" t="s">
        <v>389</v>
      </c>
      <c r="S2" s="62" t="s">
        <v>389</v>
      </c>
    </row>
    <row r="3" spans="1:19" ht="15" customHeight="1" x14ac:dyDescent="0.25">
      <c r="A3" s="46">
        <v>9004</v>
      </c>
      <c r="B3" s="46">
        <v>904</v>
      </c>
      <c r="C3" s="46" t="s">
        <v>51</v>
      </c>
      <c r="D3" s="47" t="s">
        <v>52</v>
      </c>
      <c r="E3" s="46">
        <v>12.5</v>
      </c>
      <c r="F3" s="46">
        <v>0</v>
      </c>
      <c r="G3" s="46" t="s">
        <v>390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53</v>
      </c>
      <c r="D4" s="47" t="s">
        <v>54</v>
      </c>
      <c r="E4" s="46">
        <v>16</v>
      </c>
      <c r="F4" s="46">
        <v>100</v>
      </c>
      <c r="G4" s="46" t="s">
        <v>390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53</v>
      </c>
      <c r="D5" s="47" t="s">
        <v>57</v>
      </c>
      <c r="E5" s="46">
        <v>19</v>
      </c>
      <c r="F5" s="46">
        <v>106</v>
      </c>
      <c r="G5" s="46" t="s">
        <v>390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53</v>
      </c>
      <c r="D6" s="47" t="s">
        <v>291</v>
      </c>
      <c r="E6" s="46">
        <v>19</v>
      </c>
      <c r="F6" s="46">
        <v>106</v>
      </c>
      <c r="G6" s="46" t="s">
        <v>390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53</v>
      </c>
      <c r="D7" s="47" t="s">
        <v>58</v>
      </c>
      <c r="E7" s="46">
        <v>19</v>
      </c>
      <c r="F7" s="46">
        <v>106</v>
      </c>
      <c r="G7" s="46" t="s">
        <v>390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27</v>
      </c>
      <c r="D8" s="47" t="s">
        <v>56</v>
      </c>
      <c r="E8" s="46">
        <v>19</v>
      </c>
      <c r="F8" s="46">
        <v>120</v>
      </c>
      <c r="G8" s="46" t="s">
        <v>390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27</v>
      </c>
      <c r="D9" s="47" t="s">
        <v>55</v>
      </c>
      <c r="E9" s="46">
        <v>19</v>
      </c>
      <c r="F9" s="46">
        <v>120</v>
      </c>
      <c r="G9" s="46" t="s">
        <v>390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41</v>
      </c>
      <c r="D10" s="47" t="s">
        <v>60</v>
      </c>
      <c r="E10" s="46">
        <v>20.5</v>
      </c>
      <c r="F10" s="46">
        <v>120</v>
      </c>
      <c r="G10" s="46" t="s">
        <v>391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27</v>
      </c>
      <c r="D11" s="47" t="s">
        <v>62</v>
      </c>
      <c r="E11" s="46">
        <v>20.5</v>
      </c>
      <c r="F11" s="46">
        <v>120</v>
      </c>
      <c r="G11" s="46" t="s">
        <v>390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27</v>
      </c>
      <c r="D12" s="47" t="s">
        <v>59</v>
      </c>
      <c r="E12" s="46">
        <v>20.5</v>
      </c>
      <c r="F12" s="46">
        <v>120</v>
      </c>
      <c r="G12" s="46" t="s">
        <v>390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27</v>
      </c>
      <c r="D13" s="47" t="s">
        <v>61</v>
      </c>
      <c r="E13" s="46">
        <v>20.5</v>
      </c>
      <c r="F13" s="46">
        <v>120</v>
      </c>
      <c r="G13" s="46" t="s">
        <v>390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27</v>
      </c>
      <c r="D14" s="47" t="s">
        <v>63</v>
      </c>
      <c r="E14" s="46">
        <v>20.5</v>
      </c>
      <c r="F14" s="46">
        <v>120</v>
      </c>
      <c r="G14" s="46" t="s">
        <v>390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27</v>
      </c>
      <c r="D15" s="47" t="s">
        <v>64</v>
      </c>
      <c r="E15" s="46">
        <v>20.5</v>
      </c>
      <c r="F15" s="46">
        <v>120</v>
      </c>
      <c r="G15" s="46" t="s">
        <v>390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27</v>
      </c>
      <c r="D16" s="47" t="s">
        <v>65</v>
      </c>
      <c r="E16" s="46">
        <v>20.5</v>
      </c>
      <c r="F16" s="46">
        <v>120</v>
      </c>
      <c r="G16" s="46" t="s">
        <v>390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41</v>
      </c>
      <c r="D17" s="47" t="s">
        <v>71</v>
      </c>
      <c r="E17" s="46">
        <v>25</v>
      </c>
      <c r="F17" s="46">
        <v>130</v>
      </c>
      <c r="G17" s="46" t="s">
        <v>391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27</v>
      </c>
      <c r="D18" s="47" t="s">
        <v>66</v>
      </c>
      <c r="E18" s="46">
        <v>25</v>
      </c>
      <c r="F18" s="46">
        <v>150</v>
      </c>
      <c r="G18" s="46" t="s">
        <v>390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27</v>
      </c>
      <c r="D19" s="47" t="s">
        <v>68</v>
      </c>
      <c r="E19" s="46">
        <v>25</v>
      </c>
      <c r="F19" s="46">
        <v>150</v>
      </c>
      <c r="G19" s="46" t="s">
        <v>390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27</v>
      </c>
      <c r="D20" s="47" t="s">
        <v>69</v>
      </c>
      <c r="E20" s="46">
        <v>25</v>
      </c>
      <c r="F20" s="46">
        <v>150</v>
      </c>
      <c r="G20" s="46" t="s">
        <v>390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27</v>
      </c>
      <c r="D21" s="47" t="s">
        <v>72</v>
      </c>
      <c r="E21" s="46">
        <v>25</v>
      </c>
      <c r="F21" s="46">
        <v>150</v>
      </c>
      <c r="G21" s="46" t="s">
        <v>390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27</v>
      </c>
      <c r="D22" s="47" t="s">
        <v>70</v>
      </c>
      <c r="E22" s="46">
        <v>25</v>
      </c>
      <c r="F22" s="46">
        <v>150</v>
      </c>
      <c r="G22" s="46" t="s">
        <v>390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27</v>
      </c>
      <c r="D23" s="47" t="s">
        <v>73</v>
      </c>
      <c r="E23" s="46">
        <v>25</v>
      </c>
      <c r="F23" s="46">
        <v>150</v>
      </c>
      <c r="G23" s="46" t="s">
        <v>390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74</v>
      </c>
      <c r="D24" s="47" t="s">
        <v>75</v>
      </c>
      <c r="E24" s="46">
        <v>25</v>
      </c>
      <c r="F24" s="46">
        <v>155</v>
      </c>
      <c r="G24" s="46" t="s">
        <v>390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84</v>
      </c>
      <c r="D25" s="47" t="s">
        <v>86</v>
      </c>
      <c r="E25" s="46">
        <v>30</v>
      </c>
      <c r="F25" s="46">
        <v>130</v>
      </c>
      <c r="G25" s="46" t="s">
        <v>391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84</v>
      </c>
      <c r="D26" s="47" t="s">
        <v>85</v>
      </c>
      <c r="E26" s="46">
        <v>30</v>
      </c>
      <c r="F26" s="46">
        <v>130</v>
      </c>
      <c r="G26" s="46" t="s">
        <v>391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30</v>
      </c>
      <c r="D27" s="47" t="s">
        <v>31</v>
      </c>
      <c r="E27" s="46">
        <v>30</v>
      </c>
      <c r="F27" s="46">
        <v>130</v>
      </c>
      <c r="G27" s="46" t="s">
        <v>391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41</v>
      </c>
      <c r="D28" s="47" t="s">
        <v>78</v>
      </c>
      <c r="E28" s="46">
        <v>30</v>
      </c>
      <c r="F28" s="46">
        <v>130</v>
      </c>
      <c r="G28" s="46" t="s">
        <v>391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41</v>
      </c>
      <c r="D29" s="47" t="s">
        <v>87</v>
      </c>
      <c r="E29" s="46">
        <v>30</v>
      </c>
      <c r="F29" s="46">
        <v>130</v>
      </c>
      <c r="G29" s="46" t="s">
        <v>390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81</v>
      </c>
      <c r="D30" s="47" t="s">
        <v>82</v>
      </c>
      <c r="E30" s="46">
        <v>30</v>
      </c>
      <c r="F30" s="46">
        <v>130</v>
      </c>
      <c r="G30" s="46" t="s">
        <v>391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81</v>
      </c>
      <c r="D31" s="47" t="s">
        <v>83</v>
      </c>
      <c r="E31" s="46">
        <v>30</v>
      </c>
      <c r="F31" s="46">
        <v>130</v>
      </c>
      <c r="G31" s="46" t="s">
        <v>390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79</v>
      </c>
      <c r="D32" s="47" t="s">
        <v>80</v>
      </c>
      <c r="E32" s="46">
        <v>30</v>
      </c>
      <c r="F32" s="46">
        <v>130</v>
      </c>
      <c r="G32" s="46" t="s">
        <v>391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91</v>
      </c>
      <c r="D33" s="47" t="s">
        <v>92</v>
      </c>
      <c r="E33" s="46">
        <v>32</v>
      </c>
      <c r="F33" s="46">
        <v>155</v>
      </c>
      <c r="G33" s="46" t="s">
        <v>391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33</v>
      </c>
      <c r="D34" s="47" t="s">
        <v>34</v>
      </c>
      <c r="E34" s="46">
        <v>32</v>
      </c>
      <c r="F34" s="46">
        <v>180</v>
      </c>
      <c r="G34" s="46" t="s">
        <v>391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93</v>
      </c>
      <c r="D35" s="47" t="s">
        <v>96</v>
      </c>
      <c r="E35" s="46">
        <v>35</v>
      </c>
      <c r="F35" s="46">
        <v>165</v>
      </c>
      <c r="G35" s="46" t="s">
        <v>391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93</v>
      </c>
      <c r="D36" s="47" t="s">
        <v>97</v>
      </c>
      <c r="E36" s="46">
        <v>35</v>
      </c>
      <c r="F36" s="46">
        <v>165</v>
      </c>
      <c r="G36" s="46" t="s">
        <v>391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93</v>
      </c>
      <c r="D37" s="47" t="s">
        <v>94</v>
      </c>
      <c r="E37" s="46">
        <v>35</v>
      </c>
      <c r="F37" s="46">
        <v>170</v>
      </c>
      <c r="G37" s="46" t="s">
        <v>391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93</v>
      </c>
      <c r="D38" s="47" t="s">
        <v>95</v>
      </c>
      <c r="E38" s="46">
        <v>35</v>
      </c>
      <c r="F38" s="46">
        <v>170</v>
      </c>
      <c r="G38" s="46" t="s">
        <v>391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27</v>
      </c>
      <c r="D39" s="47" t="s">
        <v>39</v>
      </c>
      <c r="E39" s="46" t="s">
        <v>40</v>
      </c>
      <c r="F39" s="46">
        <v>0</v>
      </c>
      <c r="G39" s="46" t="s">
        <v>390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27</v>
      </c>
      <c r="D40" s="47" t="s">
        <v>98</v>
      </c>
      <c r="E40" s="46" t="s">
        <v>40</v>
      </c>
      <c r="F40" s="46">
        <v>0</v>
      </c>
      <c r="G40" s="46" t="s">
        <v>390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27</v>
      </c>
      <c r="D41" s="47" t="s">
        <v>99</v>
      </c>
      <c r="E41" s="46" t="s">
        <v>40</v>
      </c>
      <c r="F41" s="46">
        <v>0</v>
      </c>
      <c r="G41" s="46" t="s">
        <v>390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41</v>
      </c>
      <c r="D42" t="s">
        <v>100</v>
      </c>
      <c r="E42" s="46" t="s">
        <v>43</v>
      </c>
      <c r="F42" s="46">
        <v>0</v>
      </c>
      <c r="G42" s="46" t="s">
        <v>390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41</v>
      </c>
      <c r="D43" s="47" t="s">
        <v>42</v>
      </c>
      <c r="E43" s="46" t="s">
        <v>43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44</v>
      </c>
      <c r="D44" s="47" t="s">
        <v>45</v>
      </c>
      <c r="E44" s="46" t="s">
        <v>46</v>
      </c>
      <c r="F44" s="46">
        <v>0</v>
      </c>
      <c r="G44" s="46" t="s">
        <v>390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27</v>
      </c>
      <c r="D45" s="47" t="s">
        <v>103</v>
      </c>
      <c r="E45" s="46" t="s">
        <v>102</v>
      </c>
      <c r="F45" s="46">
        <v>0</v>
      </c>
      <c r="G45" s="46" t="s">
        <v>390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27</v>
      </c>
      <c r="D46" s="47" t="s">
        <v>101</v>
      </c>
      <c r="E46" s="46" t="s">
        <v>102</v>
      </c>
      <c r="F46" s="46">
        <v>0</v>
      </c>
      <c r="G46" s="46" t="s">
        <v>390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27</v>
      </c>
      <c r="D47" s="47" t="s">
        <v>106</v>
      </c>
      <c r="E47" s="46" t="s">
        <v>102</v>
      </c>
      <c r="F47" s="46">
        <v>0</v>
      </c>
      <c r="G47" s="46" t="s">
        <v>390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27</v>
      </c>
      <c r="D48" s="47" t="s">
        <v>104</v>
      </c>
      <c r="E48" s="46" t="s">
        <v>102</v>
      </c>
      <c r="F48" s="46">
        <v>0</v>
      </c>
      <c r="G48" s="46" t="s">
        <v>390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27</v>
      </c>
      <c r="D49" s="184" t="s">
        <v>105</v>
      </c>
      <c r="E49" s="183" t="s">
        <v>102</v>
      </c>
      <c r="F49" s="183">
        <v>0</v>
      </c>
      <c r="G49" s="183" t="s">
        <v>390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41</v>
      </c>
      <c r="D50" s="47" t="s">
        <v>107</v>
      </c>
      <c r="E50" s="46" t="s">
        <v>108</v>
      </c>
      <c r="F50" s="46">
        <v>0</v>
      </c>
      <c r="G50" s="46" t="s">
        <v>390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41</v>
      </c>
      <c r="D51" s="47" t="s">
        <v>109</v>
      </c>
      <c r="E51" s="46" t="s">
        <v>110</v>
      </c>
      <c r="F51" s="46">
        <v>0</v>
      </c>
      <c r="G51" s="46" t="s">
        <v>390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81</v>
      </c>
      <c r="D52" s="47" t="s">
        <v>88</v>
      </c>
      <c r="E52" s="46">
        <v>30</v>
      </c>
      <c r="F52" s="46">
        <v>130</v>
      </c>
      <c r="G52" s="46" t="s">
        <v>390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76</v>
      </c>
      <c r="D53" s="47" t="s">
        <v>77</v>
      </c>
      <c r="E53" s="46">
        <v>25</v>
      </c>
      <c r="F53" s="46">
        <v>150</v>
      </c>
      <c r="G53" s="46" t="s">
        <v>391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27</v>
      </c>
      <c r="D54" s="47" t="s">
        <v>28</v>
      </c>
      <c r="E54" s="46">
        <v>25</v>
      </c>
      <c r="F54" s="46">
        <v>150</v>
      </c>
      <c r="G54" s="46" t="s">
        <v>390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89</v>
      </c>
      <c r="D55" s="47" t="s">
        <v>90</v>
      </c>
      <c r="E55" s="46">
        <v>30</v>
      </c>
      <c r="F55" s="46">
        <v>130</v>
      </c>
      <c r="G55" s="46" t="s">
        <v>391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48</v>
      </c>
      <c r="D56" s="184" t="s">
        <v>49</v>
      </c>
      <c r="E56" s="183" t="s">
        <v>46</v>
      </c>
      <c r="F56" s="183"/>
      <c r="G56" s="183" t="s">
        <v>390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392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393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394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395</v>
      </c>
      <c r="B5" s="80" t="s">
        <v>396</v>
      </c>
      <c r="C5" s="81" t="s">
        <v>16</v>
      </c>
      <c r="D5" s="81" t="s">
        <v>397</v>
      </c>
      <c r="E5" s="81" t="s">
        <v>18</v>
      </c>
      <c r="F5" s="81" t="s">
        <v>398</v>
      </c>
      <c r="G5" s="81" t="s">
        <v>399</v>
      </c>
      <c r="H5" s="81" t="s">
        <v>400</v>
      </c>
      <c r="I5" s="81" t="s">
        <v>126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41</v>
      </c>
      <c r="D6" s="78" t="s">
        <v>87</v>
      </c>
      <c r="E6" s="78">
        <v>30</v>
      </c>
      <c r="F6" s="78" t="s">
        <v>401</v>
      </c>
      <c r="G6" s="78" t="s">
        <v>402</v>
      </c>
      <c r="H6" s="82" t="s">
        <v>403</v>
      </c>
      <c r="I6" s="83" t="s">
        <v>404</v>
      </c>
      <c r="J6" s="78"/>
      <c r="K6" s="78"/>
    </row>
    <row r="7" spans="1:11" ht="132" customHeight="1" x14ac:dyDescent="0.25">
      <c r="A7" s="84">
        <v>6624</v>
      </c>
      <c r="B7" s="84" t="s">
        <v>405</v>
      </c>
      <c r="C7" s="85" t="s">
        <v>406</v>
      </c>
      <c r="D7" s="85" t="s">
        <v>407</v>
      </c>
      <c r="E7" s="85">
        <v>19</v>
      </c>
      <c r="F7" s="85" t="s">
        <v>408</v>
      </c>
      <c r="G7" s="85" t="s">
        <v>409</v>
      </c>
      <c r="H7" s="86" t="s">
        <v>403</v>
      </c>
      <c r="I7" s="87" t="s">
        <v>404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51</v>
      </c>
      <c r="D8" s="78" t="s">
        <v>52</v>
      </c>
      <c r="E8" s="78">
        <v>12.5</v>
      </c>
      <c r="F8" s="78" t="s">
        <v>410</v>
      </c>
      <c r="G8" s="78" t="s">
        <v>411</v>
      </c>
      <c r="H8" s="82" t="s">
        <v>403</v>
      </c>
      <c r="I8" s="83" t="s">
        <v>404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406</v>
      </c>
      <c r="D9" s="85" t="s">
        <v>73</v>
      </c>
      <c r="E9" s="85">
        <v>25</v>
      </c>
      <c r="F9" s="85" t="s">
        <v>412</v>
      </c>
      <c r="G9" s="85" t="s">
        <v>413</v>
      </c>
      <c r="H9" s="86" t="s">
        <v>403</v>
      </c>
      <c r="I9" s="87" t="s">
        <v>404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414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395</v>
      </c>
      <c r="B13" s="80" t="s">
        <v>397</v>
      </c>
      <c r="C13" s="81"/>
      <c r="D13" s="81" t="s">
        <v>415</v>
      </c>
      <c r="E13" s="81" t="s">
        <v>120</v>
      </c>
      <c r="F13" s="81" t="s">
        <v>416</v>
      </c>
      <c r="G13" s="81" t="s">
        <v>417</v>
      </c>
      <c r="H13" s="81" t="s">
        <v>400</v>
      </c>
      <c r="I13" s="81" t="s">
        <v>418</v>
      </c>
      <c r="J13" s="81"/>
      <c r="K13" s="81"/>
    </row>
    <row r="14" spans="1:11" ht="60" customHeight="1" x14ac:dyDescent="0.25">
      <c r="A14" s="77">
        <v>6020</v>
      </c>
      <c r="B14" s="77" t="s">
        <v>96</v>
      </c>
      <c r="C14" s="78"/>
      <c r="D14" s="78" t="s">
        <v>145</v>
      </c>
      <c r="E14" s="78" t="s">
        <v>419</v>
      </c>
      <c r="F14" s="78" t="s">
        <v>420</v>
      </c>
      <c r="G14" s="78" t="s">
        <v>421</v>
      </c>
      <c r="H14" s="82" t="s">
        <v>422</v>
      </c>
      <c r="I14" s="78" t="s">
        <v>423</v>
      </c>
      <c r="J14" s="78"/>
      <c r="K14" s="78"/>
    </row>
    <row r="15" spans="1:11" ht="24" customHeight="1" x14ac:dyDescent="0.25">
      <c r="A15" s="84">
        <v>6021</v>
      </c>
      <c r="B15" s="84" t="s">
        <v>97</v>
      </c>
      <c r="C15" s="85"/>
      <c r="D15" s="85" t="s">
        <v>145</v>
      </c>
      <c r="E15" s="85" t="s">
        <v>419</v>
      </c>
      <c r="F15" s="85" t="s">
        <v>420</v>
      </c>
      <c r="G15" s="85" t="s">
        <v>421</v>
      </c>
      <c r="H15" s="86" t="s">
        <v>422</v>
      </c>
      <c r="I15" s="85" t="s">
        <v>424</v>
      </c>
      <c r="J15" s="85"/>
      <c r="K15" s="85"/>
    </row>
    <row r="16" spans="1:11" ht="24" customHeight="1" x14ac:dyDescent="0.25">
      <c r="A16" s="77">
        <v>6020</v>
      </c>
      <c r="B16" s="77" t="s">
        <v>96</v>
      </c>
      <c r="C16" s="78"/>
      <c r="D16" s="78" t="s">
        <v>152</v>
      </c>
      <c r="E16" s="78" t="s">
        <v>425</v>
      </c>
      <c r="F16" s="78" t="s">
        <v>426</v>
      </c>
      <c r="G16" s="78" t="s">
        <v>427</v>
      </c>
      <c r="H16" s="82" t="s">
        <v>403</v>
      </c>
      <c r="I16" s="78" t="s">
        <v>428</v>
      </c>
      <c r="J16" s="78"/>
      <c r="K16" s="78"/>
    </row>
    <row r="17" spans="1:11" ht="24" customHeight="1" x14ac:dyDescent="0.25">
      <c r="A17" s="84">
        <v>6021</v>
      </c>
      <c r="B17" s="84" t="s">
        <v>97</v>
      </c>
      <c r="C17" s="85"/>
      <c r="D17" s="85" t="s">
        <v>152</v>
      </c>
      <c r="E17" s="85" t="s">
        <v>425</v>
      </c>
      <c r="F17" s="85" t="s">
        <v>426</v>
      </c>
      <c r="G17" s="85" t="s">
        <v>427</v>
      </c>
      <c r="H17" s="86" t="s">
        <v>403</v>
      </c>
      <c r="I17" s="85" t="s">
        <v>424</v>
      </c>
      <c r="J17" s="85"/>
      <c r="K17" s="85"/>
    </row>
    <row r="18" spans="1:11" ht="24" customHeight="1" x14ac:dyDescent="0.25">
      <c r="A18" s="77">
        <v>5731</v>
      </c>
      <c r="B18" s="77" t="s">
        <v>429</v>
      </c>
      <c r="C18" s="78"/>
      <c r="D18" s="78" t="s">
        <v>204</v>
      </c>
      <c r="E18" s="78" t="s">
        <v>430</v>
      </c>
      <c r="F18" s="78" t="s">
        <v>431</v>
      </c>
      <c r="G18" s="78" t="s">
        <v>432</v>
      </c>
      <c r="H18" s="82" t="s">
        <v>403</v>
      </c>
      <c r="I18" s="78" t="s">
        <v>433</v>
      </c>
      <c r="J18" s="78"/>
      <c r="K18" s="78"/>
    </row>
    <row r="19" spans="1:11" ht="24" customHeight="1" x14ac:dyDescent="0.25">
      <c r="A19" s="84">
        <v>5732</v>
      </c>
      <c r="B19" s="84" t="s">
        <v>434</v>
      </c>
      <c r="C19" s="85"/>
      <c r="D19" s="85" t="s">
        <v>204</v>
      </c>
      <c r="E19" s="85" t="s">
        <v>430</v>
      </c>
      <c r="F19" s="85" t="s">
        <v>431</v>
      </c>
      <c r="G19" s="85" t="s">
        <v>432</v>
      </c>
      <c r="H19" s="86" t="s">
        <v>403</v>
      </c>
      <c r="I19" s="85" t="s">
        <v>433</v>
      </c>
      <c r="J19" s="85"/>
      <c r="K19" s="85"/>
    </row>
    <row r="20" spans="1:11" ht="48" customHeight="1" x14ac:dyDescent="0.25">
      <c r="A20" s="77">
        <v>6338</v>
      </c>
      <c r="B20" s="77" t="s">
        <v>75</v>
      </c>
      <c r="C20" s="78"/>
      <c r="D20" s="78" t="s">
        <v>152</v>
      </c>
      <c r="E20" s="78" t="s">
        <v>435</v>
      </c>
      <c r="F20" s="78" t="s">
        <v>436</v>
      </c>
      <c r="G20" s="78" t="s">
        <v>437</v>
      </c>
      <c r="H20" s="82" t="s">
        <v>403</v>
      </c>
      <c r="I20" s="78" t="s">
        <v>438</v>
      </c>
      <c r="J20" s="78"/>
      <c r="K20" s="78"/>
    </row>
    <row r="21" spans="1:11" ht="24" customHeight="1" x14ac:dyDescent="0.25">
      <c r="A21" s="84">
        <v>6531</v>
      </c>
      <c r="B21" s="84" t="s">
        <v>95</v>
      </c>
      <c r="C21" s="85"/>
      <c r="D21" s="85" t="s">
        <v>145</v>
      </c>
      <c r="E21" s="85" t="s">
        <v>419</v>
      </c>
      <c r="F21" s="85" t="s">
        <v>439</v>
      </c>
      <c r="G21" s="85" t="s">
        <v>440</v>
      </c>
      <c r="H21" s="91" t="s">
        <v>441</v>
      </c>
      <c r="I21" s="85" t="s">
        <v>442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443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395</v>
      </c>
      <c r="B24" s="80" t="s">
        <v>397</v>
      </c>
      <c r="C24" s="81"/>
      <c r="D24" s="81" t="s">
        <v>444</v>
      </c>
      <c r="E24" s="81" t="s">
        <v>120</v>
      </c>
      <c r="F24" s="81" t="s">
        <v>445</v>
      </c>
      <c r="G24" s="81" t="s">
        <v>446</v>
      </c>
      <c r="H24" s="81" t="s">
        <v>400</v>
      </c>
      <c r="I24" s="81"/>
      <c r="J24" s="81"/>
      <c r="K24" s="81"/>
    </row>
    <row r="25" spans="1:11" ht="96" customHeight="1" x14ac:dyDescent="0.25">
      <c r="A25" s="77" t="s">
        <v>447</v>
      </c>
      <c r="B25" s="77" t="s">
        <v>448</v>
      </c>
      <c r="C25" s="78"/>
      <c r="D25" s="78" t="s">
        <v>449</v>
      </c>
      <c r="E25" s="78">
        <v>177</v>
      </c>
      <c r="F25" s="78" t="s">
        <v>450</v>
      </c>
      <c r="G25" s="78" t="s">
        <v>451</v>
      </c>
      <c r="H25" s="82" t="s">
        <v>422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83</v>
      </c>
      <c r="C26" s="81"/>
      <c r="D26" s="81" t="s">
        <v>166</v>
      </c>
      <c r="E26" s="81">
        <v>578</v>
      </c>
      <c r="F26" s="81" t="s">
        <v>452</v>
      </c>
      <c r="G26" s="81" t="s">
        <v>453</v>
      </c>
      <c r="H26" s="81" t="s">
        <v>403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75</v>
      </c>
      <c r="C27" s="78"/>
      <c r="D27" s="78" t="s">
        <v>166</v>
      </c>
      <c r="E27" s="78" t="s">
        <v>454</v>
      </c>
      <c r="F27" s="78" t="s">
        <v>455</v>
      </c>
      <c r="G27" s="78" t="s">
        <v>456</v>
      </c>
      <c r="H27" s="82" t="s">
        <v>403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78</v>
      </c>
      <c r="C28" s="85"/>
      <c r="D28" s="85" t="s">
        <v>191</v>
      </c>
      <c r="E28" s="85" t="s">
        <v>454</v>
      </c>
      <c r="F28" s="85" t="s">
        <v>455</v>
      </c>
      <c r="G28" s="85" t="s">
        <v>457</v>
      </c>
      <c r="H28" s="86" t="s">
        <v>403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83</v>
      </c>
      <c r="C29" s="81"/>
      <c r="D29" s="81" t="s">
        <v>164</v>
      </c>
      <c r="E29" s="81">
        <v>186</v>
      </c>
      <c r="F29" s="81" t="s">
        <v>458</v>
      </c>
      <c r="G29" s="81" t="s">
        <v>459</v>
      </c>
      <c r="H29" s="81" t="s">
        <v>441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460</v>
      </c>
      <c r="C30" s="81"/>
      <c r="D30" s="81" t="s">
        <v>164</v>
      </c>
      <c r="E30" s="81">
        <v>186</v>
      </c>
      <c r="F30" s="81" t="s">
        <v>458</v>
      </c>
      <c r="G30" s="81" t="s">
        <v>461</v>
      </c>
      <c r="H30" s="81" t="s">
        <v>441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94</v>
      </c>
      <c r="C31" s="78"/>
      <c r="D31" s="78" t="s">
        <v>164</v>
      </c>
      <c r="E31" s="78">
        <v>186</v>
      </c>
      <c r="F31" s="78" t="s">
        <v>458</v>
      </c>
      <c r="G31" s="78" t="s">
        <v>462</v>
      </c>
      <c r="H31" s="92" t="s">
        <v>441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95</v>
      </c>
      <c r="C32" s="81"/>
      <c r="D32" s="81" t="s">
        <v>164</v>
      </c>
      <c r="E32" s="81">
        <v>186</v>
      </c>
      <c r="F32" s="81" t="s">
        <v>458</v>
      </c>
      <c r="G32" s="81" t="s">
        <v>463</v>
      </c>
      <c r="H32" s="81" t="s">
        <v>441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464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395</v>
      </c>
      <c r="B35" s="80" t="s">
        <v>396</v>
      </c>
      <c r="C35" s="81" t="s">
        <v>397</v>
      </c>
      <c r="D35" s="81" t="s">
        <v>415</v>
      </c>
      <c r="E35" s="81" t="s">
        <v>465</v>
      </c>
      <c r="F35" s="81" t="s">
        <v>466</v>
      </c>
      <c r="G35" s="81" t="s">
        <v>467</v>
      </c>
      <c r="H35" s="81" t="s">
        <v>468</v>
      </c>
      <c r="I35" s="81" t="s">
        <v>445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469</v>
      </c>
      <c r="D36" s="78" t="s">
        <v>152</v>
      </c>
      <c r="E36" s="78">
        <v>170</v>
      </c>
      <c r="F36" s="78" t="s">
        <v>153</v>
      </c>
      <c r="G36" s="78">
        <v>3595</v>
      </c>
      <c r="H36" s="78" t="s">
        <v>273</v>
      </c>
      <c r="I36" s="78" t="s">
        <v>470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469</v>
      </c>
      <c r="D37" s="85" t="s">
        <v>145</v>
      </c>
      <c r="E37" s="85">
        <v>1065</v>
      </c>
      <c r="F37" s="85" t="s">
        <v>150</v>
      </c>
      <c r="G37" s="85">
        <v>4155</v>
      </c>
      <c r="H37" s="85" t="s">
        <v>151</v>
      </c>
      <c r="I37" s="85" t="s">
        <v>439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75</v>
      </c>
      <c r="D38" s="78" t="s">
        <v>152</v>
      </c>
      <c r="E38" s="78">
        <v>170</v>
      </c>
      <c r="F38" s="78" t="s">
        <v>153</v>
      </c>
      <c r="G38" s="78">
        <v>3595</v>
      </c>
      <c r="H38" s="78" t="s">
        <v>273</v>
      </c>
      <c r="I38" s="78" t="s">
        <v>471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75</v>
      </c>
      <c r="D39" s="85" t="s">
        <v>145</v>
      </c>
      <c r="E39" s="85">
        <v>184</v>
      </c>
      <c r="F39" s="85" t="s">
        <v>146</v>
      </c>
      <c r="G39" s="85">
        <v>185</v>
      </c>
      <c r="H39" s="85" t="s">
        <v>147</v>
      </c>
      <c r="I39" s="85" t="s">
        <v>472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473</v>
      </c>
      <c r="D40" s="78" t="s">
        <v>152</v>
      </c>
      <c r="E40" s="78">
        <v>170</v>
      </c>
      <c r="F40" s="78" t="s">
        <v>153</v>
      </c>
      <c r="G40" s="78">
        <v>3595</v>
      </c>
      <c r="H40" s="78" t="s">
        <v>273</v>
      </c>
      <c r="I40" s="78" t="s">
        <v>470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473</v>
      </c>
      <c r="D41" s="85" t="s">
        <v>145</v>
      </c>
      <c r="E41" s="85">
        <v>1065</v>
      </c>
      <c r="F41" s="85" t="s">
        <v>150</v>
      </c>
      <c r="G41" s="85">
        <v>4155</v>
      </c>
      <c r="H41" s="85" t="s">
        <v>151</v>
      </c>
      <c r="I41" s="85" t="s">
        <v>439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474</v>
      </c>
      <c r="D42" s="78" t="s">
        <v>152</v>
      </c>
      <c r="E42" s="78">
        <v>170</v>
      </c>
      <c r="F42" s="78" t="s">
        <v>153</v>
      </c>
      <c r="G42" s="78">
        <v>3595</v>
      </c>
      <c r="H42" s="78" t="s">
        <v>273</v>
      </c>
      <c r="I42" s="78" t="s">
        <v>475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92</v>
      </c>
      <c r="D43" s="85" t="s">
        <v>152</v>
      </c>
      <c r="E43" s="85">
        <v>170</v>
      </c>
      <c r="F43" s="85" t="s">
        <v>153</v>
      </c>
      <c r="G43" s="85">
        <v>3595</v>
      </c>
      <c r="H43" s="85" t="s">
        <v>273</v>
      </c>
      <c r="I43" s="85" t="s">
        <v>426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92</v>
      </c>
      <c r="D44" s="78" t="s">
        <v>145</v>
      </c>
      <c r="E44" s="78">
        <v>184</v>
      </c>
      <c r="F44" s="78" t="s">
        <v>146</v>
      </c>
      <c r="G44" s="78">
        <v>185</v>
      </c>
      <c r="H44" s="78" t="s">
        <v>147</v>
      </c>
      <c r="I44" s="78" t="s">
        <v>476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66</v>
      </c>
      <c r="D45" s="85" t="s">
        <v>152</v>
      </c>
      <c r="E45" s="85">
        <v>4156</v>
      </c>
      <c r="F45" s="85" t="s">
        <v>158</v>
      </c>
      <c r="G45" s="85">
        <v>3595</v>
      </c>
      <c r="H45" s="85" t="s">
        <v>273</v>
      </c>
      <c r="I45" s="85" t="s">
        <v>477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66</v>
      </c>
      <c r="D46" s="78" t="s">
        <v>166</v>
      </c>
      <c r="E46" s="78">
        <v>3866</v>
      </c>
      <c r="F46" s="78" t="s">
        <v>478</v>
      </c>
      <c r="G46" s="78">
        <v>68</v>
      </c>
      <c r="H46" s="78" t="s">
        <v>479</v>
      </c>
      <c r="I46" s="78" t="s">
        <v>452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66</v>
      </c>
      <c r="D47" s="85" t="s">
        <v>145</v>
      </c>
      <c r="E47" s="85">
        <v>184</v>
      </c>
      <c r="F47" s="85" t="s">
        <v>146</v>
      </c>
      <c r="G47" s="85">
        <v>185</v>
      </c>
      <c r="H47" s="85" t="s">
        <v>147</v>
      </c>
      <c r="I47" s="85" t="s">
        <v>472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434</v>
      </c>
      <c r="D48" s="78" t="s">
        <v>152</v>
      </c>
      <c r="E48" s="78">
        <v>4156</v>
      </c>
      <c r="F48" s="78" t="s">
        <v>158</v>
      </c>
      <c r="G48" s="78">
        <v>3595</v>
      </c>
      <c r="H48" s="78" t="s">
        <v>273</v>
      </c>
      <c r="I48" s="78" t="s">
        <v>480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434</v>
      </c>
      <c r="D49" s="85" t="s">
        <v>166</v>
      </c>
      <c r="E49" s="85">
        <v>4044</v>
      </c>
      <c r="F49" s="85" t="s">
        <v>481</v>
      </c>
      <c r="G49" s="85">
        <v>6971</v>
      </c>
      <c r="H49" s="85" t="s">
        <v>482</v>
      </c>
      <c r="I49" s="85" t="s">
        <v>452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434</v>
      </c>
      <c r="D50" s="78" t="s">
        <v>145</v>
      </c>
      <c r="E50" s="78">
        <v>184</v>
      </c>
      <c r="F50" s="78" t="s">
        <v>146</v>
      </c>
      <c r="G50" s="78">
        <v>185</v>
      </c>
      <c r="H50" s="78" t="s">
        <v>147</v>
      </c>
      <c r="I50" s="78" t="s">
        <v>483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429</v>
      </c>
      <c r="D51" s="85" t="s">
        <v>152</v>
      </c>
      <c r="E51" s="85">
        <v>4156</v>
      </c>
      <c r="F51" s="85" t="s">
        <v>158</v>
      </c>
      <c r="G51" s="85">
        <v>3595</v>
      </c>
      <c r="H51" s="85" t="s">
        <v>273</v>
      </c>
      <c r="I51" s="85" t="s">
        <v>480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429</v>
      </c>
      <c r="D52" s="78" t="s">
        <v>166</v>
      </c>
      <c r="E52" s="78">
        <v>4044</v>
      </c>
      <c r="F52" s="78" t="s">
        <v>481</v>
      </c>
      <c r="G52" s="78">
        <v>6971</v>
      </c>
      <c r="H52" s="78" t="s">
        <v>482</v>
      </c>
      <c r="I52" s="78" t="s">
        <v>452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429</v>
      </c>
      <c r="D53" s="85" t="s">
        <v>145</v>
      </c>
      <c r="E53" s="85">
        <v>184</v>
      </c>
      <c r="F53" s="85" t="s">
        <v>146</v>
      </c>
      <c r="G53" s="85">
        <v>185</v>
      </c>
      <c r="H53" s="85" t="s">
        <v>147</v>
      </c>
      <c r="I53" s="85" t="s">
        <v>483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70</v>
      </c>
      <c r="D54" s="78" t="s">
        <v>152</v>
      </c>
      <c r="E54" s="78">
        <v>170</v>
      </c>
      <c r="F54" s="78" t="s">
        <v>153</v>
      </c>
      <c r="G54" s="78">
        <v>3595</v>
      </c>
      <c r="H54" s="78" t="s">
        <v>273</v>
      </c>
      <c r="I54" s="78" t="s">
        <v>475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70</v>
      </c>
      <c r="D55" s="85" t="s">
        <v>145</v>
      </c>
      <c r="E55" s="85">
        <v>184</v>
      </c>
      <c r="F55" s="85" t="s">
        <v>146</v>
      </c>
      <c r="G55" s="85">
        <v>185</v>
      </c>
      <c r="H55" s="85" t="s">
        <v>147</v>
      </c>
      <c r="I55" s="85" t="s">
        <v>484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68</v>
      </c>
      <c r="D56" s="78" t="s">
        <v>152</v>
      </c>
      <c r="E56" s="78">
        <v>170</v>
      </c>
      <c r="F56" s="78" t="s">
        <v>153</v>
      </c>
      <c r="G56" s="78">
        <v>3595</v>
      </c>
      <c r="H56" s="78" t="s">
        <v>273</v>
      </c>
      <c r="I56" s="78" t="s">
        <v>475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68</v>
      </c>
      <c r="D57" s="85" t="s">
        <v>145</v>
      </c>
      <c r="E57" s="85">
        <v>184</v>
      </c>
      <c r="F57" s="85" t="s">
        <v>146</v>
      </c>
      <c r="G57" s="85">
        <v>185</v>
      </c>
      <c r="H57" s="85" t="s">
        <v>147</v>
      </c>
      <c r="I57" s="85" t="s">
        <v>484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460</v>
      </c>
      <c r="D58" s="78" t="s">
        <v>152</v>
      </c>
      <c r="E58" s="78">
        <v>170</v>
      </c>
      <c r="F58" s="78" t="s">
        <v>153</v>
      </c>
      <c r="G58" s="78">
        <v>3595</v>
      </c>
      <c r="H58" s="78" t="s">
        <v>273</v>
      </c>
      <c r="I58" s="78" t="s">
        <v>485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78</v>
      </c>
      <c r="D59" s="85" t="s">
        <v>152</v>
      </c>
      <c r="E59" s="85">
        <v>170</v>
      </c>
      <c r="F59" s="85" t="s">
        <v>153</v>
      </c>
      <c r="G59" s="85">
        <v>3595</v>
      </c>
      <c r="H59" s="85" t="s">
        <v>273</v>
      </c>
      <c r="I59" s="85" t="s">
        <v>486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78</v>
      </c>
      <c r="D60" s="78" t="s">
        <v>145</v>
      </c>
      <c r="E60" s="78">
        <v>1065</v>
      </c>
      <c r="F60" s="78" t="s">
        <v>150</v>
      </c>
      <c r="G60" s="78">
        <v>4155</v>
      </c>
      <c r="H60" s="78" t="s">
        <v>151</v>
      </c>
      <c r="I60" s="78" t="s">
        <v>487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87</v>
      </c>
      <c r="D61" s="85" t="s">
        <v>152</v>
      </c>
      <c r="E61" s="85">
        <v>170</v>
      </c>
      <c r="F61" s="85" t="s">
        <v>153</v>
      </c>
      <c r="G61" s="85">
        <v>3595</v>
      </c>
      <c r="H61" s="85" t="s">
        <v>273</v>
      </c>
      <c r="I61" s="85" t="s">
        <v>470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87</v>
      </c>
      <c r="D62" s="78" t="s">
        <v>145</v>
      </c>
      <c r="E62" s="78">
        <v>1065</v>
      </c>
      <c r="F62" s="78" t="s">
        <v>150</v>
      </c>
      <c r="G62" s="78">
        <v>4155</v>
      </c>
      <c r="H62" s="78" t="s">
        <v>151</v>
      </c>
      <c r="I62" s="78" t="s">
        <v>439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87</v>
      </c>
      <c r="D63" s="85" t="s">
        <v>191</v>
      </c>
      <c r="E63" s="85">
        <v>3988</v>
      </c>
      <c r="F63" s="85" t="s">
        <v>311</v>
      </c>
      <c r="G63" s="85">
        <v>3598</v>
      </c>
      <c r="H63" s="85" t="s">
        <v>197</v>
      </c>
      <c r="I63" s="85" t="s">
        <v>488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489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7</v>
      </c>
      <c r="B66" s="80" t="s">
        <v>490</v>
      </c>
      <c r="C66" s="81" t="s">
        <v>491</v>
      </c>
      <c r="D66" s="81" t="s">
        <v>492</v>
      </c>
      <c r="E66" s="81" t="s">
        <v>493</v>
      </c>
      <c r="F66" s="81" t="s">
        <v>126</v>
      </c>
      <c r="G66" s="81" t="s">
        <v>400</v>
      </c>
      <c r="H66" s="81"/>
      <c r="I66" s="81"/>
      <c r="J66" s="81"/>
      <c r="K66" s="81"/>
    </row>
    <row r="67" spans="1:11" ht="18" customHeight="1" x14ac:dyDescent="0.25">
      <c r="A67" s="80" t="s">
        <v>494</v>
      </c>
      <c r="B67" s="80" t="s">
        <v>495</v>
      </c>
      <c r="C67" s="81" t="s">
        <v>496</v>
      </c>
      <c r="D67" s="81" t="s">
        <v>497</v>
      </c>
      <c r="E67" s="81" t="s">
        <v>498</v>
      </c>
      <c r="F67" s="81" t="s">
        <v>404</v>
      </c>
      <c r="G67" s="81" t="s">
        <v>403</v>
      </c>
      <c r="H67" s="81"/>
      <c r="I67" s="81"/>
      <c r="J67" s="81"/>
      <c r="K67" s="81"/>
    </row>
    <row r="68" spans="1:11" ht="120" customHeight="1" x14ac:dyDescent="0.25">
      <c r="A68" s="77" t="s">
        <v>499</v>
      </c>
      <c r="B68" s="77" t="s">
        <v>500</v>
      </c>
      <c r="C68" s="78" t="s">
        <v>501</v>
      </c>
      <c r="D68" s="78" t="s">
        <v>502</v>
      </c>
      <c r="E68" s="78" t="s">
        <v>503</v>
      </c>
      <c r="F68" s="78" t="s">
        <v>504</v>
      </c>
      <c r="G68" s="78" t="s">
        <v>505</v>
      </c>
      <c r="H68" s="78"/>
      <c r="I68" s="78"/>
      <c r="J68" s="78"/>
      <c r="K68" s="78"/>
    </row>
    <row r="69" spans="1:11" ht="72" customHeight="1" x14ac:dyDescent="0.25">
      <c r="A69" s="84" t="s">
        <v>506</v>
      </c>
      <c r="B69" s="84" t="s">
        <v>507</v>
      </c>
      <c r="C69" s="85" t="s">
        <v>508</v>
      </c>
      <c r="D69" s="85" t="s">
        <v>509</v>
      </c>
      <c r="E69" s="85" t="s">
        <v>510</v>
      </c>
      <c r="F69" s="85" t="s">
        <v>511</v>
      </c>
      <c r="G69" s="91" t="s">
        <v>441</v>
      </c>
      <c r="H69" s="85"/>
      <c r="I69" s="85"/>
      <c r="J69" s="85"/>
      <c r="K69" s="85"/>
    </row>
    <row r="70" spans="1:11" ht="72" customHeight="1" x14ac:dyDescent="0.25">
      <c r="A70" s="77" t="s">
        <v>512</v>
      </c>
      <c r="B70" s="77" t="s">
        <v>513</v>
      </c>
      <c r="C70" s="78" t="s">
        <v>514</v>
      </c>
      <c r="D70" s="78" t="s">
        <v>405</v>
      </c>
      <c r="E70" s="78" t="s">
        <v>515</v>
      </c>
      <c r="F70" s="78" t="s">
        <v>511</v>
      </c>
      <c r="G70" s="92" t="s">
        <v>441</v>
      </c>
      <c r="H70" s="78"/>
      <c r="I70" s="78"/>
      <c r="J70" s="78"/>
      <c r="K70" s="78"/>
    </row>
    <row r="71" spans="1:11" ht="132" customHeight="1" x14ac:dyDescent="0.25">
      <c r="A71" s="84" t="s">
        <v>516</v>
      </c>
      <c r="B71" s="84" t="s">
        <v>517</v>
      </c>
      <c r="C71" s="85" t="s">
        <v>518</v>
      </c>
      <c r="D71" s="85" t="s">
        <v>519</v>
      </c>
      <c r="E71" s="85" t="s">
        <v>520</v>
      </c>
      <c r="F71" s="85" t="s">
        <v>521</v>
      </c>
      <c r="G71" s="91" t="s">
        <v>441</v>
      </c>
      <c r="H71" s="85"/>
      <c r="I71" s="85"/>
      <c r="J71" s="85"/>
      <c r="K71" s="85"/>
    </row>
    <row r="72" spans="1:11" ht="108" customHeight="1" x14ac:dyDescent="0.25">
      <c r="A72" s="77" t="s">
        <v>522</v>
      </c>
      <c r="B72" s="77" t="s">
        <v>523</v>
      </c>
      <c r="C72" s="78" t="s">
        <v>524</v>
      </c>
      <c r="D72" s="78" t="s">
        <v>405</v>
      </c>
      <c r="E72" s="78" t="s">
        <v>525</v>
      </c>
      <c r="F72" s="83" t="s">
        <v>404</v>
      </c>
      <c r="G72" s="82" t="s">
        <v>422</v>
      </c>
      <c r="H72" s="78"/>
      <c r="I72" s="78"/>
      <c r="J72" s="78"/>
      <c r="K72" s="78"/>
    </row>
    <row r="73" spans="1:11" ht="132" customHeight="1" x14ac:dyDescent="0.25">
      <c r="A73" s="84" t="s">
        <v>526</v>
      </c>
      <c r="B73" s="84" t="s">
        <v>527</v>
      </c>
      <c r="C73" s="85" t="s">
        <v>528</v>
      </c>
      <c r="D73" s="85" t="s">
        <v>405</v>
      </c>
      <c r="E73" s="85" t="s">
        <v>529</v>
      </c>
      <c r="F73" s="85" t="s">
        <v>521</v>
      </c>
      <c r="G73" s="91" t="s">
        <v>441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530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120</v>
      </c>
      <c r="B76" s="80" t="s">
        <v>531</v>
      </c>
      <c r="C76" s="81"/>
      <c r="D76" s="81" t="s">
        <v>532</v>
      </c>
      <c r="E76" s="81" t="s">
        <v>533</v>
      </c>
      <c r="F76" s="81"/>
      <c r="G76" s="81"/>
      <c r="H76" s="81" t="s">
        <v>400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345</v>
      </c>
      <c r="C77" s="78" t="s">
        <v>534</v>
      </c>
      <c r="D77" s="78" t="s">
        <v>151</v>
      </c>
      <c r="E77" s="78" t="s">
        <v>535</v>
      </c>
      <c r="F77" s="78"/>
      <c r="G77" s="78"/>
      <c r="H77" s="82" t="s">
        <v>403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344</v>
      </c>
      <c r="C78" s="85" t="s">
        <v>534</v>
      </c>
      <c r="D78" s="85" t="s">
        <v>150</v>
      </c>
      <c r="E78" s="85" t="s">
        <v>536</v>
      </c>
      <c r="F78" s="85"/>
      <c r="G78" s="85"/>
      <c r="H78" s="91" t="s">
        <v>441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341</v>
      </c>
      <c r="C79" s="78" t="s">
        <v>534</v>
      </c>
      <c r="D79" s="78" t="s">
        <v>146</v>
      </c>
      <c r="E79" s="78" t="s">
        <v>537</v>
      </c>
      <c r="F79" s="78"/>
      <c r="G79" s="78"/>
      <c r="H79" s="92" t="s">
        <v>441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538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395</v>
      </c>
      <c r="B82" s="80" t="s">
        <v>396</v>
      </c>
      <c r="C82" s="81" t="s">
        <v>397</v>
      </c>
      <c r="D82" s="81" t="s">
        <v>539</v>
      </c>
      <c r="E82" s="81" t="s">
        <v>540</v>
      </c>
      <c r="F82" s="81" t="s">
        <v>399</v>
      </c>
      <c r="G82" s="81"/>
      <c r="H82" s="81" t="s">
        <v>400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86</v>
      </c>
      <c r="D83" s="78" t="s">
        <v>541</v>
      </c>
      <c r="E83" s="78" t="s">
        <v>542</v>
      </c>
      <c r="F83" s="78" t="s">
        <v>543</v>
      </c>
      <c r="G83" s="78"/>
      <c r="H83" s="82" t="s">
        <v>403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85</v>
      </c>
      <c r="D84" s="85" t="s">
        <v>541</v>
      </c>
      <c r="E84" s="85" t="s">
        <v>542</v>
      </c>
      <c r="F84" s="85" t="s">
        <v>543</v>
      </c>
      <c r="G84" s="85"/>
      <c r="H84" s="86" t="s">
        <v>403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31</v>
      </c>
      <c r="D85" s="78" t="s">
        <v>541</v>
      </c>
      <c r="E85" s="78" t="s">
        <v>542</v>
      </c>
      <c r="F85" s="78" t="s">
        <v>543</v>
      </c>
      <c r="G85" s="78"/>
      <c r="H85" s="82" t="s">
        <v>403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78</v>
      </c>
      <c r="D86" s="85" t="s">
        <v>541</v>
      </c>
      <c r="E86" s="85" t="s">
        <v>542</v>
      </c>
      <c r="F86" s="85" t="s">
        <v>543</v>
      </c>
      <c r="G86" s="85"/>
      <c r="H86" s="86" t="s">
        <v>403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87</v>
      </c>
      <c r="D87" s="78" t="s">
        <v>541</v>
      </c>
      <c r="E87" s="78" t="s">
        <v>542</v>
      </c>
      <c r="F87" s="78" t="s">
        <v>543</v>
      </c>
      <c r="G87" s="78"/>
      <c r="H87" s="82" t="s">
        <v>403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82</v>
      </c>
      <c r="D88" s="85" t="s">
        <v>541</v>
      </c>
      <c r="E88" s="85" t="s">
        <v>542</v>
      </c>
      <c r="F88" s="85" t="s">
        <v>543</v>
      </c>
      <c r="G88" s="85"/>
      <c r="H88" s="86" t="s">
        <v>403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83</v>
      </c>
      <c r="D89" s="78" t="s">
        <v>541</v>
      </c>
      <c r="E89" s="78" t="s">
        <v>542</v>
      </c>
      <c r="F89" s="78" t="s">
        <v>543</v>
      </c>
      <c r="G89" s="78"/>
      <c r="H89" s="82" t="s">
        <v>403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80</v>
      </c>
      <c r="D90" s="85" t="s">
        <v>541</v>
      </c>
      <c r="E90" s="85" t="s">
        <v>542</v>
      </c>
      <c r="F90" s="85" t="s">
        <v>543</v>
      </c>
      <c r="G90" s="85"/>
      <c r="H90" s="86" t="s">
        <v>403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544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545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546</v>
      </c>
      <c r="B94" s="80"/>
      <c r="C94" s="81" t="s">
        <v>490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547</v>
      </c>
      <c r="B95" s="77"/>
      <c r="C95" s="78" t="s">
        <v>548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549</v>
      </c>
      <c r="B96" s="84"/>
      <c r="C96" s="85" t="s">
        <v>550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551</v>
      </c>
      <c r="B97" s="77"/>
      <c r="C97" s="78" t="s">
        <v>552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553</v>
      </c>
      <c r="B98" s="84"/>
      <c r="C98" s="85" t="s">
        <v>554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555</v>
      </c>
      <c r="B99" s="77"/>
      <c r="C99" s="78" t="s">
        <v>556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557</v>
      </c>
      <c r="B100" s="84"/>
      <c r="C100" s="85" t="s">
        <v>558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559</v>
      </c>
      <c r="B102" s="80" t="s">
        <v>560</v>
      </c>
      <c r="C102" s="81" t="s">
        <v>561</v>
      </c>
      <c r="D102" s="81"/>
      <c r="E102" s="81"/>
      <c r="F102" s="81"/>
      <c r="G102" s="81"/>
      <c r="H102" s="81" t="s">
        <v>400</v>
      </c>
      <c r="I102" s="81"/>
      <c r="J102" s="81"/>
      <c r="K102" s="81"/>
    </row>
    <row r="103" spans="1:11" ht="36" customHeight="1" x14ac:dyDescent="0.25">
      <c r="A103" s="77" t="s">
        <v>499</v>
      </c>
      <c r="B103" s="77" t="s">
        <v>562</v>
      </c>
      <c r="C103" s="78" t="s">
        <v>563</v>
      </c>
      <c r="D103" s="78"/>
      <c r="E103" s="78"/>
      <c r="F103" s="78"/>
      <c r="G103" s="78"/>
      <c r="H103" s="82" t="s">
        <v>403</v>
      </c>
      <c r="I103" s="78"/>
      <c r="J103" s="78"/>
      <c r="K103" s="78"/>
    </row>
    <row r="104" spans="1:11" ht="24" customHeight="1" x14ac:dyDescent="0.25">
      <c r="A104" s="84" t="s">
        <v>564</v>
      </c>
      <c r="B104" s="84" t="s">
        <v>565</v>
      </c>
      <c r="C104" s="85" t="s">
        <v>566</v>
      </c>
      <c r="D104" s="85"/>
      <c r="E104" s="85"/>
      <c r="F104" s="85"/>
      <c r="G104" s="85"/>
      <c r="H104" s="91" t="s">
        <v>441</v>
      </c>
      <c r="I104" s="85"/>
      <c r="J104" s="85"/>
      <c r="K104" s="85"/>
    </row>
    <row r="105" spans="1:11" ht="24" customHeight="1" x14ac:dyDescent="0.25">
      <c r="A105" s="77" t="s">
        <v>567</v>
      </c>
      <c r="B105" s="77" t="s">
        <v>568</v>
      </c>
      <c r="C105" s="78" t="s">
        <v>569</v>
      </c>
      <c r="D105" s="78"/>
      <c r="E105" s="78"/>
      <c r="F105" s="78"/>
      <c r="G105" s="78"/>
      <c r="H105" s="92" t="s">
        <v>441</v>
      </c>
      <c r="I105" s="78"/>
      <c r="J105" s="78"/>
      <c r="K105" s="78"/>
    </row>
    <row r="106" spans="1:11" ht="24" customHeight="1" x14ac:dyDescent="0.25">
      <c r="A106" s="84" t="s">
        <v>570</v>
      </c>
      <c r="B106" s="84" t="s">
        <v>571</v>
      </c>
      <c r="C106" s="85" t="s">
        <v>572</v>
      </c>
      <c r="D106" s="85"/>
      <c r="E106" s="85"/>
      <c r="F106" s="85"/>
      <c r="G106" s="85"/>
      <c r="H106" s="85" t="s">
        <v>505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573</v>
      </c>
      <c r="B108" s="80" t="s">
        <v>120</v>
      </c>
      <c r="C108" s="81" t="s">
        <v>574</v>
      </c>
      <c r="D108" s="81"/>
      <c r="E108" s="81" t="s">
        <v>575</v>
      </c>
      <c r="F108" s="81"/>
      <c r="G108" s="81" t="s">
        <v>576</v>
      </c>
      <c r="H108" s="81" t="s">
        <v>577</v>
      </c>
      <c r="I108" s="81" t="s">
        <v>578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359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579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368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580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363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581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301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582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361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583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584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585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586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585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360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587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303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588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373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589</v>
      </c>
      <c r="J118" s="85"/>
      <c r="K118" s="85"/>
    </row>
    <row r="119" spans="1:11" x14ac:dyDescent="0.25">
      <c r="A119" s="77" t="s">
        <v>590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591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592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593</v>
      </c>
      <c r="B3" s="71" t="s">
        <v>395</v>
      </c>
      <c r="C3" s="71" t="s">
        <v>16</v>
      </c>
      <c r="D3" s="71" t="s">
        <v>594</v>
      </c>
      <c r="E3" s="71" t="s">
        <v>595</v>
      </c>
      <c r="F3" s="71" t="s">
        <v>596</v>
      </c>
      <c r="G3" s="71" t="s">
        <v>126</v>
      </c>
      <c r="H3" s="71" t="s">
        <v>597</v>
      </c>
      <c r="I3" s="71" t="s">
        <v>598</v>
      </c>
    </row>
    <row r="4" spans="1:9" ht="15" customHeight="1" x14ac:dyDescent="0.25">
      <c r="A4" s="235">
        <v>1</v>
      </c>
      <c r="B4" s="235"/>
      <c r="C4" s="236" t="s">
        <v>599</v>
      </c>
      <c r="D4" s="236" t="s">
        <v>600</v>
      </c>
      <c r="E4" s="235" t="s">
        <v>601</v>
      </c>
      <c r="F4" s="237">
        <v>8280</v>
      </c>
      <c r="G4" s="235" t="s">
        <v>602</v>
      </c>
      <c r="H4" s="238" t="s">
        <v>603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4050</v>
      </c>
      <c r="C5" s="236" t="s">
        <v>81</v>
      </c>
      <c r="D5" s="236" t="s">
        <v>82</v>
      </c>
      <c r="E5" s="235" t="s">
        <v>604</v>
      </c>
      <c r="F5" s="237">
        <v>9450</v>
      </c>
      <c r="G5" s="235" t="s">
        <v>602</v>
      </c>
      <c r="H5" s="238" t="s">
        <v>603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5">
        <v>3</v>
      </c>
      <c r="B6" s="235">
        <v>6337</v>
      </c>
      <c r="C6" s="236" t="s">
        <v>84</v>
      </c>
      <c r="D6" s="236" t="s">
        <v>86</v>
      </c>
      <c r="E6" s="235" t="s">
        <v>604</v>
      </c>
      <c r="F6" s="237">
        <v>15680</v>
      </c>
      <c r="G6" s="235" t="s">
        <v>602</v>
      </c>
      <c r="H6" s="238" t="s">
        <v>603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6416</v>
      </c>
      <c r="C7" s="236" t="s">
        <v>84</v>
      </c>
      <c r="D7" s="236" t="s">
        <v>85</v>
      </c>
      <c r="E7" s="235" t="s">
        <v>604</v>
      </c>
      <c r="F7" s="237">
        <v>15435</v>
      </c>
      <c r="G7" s="235" t="s">
        <v>602</v>
      </c>
      <c r="H7" s="238" t="s">
        <v>603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5782</v>
      </c>
      <c r="C8" s="236" t="s">
        <v>91</v>
      </c>
      <c r="D8" s="236" t="s">
        <v>92</v>
      </c>
      <c r="E8" s="235" t="s">
        <v>605</v>
      </c>
      <c r="F8" s="237">
        <v>74464</v>
      </c>
      <c r="G8" s="235" t="s">
        <v>602</v>
      </c>
      <c r="H8" s="238" t="s">
        <v>603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5">
        <v>6</v>
      </c>
      <c r="B9" s="235">
        <v>6531</v>
      </c>
      <c r="C9" s="236" t="s">
        <v>93</v>
      </c>
      <c r="D9" s="236" t="s">
        <v>95</v>
      </c>
      <c r="E9" s="235" t="s">
        <v>606</v>
      </c>
      <c r="F9" s="237">
        <v>4320</v>
      </c>
      <c r="G9" s="235" t="s">
        <v>602</v>
      </c>
      <c r="H9" s="238" t="s">
        <v>603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6530</v>
      </c>
      <c r="C10" s="236" t="s">
        <v>93</v>
      </c>
      <c r="D10" s="236" t="s">
        <v>94</v>
      </c>
      <c r="E10" s="235" t="s">
        <v>606</v>
      </c>
      <c r="F10" s="237">
        <v>4500</v>
      </c>
      <c r="G10" s="235" t="s">
        <v>602</v>
      </c>
      <c r="H10" s="238" t="s">
        <v>603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5">
        <v>8</v>
      </c>
      <c r="B11" s="235"/>
      <c r="C11" s="236" t="s">
        <v>27</v>
      </c>
      <c r="D11" s="236" t="s">
        <v>607</v>
      </c>
      <c r="E11" s="235" t="s">
        <v>608</v>
      </c>
      <c r="F11" s="237">
        <v>23520</v>
      </c>
      <c r="G11" s="235" t="s">
        <v>602</v>
      </c>
      <c r="H11" s="238" t="s">
        <v>609</v>
      </c>
      <c r="I11" s="72">
        <f>IFERROR(SUMPRODUCT((TableBOM[Product ID]=B11)*(TableBOM[Material Category]="CAP")*TableBOM[Item ID]),0)</f>
        <v>0</v>
      </c>
    </row>
    <row r="12" spans="1:9" ht="15" customHeight="1" x14ac:dyDescent="0.25">
      <c r="A12" s="239">
        <v>9</v>
      </c>
      <c r="B12" s="239"/>
      <c r="C12" s="240" t="s">
        <v>599</v>
      </c>
      <c r="D12" s="240" t="s">
        <v>600</v>
      </c>
      <c r="E12" s="239" t="s">
        <v>601</v>
      </c>
      <c r="F12" s="241">
        <v>4600</v>
      </c>
      <c r="G12" s="239" t="s">
        <v>610</v>
      </c>
      <c r="H12" s="242" t="s">
        <v>611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>
        <v>8001</v>
      </c>
      <c r="C13" s="240" t="s">
        <v>44</v>
      </c>
      <c r="D13" s="240" t="s">
        <v>45</v>
      </c>
      <c r="E13" s="239" t="s">
        <v>601</v>
      </c>
      <c r="F13" s="241">
        <v>27140</v>
      </c>
      <c r="G13" s="239" t="s">
        <v>610</v>
      </c>
      <c r="H13" s="242" t="s">
        <v>611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/>
      <c r="C14" s="240" t="s">
        <v>27</v>
      </c>
      <c r="D14" s="240" t="s">
        <v>607</v>
      </c>
      <c r="E14" s="239" t="s">
        <v>608</v>
      </c>
      <c r="F14" s="241">
        <v>43008</v>
      </c>
      <c r="G14" s="239" t="s">
        <v>610</v>
      </c>
      <c r="H14" s="242" t="s">
        <v>612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>
        <v>6206</v>
      </c>
      <c r="C15" s="240" t="s">
        <v>30</v>
      </c>
      <c r="D15" s="240" t="s">
        <v>31</v>
      </c>
      <c r="E15" s="239" t="s">
        <v>604</v>
      </c>
      <c r="F15" s="241">
        <v>59842</v>
      </c>
      <c r="G15" s="239" t="s">
        <v>610</v>
      </c>
      <c r="H15" s="242" t="s">
        <v>612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>
        <v>6530</v>
      </c>
      <c r="C16" s="240" t="s">
        <v>93</v>
      </c>
      <c r="D16" s="240" t="s">
        <v>94</v>
      </c>
      <c r="E16" s="239" t="s">
        <v>606</v>
      </c>
      <c r="F16" s="241">
        <v>11340</v>
      </c>
      <c r="G16" s="239" t="s">
        <v>610</v>
      </c>
      <c r="H16" s="242" t="s">
        <v>613</v>
      </c>
      <c r="I16" s="73">
        <f>IFERROR(SUMPRODUCT((TableBOM[Product ID]=B16)*(TableBOM[Material Category]="CAP")*TableBOM[Item ID]),0)</f>
        <v>578</v>
      </c>
    </row>
    <row r="17" spans="1:9" ht="15" customHeight="1" x14ac:dyDescent="0.25">
      <c r="A17" s="235">
        <v>14</v>
      </c>
      <c r="B17" s="235">
        <v>5699</v>
      </c>
      <c r="C17" s="236" t="s">
        <v>27</v>
      </c>
      <c r="D17" s="236" t="s">
        <v>59</v>
      </c>
      <c r="E17" s="235" t="s">
        <v>614</v>
      </c>
      <c r="F17" s="237">
        <v>14790</v>
      </c>
      <c r="G17" s="235" t="s">
        <v>602</v>
      </c>
      <c r="H17" s="238" t="s">
        <v>615</v>
      </c>
      <c r="I17" s="73">
        <f>IFERROR(SUMPRODUCT((TableBOM[Product ID]=B17)*(TableBOM[Material Category]="CAP")*TableBOM[Item ID]),0)</f>
        <v>6971</v>
      </c>
    </row>
    <row r="18" spans="1:9" ht="15" customHeight="1" x14ac:dyDescent="0.25">
      <c r="A18" s="235">
        <v>15</v>
      </c>
      <c r="B18" s="235">
        <v>5731</v>
      </c>
      <c r="C18" s="236" t="s">
        <v>27</v>
      </c>
      <c r="D18" s="236" t="s">
        <v>61</v>
      </c>
      <c r="E18" s="235" t="s">
        <v>614</v>
      </c>
      <c r="F18" s="237">
        <v>13770</v>
      </c>
      <c r="G18" s="235" t="s">
        <v>602</v>
      </c>
      <c r="H18" s="238" t="s">
        <v>615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9">
        <v>16</v>
      </c>
      <c r="B19" s="239">
        <v>6624</v>
      </c>
      <c r="C19" s="240" t="s">
        <v>27</v>
      </c>
      <c r="D19" s="240" t="s">
        <v>55</v>
      </c>
      <c r="E19" s="239" t="s">
        <v>616</v>
      </c>
      <c r="F19" s="241">
        <v>15876</v>
      </c>
      <c r="G19" s="239" t="s">
        <v>610</v>
      </c>
      <c r="H19" s="242" t="s">
        <v>615</v>
      </c>
      <c r="I19" s="73">
        <f>IFERROR(SUMPRODUCT((TableBOM[Product ID]=B19)*(TableBOM[Material Category]="CAP")*TableBOM[Item ID]),0)</f>
        <v>80</v>
      </c>
    </row>
    <row r="20" spans="1:9" ht="15" customHeight="1" x14ac:dyDescent="0.25">
      <c r="A20" s="239">
        <v>17</v>
      </c>
      <c r="B20" s="239">
        <v>5731</v>
      </c>
      <c r="C20" s="240" t="s">
        <v>27</v>
      </c>
      <c r="D20" s="240" t="s">
        <v>61</v>
      </c>
      <c r="E20" s="239" t="s">
        <v>614</v>
      </c>
      <c r="F20" s="241">
        <v>33660</v>
      </c>
      <c r="G20" s="239" t="s">
        <v>610</v>
      </c>
      <c r="H20" s="242" t="s">
        <v>615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43"/>
      <c r="B21" s="243"/>
      <c r="C21" s="244"/>
      <c r="D21" s="244"/>
      <c r="E21" s="243"/>
      <c r="F21" s="245"/>
      <c r="G21" s="243"/>
      <c r="H21" s="246"/>
      <c r="I21" s="73">
        <f>IFERROR(SUMPRODUCT((TableBOM[Product ID]=B21)*(TableBOM[Material Category]="CAP")*TableBOM[Item ID]),0)</f>
        <v>0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2026-08-15T08:41:28Z</dcterms:modified>
  <cp:category>Operations</cp:category>
  <dc:language>en-US</dc:language>
</cp:coreProperties>
</file>