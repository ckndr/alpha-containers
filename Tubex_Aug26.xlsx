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BE546F357BC9F1F21496795FEC2937CC63BAAD66" xr6:coauthVersionLast="47" xr6:coauthVersionMax="47" xr10:uidLastSave="{00000000-0000-0000-0000-000000000000}"/>
  <bookViews>
    <workbookView xWindow="2340" yWindow="234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21" i="1"/>
  <c r="H20" i="1"/>
  <c r="N19" i="1"/>
  <c r="H19" i="1"/>
  <c r="N18" i="1"/>
  <c r="H18" i="1"/>
  <c r="G18" i="1"/>
  <c r="N17" i="1"/>
  <c r="H17" i="1"/>
  <c r="N16" i="1"/>
  <c r="H16" i="1"/>
  <c r="H22" i="1" s="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F109" i="2"/>
  <c r="F108" i="2"/>
  <c r="F107" i="2"/>
  <c r="F106" i="2"/>
  <c r="F105" i="2"/>
  <c r="F104" i="2"/>
  <c r="F103" i="2"/>
  <c r="G99" i="2"/>
  <c r="H99" i="2" s="1"/>
  <c r="G98" i="2"/>
  <c r="H98" i="2" s="1"/>
  <c r="G97" i="2"/>
  <c r="F97" i="2"/>
  <c r="H97" i="2" s="1"/>
  <c r="G96" i="2"/>
  <c r="H96" i="2" s="1"/>
  <c r="G95" i="2"/>
  <c r="H95" i="2" s="1"/>
  <c r="G94" i="2"/>
  <c r="G100" i="2" s="1"/>
  <c r="F94"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J54" i="1" l="1"/>
  <c r="I54" i="1"/>
  <c r="J66" i="1"/>
  <c r="I66" i="1"/>
  <c r="I65" i="1"/>
  <c r="J65" i="1"/>
  <c r="J64" i="1"/>
  <c r="I64" i="1"/>
  <c r="I63" i="1"/>
  <c r="J63" i="1"/>
  <c r="J62" i="1"/>
  <c r="I62" i="1"/>
  <c r="J61" i="1"/>
  <c r="I61" i="1"/>
  <c r="I60" i="1"/>
  <c r="J60" i="1"/>
  <c r="I59" i="1"/>
  <c r="J59" i="1"/>
  <c r="I58" i="1"/>
  <c r="J58" i="1"/>
  <c r="I57" i="1"/>
  <c r="J57" i="1"/>
  <c r="J56" i="1"/>
  <c r="I56" i="1"/>
  <c r="J55" i="1"/>
  <c r="I55" i="1"/>
  <c r="I53" i="1"/>
  <c r="J53" i="1"/>
  <c r="I52" i="1"/>
  <c r="J52" i="1"/>
  <c r="I51" i="1"/>
  <c r="J51" i="1"/>
  <c r="I50" i="1"/>
  <c r="J50" i="1"/>
  <c r="J49" i="1"/>
  <c r="I49" i="1"/>
  <c r="I48" i="1"/>
  <c r="J48" i="1"/>
  <c r="J47" i="1"/>
  <c r="I47" i="1"/>
  <c r="I46" i="1"/>
  <c r="J46" i="1"/>
  <c r="I45" i="1"/>
  <c r="J45" i="1"/>
  <c r="I44" i="1"/>
  <c r="J44" i="1"/>
  <c r="J43" i="1"/>
  <c r="I43" i="1"/>
  <c r="J42" i="1"/>
  <c r="I42" i="1"/>
  <c r="J41" i="1"/>
  <c r="I41" i="1"/>
  <c r="I40" i="1"/>
  <c r="J40" i="1"/>
  <c r="J39" i="1"/>
  <c r="I39" i="1"/>
  <c r="J38" i="1"/>
  <c r="I38" i="1"/>
  <c r="J37" i="1"/>
  <c r="I37" i="1"/>
  <c r="J36" i="1"/>
  <c r="I36" i="1"/>
  <c r="J35" i="1"/>
  <c r="I35" i="1"/>
  <c r="I34" i="1"/>
  <c r="J34" i="1"/>
  <c r="J33" i="1"/>
  <c r="I33" i="1"/>
  <c r="J32" i="1"/>
  <c r="I32" i="1"/>
  <c r="I31" i="1"/>
  <c r="J31" i="1"/>
  <c r="I30" i="1"/>
  <c r="J30" i="1"/>
  <c r="J29" i="1"/>
  <c r="I29" i="1"/>
  <c r="I28" i="1"/>
  <c r="J28" i="1"/>
  <c r="I27" i="1"/>
  <c r="J27" i="1"/>
  <c r="J26" i="1"/>
  <c r="I26" i="1"/>
  <c r="J25" i="1"/>
  <c r="I25" i="1"/>
  <c r="J24" i="1"/>
  <c r="I24" i="1"/>
  <c r="J23" i="1"/>
  <c r="I23" i="1"/>
  <c r="I21" i="1"/>
  <c r="J21" i="1"/>
  <c r="I20" i="1"/>
  <c r="J20" i="1"/>
  <c r="I19" i="1"/>
  <c r="J19" i="1"/>
  <c r="J18" i="1"/>
  <c r="I18" i="1"/>
  <c r="J17" i="1"/>
  <c r="I17" i="1"/>
  <c r="N20" i="1"/>
  <c r="O15" i="1"/>
  <c r="J14" i="1"/>
  <c r="I14" i="1"/>
  <c r="I13" i="1"/>
  <c r="J13" i="1"/>
  <c r="H3" i="2"/>
  <c r="G5" i="2"/>
  <c r="I12" i="1"/>
  <c r="J12" i="1"/>
  <c r="I11" i="1"/>
  <c r="I15" i="1" s="1"/>
  <c r="J11" i="1"/>
  <c r="G15" i="1"/>
  <c r="N11" i="1"/>
  <c r="O7" i="1"/>
  <c r="E108" i="2"/>
  <c r="H94" i="2"/>
  <c r="F100" i="2"/>
  <c r="G16" i="1"/>
  <c r="O16" i="1" l="1"/>
  <c r="O17" i="1"/>
  <c r="O18" i="1"/>
  <c r="O19"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E71" i="2"/>
  <c r="H71" i="2"/>
  <c r="J71" i="2"/>
  <c r="E74" i="2"/>
  <c r="H74" i="2"/>
  <c r="J74" i="2"/>
  <c r="E77" i="2"/>
  <c r="H77" i="2"/>
  <c r="J77" i="2"/>
  <c r="E80" i="2"/>
  <c r="H80" i="2"/>
  <c r="J80" i="2"/>
  <c r="E82" i="2"/>
  <c r="H82" i="2"/>
  <c r="J82" i="2"/>
  <c r="E84" i="2"/>
  <c r="H84" i="2"/>
  <c r="J84" i="2"/>
  <c r="E86" i="2"/>
  <c r="H86" i="2"/>
  <c r="J86" i="2"/>
  <c r="E88" i="2"/>
  <c r="H88" i="2"/>
  <c r="J88" i="2"/>
  <c r="H70" i="2"/>
  <c r="J70" i="2"/>
  <c r="E73" i="2"/>
  <c r="H73" i="2"/>
  <c r="J73" i="2"/>
  <c r="E76" i="2"/>
  <c r="H76" i="2"/>
  <c r="J76" i="2"/>
  <c r="E79" i="2"/>
  <c r="H79" i="2"/>
  <c r="J79" i="2"/>
  <c r="E81" i="2"/>
  <c r="H81" i="2"/>
  <c r="J81" i="2"/>
  <c r="E83" i="2"/>
  <c r="H83" i="2"/>
  <c r="J83" i="2"/>
  <c r="E85" i="2"/>
  <c r="H85" i="2"/>
  <c r="J85" i="2"/>
  <c r="E87" i="2"/>
  <c r="H87" i="2"/>
  <c r="J87" i="2"/>
  <c r="E89" i="2"/>
  <c r="H89" i="2"/>
  <c r="J89" i="2"/>
  <c r="E72" i="2"/>
  <c r="H72" i="2"/>
  <c r="J72" i="2"/>
  <c r="E75" i="2"/>
  <c r="H75" i="2"/>
  <c r="J75" i="2"/>
  <c r="E78" i="2"/>
  <c r="H78" i="2"/>
  <c r="J78" i="2"/>
  <c r="O8" i="1"/>
  <c r="O9" i="1"/>
  <c r="O10" i="1"/>
  <c r="G108" i="2"/>
  <c r="I108" i="2"/>
  <c r="H100" i="2"/>
  <c r="J104" i="2"/>
  <c r="J106" i="2"/>
  <c r="J108" i="2"/>
  <c r="J109" i="2"/>
  <c r="J103" i="2"/>
  <c r="J105" i="2"/>
  <c r="J107" i="2"/>
  <c r="I16" i="1"/>
  <c r="I22" i="1" s="1"/>
  <c r="J16" i="1"/>
  <c r="G22" i="1"/>
  <c r="E105" i="2"/>
  <c r="E107" i="2"/>
  <c r="H103" i="2"/>
  <c r="H106" i="2"/>
  <c r="H109" i="2"/>
  <c r="E106" i="2"/>
  <c r="E103" i="2"/>
  <c r="H108" i="2"/>
  <c r="H105" i="2"/>
  <c r="H104" i="2"/>
  <c r="E109" i="2"/>
  <c r="E104" i="2"/>
  <c r="H107" i="2"/>
  <c r="G8" i="2" l="1"/>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0" i="2"/>
  <c r="I70" i="2"/>
  <c r="G71" i="2"/>
  <c r="I71" i="2"/>
  <c r="G74" i="2"/>
  <c r="I74" i="2"/>
  <c r="G77" i="2"/>
  <c r="I77" i="2"/>
  <c r="G80" i="2"/>
  <c r="I80" i="2"/>
  <c r="G82" i="2"/>
  <c r="I82" i="2"/>
  <c r="G84" i="2"/>
  <c r="I84" i="2"/>
  <c r="G86" i="2"/>
  <c r="I86" i="2"/>
  <c r="G88" i="2"/>
  <c r="I88" i="2"/>
  <c r="G73" i="2"/>
  <c r="I73" i="2"/>
  <c r="G76" i="2"/>
  <c r="I76" i="2"/>
  <c r="G79" i="2"/>
  <c r="I79" i="2"/>
  <c r="G81" i="2"/>
  <c r="I81" i="2"/>
  <c r="G83" i="2"/>
  <c r="I83" i="2"/>
  <c r="G85" i="2"/>
  <c r="I85" i="2"/>
  <c r="G87" i="2"/>
  <c r="I87" i="2"/>
  <c r="G89" i="2"/>
  <c r="I89" i="2"/>
  <c r="G72" i="2"/>
  <c r="I72" i="2"/>
  <c r="G75" i="2"/>
  <c r="I75" i="2"/>
  <c r="G78" i="2"/>
  <c r="I78" i="2"/>
  <c r="G105" i="2"/>
  <c r="I105" i="2" s="1"/>
  <c r="G107" i="2"/>
  <c r="I107" i="2" s="1"/>
  <c r="G106" i="2"/>
  <c r="I106" i="2" s="1"/>
  <c r="G103" i="2"/>
  <c r="I103" i="2" s="1"/>
  <c r="G109" i="2"/>
  <c r="I109" i="2" s="1"/>
  <c r="G104" i="2"/>
  <c r="I104" i="2" s="1"/>
</calcChain>
</file>

<file path=xl/sharedStrings.xml><?xml version="1.0" encoding="utf-8"?>
<sst xmlns="http://schemas.openxmlformats.org/spreadsheetml/2006/main" count="4318" uniqueCount="661">
  <si>
    <t>AUGUST 2026 Tube Required Orders</t>
  </si>
  <si>
    <t>Date:</t>
  </si>
  <si>
    <t>Dia</t>
  </si>
  <si>
    <t>Customer</t>
  </si>
  <si>
    <t>Product Name</t>
  </si>
  <si>
    <t>Product ID</t>
  </si>
  <si>
    <t>Job Order #</t>
  </si>
  <si>
    <t>Required Qty</t>
  </si>
  <si>
    <t>Produced</t>
  </si>
  <si>
    <t>Remaining Balance</t>
  </si>
  <si>
    <t>Remarks</t>
  </si>
  <si>
    <t>Golden Pearl Cosmetics (PVT) LTD</t>
  </si>
  <si>
    <t>HELLO HAIR COLOR</t>
  </si>
  <si>
    <t>Mablay Beauty PVT LTD.</t>
  </si>
  <si>
    <t>VINCE NURTURAL</t>
  </si>
  <si>
    <t>Cap Shortage</t>
  </si>
  <si>
    <t>TOTAL:</t>
  </si>
  <si>
    <t>JULY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</si>
  <si>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</si>
  <si>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</si>
  <si>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</si>
  <si>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</si>
  <si>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</si>
  <si>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</si>
  <si>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</si>
  <si>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</si>
  <si>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</si>
  <si>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</si>
  <si>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</si>
  <si>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</si>
  <si>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</si>
  <si>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</si>
  <si>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</si>
  <si>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</si>
  <si>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</si>
  <si>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</si>
  <si>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</si>
  <si>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</si>
  <si>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</si>
  <si>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</si>
  <si>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</si>
  <si>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</si>
  <si>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</si>
  <si>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</si>
  <si>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</si>
  <si>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</si>
  <si>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</si>
  <si>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</si>
  <si>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</si>
  <si>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</si>
  <si>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</si>
  <si>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</si>
  <si>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</si>
  <si>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</si>
  <si>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</si>
  <si>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</si>
  <si>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</si>
  <si>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</si>
  <si>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</si>
  <si>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</si>
  <si>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</si>
  <si>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</si>
  <si>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</si>
  <si>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</si>
  <si>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</si>
  <si>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</si>
  <si>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</si>
  <si>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</si>
  <si>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</si>
  <si>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</si>
  <si>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</si>
  <si>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</si>
  <si>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</si>
  <si>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</si>
  <si>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</si>
  <si>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</si>
  <si>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</si>
  <si>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</si>
  <si>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</si>
  <si>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</si>
  <si>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</si>
  <si>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</si>
  <si>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</si>
  <si>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</si>
  <si>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</si>
  <si>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</si>
  <si>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</si>
  <si>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</si>
  <si>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</si>
  <si>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</si>
  <si>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</si>
  <si>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</si>
  <si>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</si>
  <si>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</si>
  <si>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</si>
  <si>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</si>
  <si>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</si>
  <si>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</si>
  <si>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</si>
  <si>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</si>
  <si>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</si>
  <si>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</si>
  <si>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</si>
  <si>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</si>
  <si>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</si>
  <si>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</si>
  <si>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</si>
  <si>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</si>
  <si>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</si>
  <si>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</si>
  <si>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</si>
  <si>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</si>
  <si>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</si>
  <si>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</si>
  <si>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</si>
  <si>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</si>
  <si>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</si>
  <si>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</si>
  <si>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</si>
  <si>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</si>
  <si>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</si>
  <si>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</si>
  <si>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</si>
  <si>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</si>
  <si>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</si>
  <si>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</si>
  <si>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</si>
  <si>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120 ml</t>
  </si>
  <si>
    <t>Samsol International Private Limited</t>
  </si>
  <si>
    <t>PET BOTTLE SMALL (120ML) YELLOW</t>
  </si>
  <si>
    <t>337, 345 &amp; 350</t>
  </si>
  <si>
    <t>130 ml</t>
  </si>
  <si>
    <t>PET BOTTLE 130ML WHITE</t>
  </si>
  <si>
    <t>PET BOTTLE SMALL (130ML) TRANSPARENT</t>
  </si>
  <si>
    <t>150 ml</t>
  </si>
  <si>
    <t>Alpha Labs PVT LTD</t>
  </si>
  <si>
    <t>PET BOTTLE (150ML)TRANSPARENT BODY MIST</t>
  </si>
  <si>
    <t>341 &amp; 347</t>
  </si>
  <si>
    <t>15k Rejected</t>
  </si>
  <si>
    <t>Horizon Chem</t>
  </si>
  <si>
    <t>200 ml</t>
  </si>
  <si>
    <t>PET BOTTLE LARGE (200 ML) YELLOW</t>
  </si>
  <si>
    <t>AUGUST PET MATERIAL REQUIREMENT PLAN</t>
  </si>
  <si>
    <t>Carton</t>
  </si>
  <si>
    <t>Poly Bag</t>
  </si>
  <si>
    <t>POLY BAG 24X36 (LDPE)</t>
  </si>
  <si>
    <t>TUBEX  — August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</si>
  <si>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</si>
  <si>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</si>
  <si>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</si>
  <si>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</si>
  <si>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</si>
  <si>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</si>
  <si>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</si>
  <si>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</si>
  <si>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</si>
  <si>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</si>
  <si>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</si>
  <si>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</si>
  <si>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Mechanical</t>
  </si>
  <si>
    <t>Summary of Production &amp; Dispatch - MTD</t>
  </si>
  <si>
    <t>Operations</t>
  </si>
  <si>
    <t>Type</t>
  </si>
  <si>
    <t>Prod ID</t>
  </si>
  <si>
    <t>Orders</t>
  </si>
  <si>
    <t>MTD Produced</t>
  </si>
  <si>
    <t>Remaining</t>
  </si>
  <si>
    <t>Compliance</t>
  </si>
  <si>
    <t>Dispatch</t>
  </si>
  <si>
    <t>Changeover</t>
  </si>
  <si>
    <t>S-45</t>
  </si>
  <si>
    <t>Produced without Orders</t>
  </si>
  <si>
    <t>TOTAL</t>
  </si>
  <si>
    <t>100%</t>
  </si>
  <si>
    <t>PF Machine Downtime – MTD (PET)</t>
  </si>
  <si>
    <t>Hola Hair</t>
  </si>
  <si>
    <t>H.H 100GM</t>
  </si>
  <si>
    <t>Electrical</t>
  </si>
  <si>
    <t>TRANSPARENT BOTTLE 150ML</t>
  </si>
  <si>
    <t>15k pieces rejected</t>
  </si>
  <si>
    <t>Power Shutdown</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</si>
  <si>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</si>
  <si>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</si>
  <si>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</si>
  <si>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</si>
  <si>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</si>
  <si>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</si>
  <si>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</si>
  <si>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</si>
  <si>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</si>
  <si>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</si>
  <si>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</si>
  <si>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</si>
  <si>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</si>
  <si>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</si>
  <si>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</si>
  <si>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</si>
  <si>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</si>
  <si>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</si>
  <si>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</si>
  <si>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</si>
  <si>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</si>
  <si>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</si>
  <si>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</si>
  <si>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</si>
  <si>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</si>
  <si>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</si>
  <si>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</si>
  <si>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</si>
  <si>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</si>
  <si>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</si>
  <si>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</si>
  <si>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</si>
  <si>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</si>
  <si>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</si>
  <si>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</si>
  <si>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</si>
  <si>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</si>
  <si>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</si>
  <si>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</si>
  <si>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</si>
  <si>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</si>
  <si>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</si>
  <si>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</si>
  <si>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</si>
  <si>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</si>
  <si>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</si>
  <si>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</si>
  <si>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</si>
  <si>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</si>
  <si>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</si>
  <si>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</si>
  <si>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</si>
  <si>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</si>
  <si>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</si>
  <si>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</si>
  <si>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</si>
  <si>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</si>
  <si>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</si>
  <si>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</si>
  <si>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</si>
  <si>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</si>
  <si>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</si>
  <si>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</si>
  <si>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</si>
  <si>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</si>
  <si>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</si>
  <si>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</si>
  <si>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</si>
  <si>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</si>
  <si>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</si>
  <si>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</si>
  <si>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</si>
  <si>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</si>
  <si>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</si>
  <si>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</si>
  <si>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</si>
  <si>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</si>
  <si>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</si>
  <si>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</si>
  <si>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</si>
  <si>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</si>
  <si>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</si>
  <si>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</si>
  <si>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</si>
  <si>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</si>
  <si>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</si>
  <si>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</si>
  <si>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</si>
  <si>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</si>
  <si>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</si>
  <si>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</si>
  <si>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</si>
  <si>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</si>
  <si>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</si>
  <si>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</si>
  <si>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</si>
  <si>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</si>
  <si>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</si>
  <si>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</si>
  <si>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</si>
  <si>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</si>
  <si>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</si>
  <si>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</si>
  <si>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</si>
  <si>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</si>
  <si>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</si>
  <si>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</si>
  <si>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</si>
  <si>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</si>
  <si>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</si>
  <si>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</si>
  <si>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</si>
  <si>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</si>
  <si>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</si>
  <si>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</si>
  <si>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</si>
  <si>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</si>
  <si>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</si>
  <si>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</si>
  <si>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</si>
  <si>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</si>
  <si>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</si>
  <si>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</si>
  <si>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</si>
  <si>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</si>
  <si>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</si>
  <si>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</si>
  <si>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</si>
  <si>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</si>
  <si>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</si>
  <si>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</si>
  <si>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</si>
  <si>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WIP</t>
  </si>
  <si>
    <t>Pieces Can Be Produced (Store + Floor Stock)</t>
  </si>
  <si>
    <t>Status / Remarks</t>
  </si>
  <si>
    <t>Inventory — August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</si>
  <si>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</si>
  <si>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</si>
  <si>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</si>
  <si>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</si>
  <si>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</si>
  <si>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</si>
  <si>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</si>
  <si>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</si>
  <si>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</si>
  <si>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</si>
  <si>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</si>
  <si>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</si>
  <si>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</si>
  <si>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</si>
  <si>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</si>
  <si>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</si>
  <si>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</si>
  <si>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</si>
  <si>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</si>
  <si>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</si>
  <si>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</si>
  <si>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</si>
  <si>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</si>
  <si>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</si>
  <si>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</si>
  <si>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</si>
  <si>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</si>
  <si>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</si>
  <si>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</si>
  <si>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</si>
  <si>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</si>
  <si>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</si>
  <si>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</si>
  <si>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</si>
  <si>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</si>
  <si>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</si>
  <si>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</si>
  <si>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</si>
  <si>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</si>
  <si>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</si>
  <si>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</si>
  <si>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</si>
  <si>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</si>
  <si>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</si>
  <si>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</si>
  <si>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</si>
  <si>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</si>
  <si>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</si>
  <si>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</si>
  <si>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</si>
  <si>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</si>
  <si>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</si>
  <si>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</si>
  <si>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</si>
  <si>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</si>
  <si>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</si>
  <si>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</si>
  <si>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</si>
  <si>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</si>
  <si>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</si>
  <si>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</si>
  <si>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</si>
  <si>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</si>
  <si>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</si>
  <si>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</si>
  <si>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</si>
  <si>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</si>
  <si>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</si>
  <si>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</si>
  <si>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</si>
  <si>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</si>
  <si>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</si>
  <si>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</si>
  <si>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</si>
  <si>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</si>
  <si>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</si>
  <si>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</si>
  <si>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</si>
  <si>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</si>
  <si>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</si>
  <si>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</si>
  <si>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</si>
  <si>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</si>
  <si>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</si>
  <si>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</si>
  <si>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</si>
  <si>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</si>
  <si>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</si>
  <si>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</si>
  <si>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</si>
  <si>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</si>
  <si>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</si>
  <si>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</si>
  <si>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</si>
  <si>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</si>
  <si>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</si>
  <si>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</si>
  <si>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</si>
  <si>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</si>
  <si>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</si>
  <si>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</si>
  <si>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</si>
  <si>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</si>
  <si>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</si>
  <si>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</si>
  <si>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</si>
  <si>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</si>
  <si>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</si>
  <si>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</si>
  <si>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</si>
  <si>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</si>
  <si>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</si>
  <si>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</si>
  <si>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</si>
  <si>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</si>
  <si>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</si>
  <si>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</si>
  <si>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</si>
  <si>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</si>
  <si>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</si>
  <si>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</si>
  <si>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</si>
  <si>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</si>
  <si>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</si>
  <si>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</si>
  <si>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</si>
  <si>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</si>
  <si>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</si>
  <si>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</si>
  <si>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</si>
  <si>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</si>
  <si>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</si>
  <si>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</si>
  <si>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</si>
  <si>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</si>
  <si>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</si>
  <si>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</si>
  <si>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</si>
  <si>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</si>
  <si>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</si>
  <si>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</si>
  <si>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</si>
  <si>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</si>
  <si>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</si>
  <si>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</si>
  <si>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</si>
  <si>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</si>
  <si>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</si>
  <si>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</si>
  <si>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</si>
  <si>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</si>
  <si>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</si>
  <si>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</si>
  <si>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</si>
  <si>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</si>
  <si>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</si>
  <si>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</si>
  <si>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</si>
  <si>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</si>
  <si>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</si>
  <si>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</si>
  <si>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</si>
  <si>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</si>
  <si>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</si>
  <si>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</si>
  <si>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</si>
  <si>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</si>
  <si>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</si>
  <si>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</si>
  <si>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</si>
  <si>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</si>
  <si>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</si>
  <si>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</si>
  <si>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</si>
  <si>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</si>
  <si>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</si>
  <si>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</si>
  <si>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</si>
  <si>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</si>
  <si>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</si>
  <si>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</si>
  <si>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</si>
  <si>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</si>
  <si>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</si>
  <si>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</si>
  <si>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</si>
  <si>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</si>
  <si>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</si>
  <si>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</si>
  <si>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</si>
  <si>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</si>
  <si>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</si>
  <si>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</si>
  <si>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</si>
  <si>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</si>
  <si>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</si>
  <si>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</si>
  <si>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</si>
  <si>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</si>
  <si>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</si>
  <si>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</si>
  <si>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</si>
  <si>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</si>
  <si>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</si>
  <si>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</si>
  <si>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</si>
  <si>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</si>
  <si>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</si>
  <si>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</si>
  <si>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</si>
  <si>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</si>
  <si>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</si>
  <si>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</si>
  <si>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</si>
  <si>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</si>
  <si>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</si>
  <si>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</si>
  <si>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</si>
  <si>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</si>
  <si>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</si>
  <si>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</si>
  <si>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</si>
  <si>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</si>
  <si>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</si>
  <si>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</si>
  <si>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</si>
  <si>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</si>
  <si>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</si>
  <si>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</si>
  <si>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</si>
  <si>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</si>
  <si>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</si>
  <si>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</si>
  <si>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</si>
  <si>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</si>
  <si>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</si>
  <si>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</si>
  <si>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</si>
  <si>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</si>
  <si>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</si>
  <si>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</si>
  <si>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</si>
  <si>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</si>
  <si>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</si>
  <si>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</si>
  <si>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</si>
  <si>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</si>
  <si>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</si>
  <si>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</si>
  <si>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</si>
  <si>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</si>
  <si>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31-Aug-2026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</si>
  <si>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</si>
  <si>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</si>
  <si>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</si>
  <si>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</si>
  <si>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</si>
  <si>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</si>
  <si>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</si>
  <si>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</si>
  <si>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</si>
  <si>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</si>
  <si>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</si>
  <si>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</si>
  <si>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</si>
  <si>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</si>
  <si>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No Order</t>
  </si>
  <si>
    <t>150ml</t>
  </si>
  <si>
    <t>Quality Hold</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</si>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</sst>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sqref="A1:O22"/>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4" width="8.7109375" style="99" customWidth="1"/>
    <col min="175"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5" t="s">
        <v>146</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27" t="s">
        <v>147</v>
      </c>
      <c r="C3" s="328"/>
      <c r="D3" s="328"/>
      <c r="E3" s="329"/>
      <c r="F3" s="328"/>
      <c r="G3" s="330"/>
      <c r="H3" s="332">
        <f>MAX(Production_Log!$A$3:$A$8961)</f>
        <v>46263</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148</v>
      </c>
      <c r="C5" s="177">
        <f>MAX(Production_Log!$A$3:$A$8961)</f>
        <v>46263</v>
      </c>
      <c r="D5" s="101" t="s">
        <v>149</v>
      </c>
      <c r="E5" s="101"/>
      <c r="F5" s="102"/>
      <c r="G5" s="334" t="s">
        <v>150</v>
      </c>
      <c r="H5" s="328"/>
      <c r="I5" s="103"/>
      <c r="J5" s="334" t="s">
        <v>151</v>
      </c>
      <c r="K5" s="328"/>
      <c r="L5" s="122"/>
      <c r="M5" s="336" t="s">
        <v>152</v>
      </c>
      <c r="N5" s="337"/>
      <c r="O5" s="337"/>
      <c r="P5" s="291"/>
      <c r="Q5" s="291"/>
      <c r="R5" s="291"/>
      <c r="S5" s="292"/>
      <c r="T5" s="292"/>
      <c r="U5" s="292"/>
      <c r="V5" s="292"/>
      <c r="W5" s="98"/>
      <c r="X5" s="98"/>
      <c r="Y5" s="98"/>
      <c r="Z5" s="98"/>
      <c r="AA5" s="98"/>
      <c r="AB5" s="98"/>
      <c r="AC5" s="98"/>
    </row>
    <row r="6" spans="1:29" ht="18" customHeight="1" x14ac:dyDescent="0.3">
      <c r="A6" s="96"/>
      <c r="B6" s="331">
        <f>SUMPRODUCT((Production_Log!$A$3:$A$8961=MAX(Production_Log!$A$3:$A$8961))*(LEFT(Production_Log!$B$3:$B$8961,5)="Print")*(ISERROR(SEARCH("(Varnish)",Production_Log!$D$3:$D$8961)))*Production_Log!$H$3:$H$8961)</f>
        <v>19992</v>
      </c>
      <c r="C6" s="328"/>
      <c r="D6" s="104">
        <f>SUMIF($B$11:$B$66,"TUBE",$H$11:$H$66)</f>
        <v>331956</v>
      </c>
      <c r="E6" s="331"/>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2.3345719657184214E-2</v>
      </c>
      <c r="H6" s="105"/>
      <c r="I6" s="103"/>
      <c r="J6" s="331">
        <f>SUMIF($B$11:$B$66,"TUBE",$K$11:$K$66)</f>
        <v>285110</v>
      </c>
      <c r="K6" s="328"/>
      <c r="L6" s="106"/>
      <c r="M6" s="293" t="s">
        <v>19</v>
      </c>
      <c r="N6" s="294" t="s">
        <v>153</v>
      </c>
      <c r="O6" s="294" t="s">
        <v>154</v>
      </c>
      <c r="P6" s="291"/>
      <c r="Q6" s="291"/>
      <c r="R6" s="292"/>
      <c r="S6" s="292"/>
      <c r="T6" s="292"/>
      <c r="U6" s="292"/>
      <c r="V6" s="292"/>
      <c r="W6" s="98"/>
      <c r="X6" s="98"/>
      <c r="Y6" s="98"/>
      <c r="Z6" s="98"/>
      <c r="AA6" s="98"/>
      <c r="AB6" s="98"/>
      <c r="AC6" s="98"/>
    </row>
    <row r="7" spans="1:29" ht="27" customHeight="1" x14ac:dyDescent="0.3">
      <c r="A7" s="96"/>
      <c r="B7" s="175" t="s">
        <v>155</v>
      </c>
      <c r="C7" s="178">
        <f>MAX(Production_Log!$A$3:$A$8961)</f>
        <v>46263</v>
      </c>
      <c r="D7" s="107" t="s">
        <v>156</v>
      </c>
      <c r="E7" s="107"/>
      <c r="F7" s="108"/>
      <c r="G7" s="333" t="s">
        <v>157</v>
      </c>
      <c r="H7" s="328"/>
      <c r="I7" s="109"/>
      <c r="J7" s="108" t="s">
        <v>151</v>
      </c>
      <c r="K7" s="108"/>
      <c r="L7" s="108"/>
      <c r="M7" s="295" t="s">
        <v>158</v>
      </c>
      <c r="N7" s="296">
        <f>SUMPRODUCT(((LEFT(Production_Log!$B$3:$B$1063,5)="Press")+(LEFT(Production_Log!$B$3:$B$1063,5)="Print")+(LEFT(Production_Log!$B$3:$B$1063,5)="PLINE"))*Production_Log!$M$3:$M$1063)/60</f>
        <v>117.33333333333333</v>
      </c>
      <c r="O7" s="297">
        <f>IFERROR(N7/$N$11,"")</f>
        <v>0.87344913151364778</v>
      </c>
      <c r="P7" s="291"/>
      <c r="Q7" s="291"/>
      <c r="R7" s="292"/>
      <c r="S7" s="292"/>
      <c r="T7" s="292"/>
      <c r="U7" s="292"/>
      <c r="V7" s="292"/>
      <c r="W7" s="98"/>
      <c r="X7" s="98"/>
      <c r="Y7" s="98"/>
      <c r="Z7" s="98"/>
      <c r="AA7" s="98"/>
      <c r="AB7" s="98"/>
      <c r="AC7" s="98"/>
    </row>
    <row r="8" spans="1:29" ht="27" customHeight="1" x14ac:dyDescent="0.3">
      <c r="A8" s="96"/>
      <c r="B8" s="339">
        <f>SUMPRODUCT((Production_Log!$A$3:$A$8961=MAX(Production_Log!$A$3:$A$8961))*(Production_Log!$B$3:$B$8961="PF Machine")*Production_Log!$H$3:$H$8961)</f>
        <v>0</v>
      </c>
      <c r="C8" s="328"/>
      <c r="D8" s="110">
        <f>SUMIF($B$11:$B$66,"PET",$H$11:$H$66)</f>
        <v>133325</v>
      </c>
      <c r="E8" s="339"/>
      <c r="F8" s="328"/>
      <c r="G8" s="111">
        <f t="array" ref="G8">IFERROR(SUMPRODUCT((Production_Log!$B$3:$B$8961="PF Machine")*Production_Log!$I$3:$I$8961)/SUMPRODUCT((Production_Log!$B$3:$B$8961="PF Machine")*(Production_Log!$H$3:$H$8961+Production_Log!$I$3:$I$8961)),0)</f>
        <v>7.5416088765603323E-2</v>
      </c>
      <c r="H8" s="111"/>
      <c r="I8" s="109"/>
      <c r="J8" s="339">
        <f>SUMIF($B$11:$B$66,"PET",$K$11:$K$66)</f>
        <v>134590</v>
      </c>
      <c r="K8" s="328"/>
      <c r="L8" s="112"/>
      <c r="M8" s="295" t="s">
        <v>159</v>
      </c>
      <c r="N8" s="296">
        <f>SUMPRODUCT(((LEFT(Production_Log!$B$3:$B$1063,5)="Press")+(LEFT(Production_Log!$B$3:$B$1063,5)="Print")+(LEFT(Production_Log!$B$3:$B$1063,5)="PLINE"))*Production_Log!$K$3:$K$1063)/60</f>
        <v>8</v>
      </c>
      <c r="O8" s="297">
        <f>IFERROR(N8/$N$11,"")</f>
        <v>5.9553349875930528E-2</v>
      </c>
      <c r="P8" s="291"/>
      <c r="Q8" s="291"/>
      <c r="R8" s="292"/>
      <c r="S8" s="292"/>
      <c r="T8" s="292"/>
      <c r="U8" s="292"/>
      <c r="V8" s="292"/>
      <c r="W8" s="98"/>
      <c r="X8" s="98"/>
      <c r="Y8" s="98"/>
      <c r="Z8" s="98"/>
      <c r="AA8" s="98"/>
      <c r="AB8" s="98"/>
      <c r="AC8" s="98"/>
    </row>
    <row r="9" spans="1:29" ht="20.25" customHeight="1" x14ac:dyDescent="0.3">
      <c r="A9" s="96"/>
      <c r="B9" s="340" t="s">
        <v>160</v>
      </c>
      <c r="C9" s="341"/>
      <c r="D9" s="341"/>
      <c r="E9" s="341"/>
      <c r="F9" s="341"/>
      <c r="G9" s="341"/>
      <c r="H9" s="341"/>
      <c r="I9" s="341"/>
      <c r="J9" s="341"/>
      <c r="K9" s="341"/>
      <c r="L9" s="341"/>
      <c r="M9" s="295" t="s">
        <v>161</v>
      </c>
      <c r="N9" s="296">
        <f>SUMPRODUCT(((LEFT(Production_Log!$B$3:$B$1063,5)="Press")+(LEFT(Production_Log!$B$3:$B$1063,5)="Print")+(LEFT(Production_Log!$B$3:$B$1063,5)="PLINE"))*Production_Log!$O$3:$O$1063)/60</f>
        <v>8</v>
      </c>
      <c r="O9" s="297">
        <f>IFERROR(N9/$N$11,"")</f>
        <v>5.9553349875930528E-2</v>
      </c>
      <c r="P9" s="291"/>
      <c r="Q9" s="291"/>
      <c r="R9" s="292"/>
      <c r="S9" s="292"/>
      <c r="T9" s="298"/>
      <c r="U9" s="292"/>
      <c r="V9" s="292"/>
      <c r="W9" s="98"/>
      <c r="X9" s="98"/>
      <c r="Y9" s="98"/>
      <c r="Z9" s="98"/>
      <c r="AA9" s="98"/>
      <c r="AB9" s="98"/>
      <c r="AC9" s="98"/>
    </row>
    <row r="10" spans="1:29" ht="24" customHeight="1" x14ac:dyDescent="0.3">
      <c r="A10" s="96"/>
      <c r="B10" s="115" t="s">
        <v>162</v>
      </c>
      <c r="C10" s="115" t="s">
        <v>3</v>
      </c>
      <c r="D10" s="115" t="s">
        <v>4</v>
      </c>
      <c r="E10" s="115" t="s">
        <v>2</v>
      </c>
      <c r="F10" s="115" t="s">
        <v>163</v>
      </c>
      <c r="G10" s="115" t="s">
        <v>164</v>
      </c>
      <c r="H10" s="115" t="s">
        <v>165</v>
      </c>
      <c r="I10" s="115" t="s">
        <v>166</v>
      </c>
      <c r="J10" s="116" t="s">
        <v>167</v>
      </c>
      <c r="K10" s="117" t="s">
        <v>168</v>
      </c>
      <c r="L10" s="117" t="s">
        <v>10</v>
      </c>
      <c r="M10" s="295" t="s">
        <v>169</v>
      </c>
      <c r="N10" s="296">
        <f>SUMPRODUCT(((LEFT(Production_Log!$B$3:$B$1063,5)="Press")+(LEFT(Production_Log!$B$3:$B$1063,5)="Print")+(LEFT(Production_Log!$B$3:$B$1063,5)="PLINE"))*Production_Log!$N$3:$N$1063)/60</f>
        <v>1</v>
      </c>
      <c r="O10" s="297">
        <f>IFERROR(N10/$N$11,"")</f>
        <v>7.444168734491316E-3</v>
      </c>
      <c r="P10" s="291"/>
      <c r="Q10" s="291"/>
      <c r="R10" s="292"/>
      <c r="S10" s="292"/>
      <c r="T10" s="298"/>
      <c r="U10" s="292"/>
      <c r="V10" s="292"/>
      <c r="W10" s="98"/>
      <c r="X10" s="98"/>
      <c r="Y10" s="98"/>
      <c r="Z10" s="98"/>
      <c r="AA10" s="98"/>
      <c r="AB10" s="98"/>
      <c r="AC10" s="98"/>
    </row>
    <row r="11" spans="1:29" s="120" customFormat="1" ht="16.5" customHeight="1" x14ac:dyDescent="0.3">
      <c r="A11" s="119"/>
      <c r="B11" s="299" t="s">
        <v>148</v>
      </c>
      <c r="C11" s="300" t="s">
        <v>128</v>
      </c>
      <c r="D11" s="301" t="s">
        <v>170</v>
      </c>
      <c r="E11" s="302">
        <v>25</v>
      </c>
      <c r="F11" s="303">
        <v>5389</v>
      </c>
      <c r="G11" s="303">
        <f>IFERROR(INDEX(MRP!$F$3:$F$150,MATCH(F11,MRP!$D$3:$D$150,0)),0)</f>
        <v>0</v>
      </c>
      <c r="H11" s="304">
        <f>SUMPRODUCT((Production_Log!$F$3:$F$1063=F11)*((LEFT(Production_Log!$B$3:$B$1063,5)="Print")+(LEFT(Production_Log!$B$3:$B$1063,5)="PLINE"))*(ISERROR(SEARCH("(Varnish)",Production_Log!$D$3:$D$1063)))*Production_Log!$H$3:$H$1063)</f>
        <v>60144</v>
      </c>
      <c r="I11" s="303">
        <f>G11-H11</f>
        <v>-60144</v>
      </c>
      <c r="J11" s="305" t="str">
        <f>IF(G11=0,"-",H11/G11)</f>
        <v>-</v>
      </c>
      <c r="K11" s="304"/>
      <c r="L11" s="306" t="s">
        <v>171</v>
      </c>
      <c r="M11" s="307" t="s">
        <v>172</v>
      </c>
      <c r="N11" s="308">
        <f>SUM(N7:N10)</f>
        <v>134.33333333333331</v>
      </c>
      <c r="O11" s="309" t="s">
        <v>173</v>
      </c>
      <c r="P11" s="291"/>
      <c r="Q11" s="291"/>
      <c r="R11" s="291"/>
      <c r="S11" s="310"/>
      <c r="T11" s="298"/>
      <c r="U11" s="310"/>
      <c r="V11" s="292"/>
      <c r="W11" s="121"/>
      <c r="X11" s="121"/>
      <c r="Y11" s="121"/>
      <c r="Z11" s="121"/>
      <c r="AA11" s="121"/>
      <c r="AB11" s="121"/>
      <c r="AC11" s="121"/>
    </row>
    <row r="12" spans="1:29" ht="16.5" customHeight="1" x14ac:dyDescent="0.3">
      <c r="A12" s="96"/>
      <c r="B12" s="299" t="s">
        <v>148</v>
      </c>
      <c r="C12" s="300" t="s">
        <v>11</v>
      </c>
      <c r="D12" s="301" t="s">
        <v>12</v>
      </c>
      <c r="E12" s="302">
        <v>30</v>
      </c>
      <c r="F12" s="303">
        <v>6206</v>
      </c>
      <c r="G12" s="303">
        <f>IFERROR(INDEX(MRP!$F$3:$F$150,MATCH(F12,MRP!$D$3:$D$150,0)),0)</f>
        <v>259778</v>
      </c>
      <c r="H12" s="304">
        <f>SUMPRODUCT((Production_Log!$F$3:$F$1063=F12)*((LEFT(Production_Log!$B$3:$B$1063,5)="Print")+(LEFT(Production_Log!$B$3:$B$1063,5)="PLINE"))*(ISERROR(SEARCH("(Varnish)",Production_Log!$D$3:$D$1063)))*Production_Log!$H$3:$H$1063)</f>
        <v>271812</v>
      </c>
      <c r="I12" s="303">
        <f>G12-H12</f>
        <v>-12034</v>
      </c>
      <c r="J12" s="305">
        <f>IF(G12=0,"-",H12/G12)</f>
        <v>1.0463241690982301</v>
      </c>
      <c r="K12" s="304">
        <v>248710</v>
      </c>
      <c r="L12" s="306"/>
      <c r="M12" s="311"/>
      <c r="N12" s="310"/>
      <c r="O12" s="310"/>
      <c r="P12" s="291"/>
      <c r="Q12" s="291"/>
      <c r="R12" s="292"/>
      <c r="S12" s="292"/>
      <c r="T12" s="298"/>
      <c r="U12" s="292"/>
      <c r="V12" s="292"/>
      <c r="W12" s="98"/>
      <c r="X12" s="98"/>
      <c r="Y12" s="98"/>
      <c r="Z12" s="98"/>
      <c r="AA12" s="98"/>
      <c r="AB12" s="98"/>
      <c r="AC12" s="98"/>
    </row>
    <row r="13" spans="1:29" x14ac:dyDescent="0.3">
      <c r="A13" s="96"/>
      <c r="B13" s="299" t="s">
        <v>148</v>
      </c>
      <c r="C13" s="300" t="s">
        <v>13</v>
      </c>
      <c r="D13" s="301" t="s">
        <v>14</v>
      </c>
      <c r="E13" s="302">
        <v>30</v>
      </c>
      <c r="F13" s="303">
        <v>5814</v>
      </c>
      <c r="G13" s="303">
        <f>IFERROR(INDEX(MRP!$F$3:$F$150,MATCH(F13,MRP!$D$3:$D$150,0)),0)</f>
        <v>25000</v>
      </c>
      <c r="H13" s="304">
        <f>SUMPRODUCT((Production_Log!$F$3:$F$1063=F13)*((LEFT(Production_Log!$B$3:$B$1063,5)="Print")+(LEFT(Production_Log!$B$3:$B$1063,5)="PLINE"))*(ISERROR(SEARCH("(Varnish)",Production_Log!$D$3:$D$1063)))*Production_Log!$H$3:$H$1063)</f>
        <v>0</v>
      </c>
      <c r="I13" s="303">
        <f>G13-H13</f>
        <v>25000</v>
      </c>
      <c r="J13" s="305">
        <f>IF(G13=0,"-",H13/G13)</f>
        <v>0</v>
      </c>
      <c r="K13" s="304"/>
      <c r="L13" s="306"/>
      <c r="M13" s="338" t="s">
        <v>174</v>
      </c>
      <c r="N13" s="337"/>
      <c r="O13" s="337"/>
      <c r="P13" s="291"/>
      <c r="Q13" s="291"/>
      <c r="R13" s="292"/>
      <c r="S13" s="292"/>
      <c r="T13" s="298"/>
      <c r="U13" s="292"/>
      <c r="V13" s="292"/>
      <c r="W13" s="98"/>
      <c r="X13" s="98"/>
      <c r="Y13" s="98"/>
      <c r="Z13" s="98"/>
      <c r="AA13" s="98"/>
      <c r="AB13" s="98"/>
      <c r="AC13" s="98"/>
    </row>
    <row r="14" spans="1:29" ht="16.5" customHeight="1" x14ac:dyDescent="0.3">
      <c r="A14" s="96"/>
      <c r="B14" s="299" t="s">
        <v>148</v>
      </c>
      <c r="C14" s="300" t="s">
        <v>175</v>
      </c>
      <c r="D14" s="301" t="s">
        <v>176</v>
      </c>
      <c r="E14" s="302">
        <v>32</v>
      </c>
      <c r="F14" s="303">
        <v>6515</v>
      </c>
      <c r="G14" s="303">
        <f>IFERROR(INDEX(MRP!$F$3:$F$150,MATCH(F14,MRP!$D$3:$D$150,0)),0)</f>
        <v>0</v>
      </c>
      <c r="H14" s="304">
        <f>SUMPRODUCT((Production_Log!$F$3:$F$1063=F14)*((LEFT(Production_Log!$B$3:$B$1063,5)="Print")+(LEFT(Production_Log!$B$3:$B$1063,5)="PLINE"))*(ISERROR(SEARCH("(Varnish)",Production_Log!$D$3:$D$1063)))*Production_Log!$H$3:$H$1063)</f>
        <v>0</v>
      </c>
      <c r="I14" s="303">
        <f>G14-H14</f>
        <v>0</v>
      </c>
      <c r="J14" s="305" t="str">
        <f>IF(G14=0,"-",H14/G14)</f>
        <v>-</v>
      </c>
      <c r="K14" s="304">
        <v>36400</v>
      </c>
      <c r="L14" s="306"/>
      <c r="M14" s="312" t="s">
        <v>19</v>
      </c>
      <c r="N14" s="313" t="s">
        <v>153</v>
      </c>
      <c r="O14" s="314" t="s">
        <v>154</v>
      </c>
      <c r="P14" s="291"/>
      <c r="Q14" s="291"/>
      <c r="R14" s="291"/>
      <c r="S14" s="292"/>
      <c r="T14" s="298"/>
      <c r="U14" s="292"/>
      <c r="V14" s="291"/>
      <c r="W14" s="96"/>
      <c r="X14" s="98"/>
      <c r="Y14" s="98"/>
      <c r="Z14" s="98"/>
      <c r="AA14" s="98"/>
      <c r="AB14" s="98"/>
      <c r="AC14" s="98"/>
    </row>
    <row r="15" spans="1:29" ht="15" customHeight="1" x14ac:dyDescent="0.3">
      <c r="B15" s="315"/>
      <c r="C15" s="316"/>
      <c r="D15" s="317" t="s">
        <v>172</v>
      </c>
      <c r="E15" s="315"/>
      <c r="F15" s="316"/>
      <c r="G15" s="318">
        <f>SUM(G11:G14)</f>
        <v>284778</v>
      </c>
      <c r="H15" s="318">
        <f>SUM(H11:H14)</f>
        <v>331956</v>
      </c>
      <c r="I15" s="318">
        <f>SUMIF(I11:I14,"&gt;"&amp;0)</f>
        <v>25000</v>
      </c>
      <c r="J15" s="318"/>
      <c r="K15" s="318">
        <f>SUM(K11:K14)</f>
        <v>285110</v>
      </c>
      <c r="L15" s="318"/>
      <c r="M15" s="295" t="s">
        <v>159</v>
      </c>
      <c r="N15" s="296">
        <f>SUMPRODUCT(((LEFT(Production_Log!$B$3:$B$1063,2)="PF")+(LEFT(Production_Log!$B$3:$B$1063,3)="PET"))*Production_Log!$K$3:$K$1063)/60</f>
        <v>170</v>
      </c>
      <c r="O15" s="297">
        <f>IFERROR(N15/$N$20,"")</f>
        <v>0.63829787234042556</v>
      </c>
      <c r="P15" s="310"/>
      <c r="Q15" s="310"/>
      <c r="R15" s="310"/>
      <c r="S15" s="310"/>
      <c r="T15" s="310"/>
      <c r="U15" s="310"/>
      <c r="V15" s="310"/>
    </row>
    <row r="16" spans="1:29" ht="16.5" customHeight="1" x14ac:dyDescent="0.3">
      <c r="A16" s="96"/>
      <c r="B16" s="299" t="s">
        <v>155</v>
      </c>
      <c r="C16" s="300" t="s">
        <v>128</v>
      </c>
      <c r="D16" s="301" t="s">
        <v>129</v>
      </c>
      <c r="E16" s="302" t="s">
        <v>127</v>
      </c>
      <c r="F16" s="303">
        <v>8005</v>
      </c>
      <c r="G16" s="303">
        <f>SUMIF(MRP!$D$94:$D$99,F16,MRP!$F$94:$F$99)</f>
        <v>72160</v>
      </c>
      <c r="H16" s="304">
        <f>SUMPRODUCT((Production_Log!$F$3:$F$1063=F16)*Production_Log!$H$3:$H$1063)</f>
        <v>12000</v>
      </c>
      <c r="I16" s="303">
        <f t="shared" ref="I16:I21" si="0">G16-H16</f>
        <v>60160</v>
      </c>
      <c r="J16" s="305">
        <f t="shared" ref="J16:J21" si="1">IF(G16=0,"-",H16/G16)</f>
        <v>0.16629711751662971</v>
      </c>
      <c r="K16" s="304">
        <v>12000</v>
      </c>
      <c r="L16" s="306"/>
      <c r="M16" s="295" t="s">
        <v>177</v>
      </c>
      <c r="N16" s="296">
        <f>SUMPRODUCT(((LEFT(Production_Log!$B$3:$B$1063,2)="PF")+(LEFT(Production_Log!$B$3:$B$1063,3)="PET"))*Production_Log!$L$3:$L$1063)/60</f>
        <v>80.5</v>
      </c>
      <c r="O16" s="297">
        <f>IFERROR(N16/$N$20,"")</f>
        <v>0.30225281602002507</v>
      </c>
      <c r="P16" s="291"/>
      <c r="Q16" s="291"/>
      <c r="R16" s="291"/>
      <c r="S16" s="291"/>
      <c r="T16" s="291"/>
      <c r="U16" s="291"/>
      <c r="V16" s="292"/>
      <c r="W16" s="98"/>
      <c r="X16" s="98"/>
      <c r="Y16" s="98"/>
      <c r="Z16" s="98"/>
      <c r="AA16" s="98"/>
      <c r="AB16" s="98"/>
      <c r="AC16" s="98"/>
    </row>
    <row r="17" spans="1:29" ht="16.5" customHeight="1" x14ac:dyDescent="0.3">
      <c r="A17" s="96"/>
      <c r="B17" s="299" t="s">
        <v>155</v>
      </c>
      <c r="C17" s="300" t="s">
        <v>13</v>
      </c>
      <c r="D17" s="301" t="s">
        <v>132</v>
      </c>
      <c r="E17" s="302" t="s">
        <v>131</v>
      </c>
      <c r="F17" s="303">
        <v>8015</v>
      </c>
      <c r="G17" s="303">
        <v>15000</v>
      </c>
      <c r="H17" s="304">
        <f>SUMPRODUCT((Production_Log!$F$3:$F$1063=F17)*Production_Log!$H$3:$H$1063)</f>
        <v>5520</v>
      </c>
      <c r="I17" s="303">
        <f t="shared" si="0"/>
        <v>9480</v>
      </c>
      <c r="J17" s="305">
        <f t="shared" si="1"/>
        <v>0.36799999999999999</v>
      </c>
      <c r="K17" s="304">
        <v>5520</v>
      </c>
      <c r="L17" s="306"/>
      <c r="M17" s="295" t="s">
        <v>161</v>
      </c>
      <c r="N17" s="296">
        <f>SUMPRODUCT(((LEFT(Production_Log!$B$3:$B$1063,2)="PF")+(LEFT(Production_Log!$B$3:$B$1063,3)="PET"))*Production_Log!$O$3:$O$1063)/60</f>
        <v>8.5</v>
      </c>
      <c r="O17" s="297">
        <f>IFERROR(N17/$N$20,"")</f>
        <v>3.1914893617021281E-2</v>
      </c>
      <c r="P17" s="291"/>
      <c r="Q17" s="291"/>
      <c r="R17" s="291"/>
      <c r="S17" s="292"/>
      <c r="T17" s="298"/>
      <c r="U17" s="292"/>
      <c r="V17" s="291"/>
      <c r="W17" s="96"/>
      <c r="X17" s="98"/>
      <c r="Y17" s="98"/>
      <c r="Z17" s="98"/>
      <c r="AA17" s="98"/>
      <c r="AB17" s="98"/>
      <c r="AC17" s="98"/>
    </row>
    <row r="18" spans="1:29" ht="16.5" customHeight="1" x14ac:dyDescent="0.3">
      <c r="A18" s="96"/>
      <c r="B18" s="299" t="s">
        <v>155</v>
      </c>
      <c r="C18" s="300" t="s">
        <v>13</v>
      </c>
      <c r="D18" s="301" t="s">
        <v>133</v>
      </c>
      <c r="E18" s="302" t="s">
        <v>131</v>
      </c>
      <c r="F18" s="303">
        <v>8010</v>
      </c>
      <c r="G18" s="303">
        <f>IFERROR(INDEX(MRP!$F$3:$F$150,MATCH(F18,MRP!$D$3:$D$150,0)),0)</f>
        <v>25000</v>
      </c>
      <c r="H18" s="304">
        <f>SUMPRODUCT((Production_Log!$F$3:$F$1063=F18)*Production_Log!$H$3:$H$1063)</f>
        <v>25070</v>
      </c>
      <c r="I18" s="303">
        <f t="shared" si="0"/>
        <v>-70</v>
      </c>
      <c r="J18" s="305">
        <f t="shared" si="1"/>
        <v>1.0027999999999999</v>
      </c>
      <c r="K18" s="304">
        <v>25070</v>
      </c>
      <c r="L18" s="306"/>
      <c r="M18" s="295" t="s">
        <v>169</v>
      </c>
      <c r="N18" s="296">
        <f>SUMPRODUCT(((LEFT(Production_Log!$B$3:$B$1063,2)="PF")+(LEFT(Production_Log!$B$3:$B$1063,3)="PET"))*Production_Log!$N$3:$N$1063)/60</f>
        <v>6</v>
      </c>
      <c r="O18" s="297">
        <f>IFERROR(N18/$N$20,"")</f>
        <v>2.2528160200250315E-2</v>
      </c>
      <c r="P18" s="291"/>
      <c r="Q18" s="291"/>
      <c r="R18" s="291"/>
      <c r="S18" s="291"/>
      <c r="T18" s="291"/>
      <c r="U18" s="291"/>
      <c r="V18" s="292"/>
      <c r="W18" s="98"/>
      <c r="X18" s="98"/>
      <c r="Y18" s="98"/>
      <c r="Z18" s="98"/>
      <c r="AA18" s="98"/>
      <c r="AB18" s="98"/>
      <c r="AC18" s="98"/>
    </row>
    <row r="19" spans="1:29" ht="16.5" customHeight="1" x14ac:dyDescent="0.3">
      <c r="A19" s="96"/>
      <c r="B19" s="299" t="s">
        <v>155</v>
      </c>
      <c r="C19" s="300" t="s">
        <v>135</v>
      </c>
      <c r="D19" s="301" t="s">
        <v>178</v>
      </c>
      <c r="E19" s="302" t="s">
        <v>134</v>
      </c>
      <c r="F19" s="303">
        <v>8001</v>
      </c>
      <c r="G19" s="303">
        <v>701257</v>
      </c>
      <c r="H19" s="304">
        <f>SUMPRODUCT((Production_Log!$F$3:$F$1063=F19)*Production_Log!$H$3:$H$1063)</f>
        <v>90735</v>
      </c>
      <c r="I19" s="303">
        <f t="shared" si="0"/>
        <v>610522</v>
      </c>
      <c r="J19" s="305">
        <f t="shared" si="1"/>
        <v>0.1293890827471241</v>
      </c>
      <c r="K19" s="304">
        <v>78200</v>
      </c>
      <c r="L19" s="306" t="s">
        <v>179</v>
      </c>
      <c r="M19" s="295" t="s">
        <v>180</v>
      </c>
      <c r="N19" s="296">
        <f>SUMPRODUCT(((LEFT(Production_Log!$B$3:$B$1063,2)="PF")+(LEFT(Production_Log!$B$3:$B$1063,3)="PET"))*Production_Log!$P$3:$P$1063)/60</f>
        <v>1.3333333333333333</v>
      </c>
      <c r="O19" s="297">
        <f>IFERROR(N19/$N$20,"")</f>
        <v>5.0062578222778474E-3</v>
      </c>
      <c r="P19" s="291"/>
      <c r="Q19" s="291"/>
      <c r="R19" s="292"/>
      <c r="S19" s="292"/>
      <c r="T19" s="298"/>
      <c r="U19" s="292"/>
      <c r="V19" s="292"/>
      <c r="W19" s="98"/>
      <c r="X19" s="98"/>
      <c r="Y19" s="98"/>
      <c r="Z19" s="98"/>
      <c r="AA19" s="98"/>
      <c r="AB19" s="98"/>
      <c r="AC19" s="98"/>
    </row>
    <row r="20" spans="1:29" ht="16.5" customHeight="1" x14ac:dyDescent="0.3">
      <c r="A20" s="96"/>
      <c r="B20" s="299" t="s">
        <v>155</v>
      </c>
      <c r="C20" s="300" t="s">
        <v>139</v>
      </c>
      <c r="D20" s="301" t="s">
        <v>136</v>
      </c>
      <c r="E20" s="302" t="s">
        <v>134</v>
      </c>
      <c r="F20" s="303">
        <v>8017</v>
      </c>
      <c r="G20" s="303">
        <v>13960</v>
      </c>
      <c r="H20" s="304">
        <f>SUMPRODUCT((Production_Log!$F$3:$F$1063=F20)*Production_Log!$H$3:$H$1063)</f>
        <v>0</v>
      </c>
      <c r="I20" s="303">
        <f t="shared" si="0"/>
        <v>13960</v>
      </c>
      <c r="J20" s="305">
        <f t="shared" si="1"/>
        <v>0</v>
      </c>
      <c r="K20" s="304">
        <v>13800</v>
      </c>
      <c r="L20" s="306"/>
      <c r="M20" s="307" t="s">
        <v>172</v>
      </c>
      <c r="N20" s="308">
        <f>SUM(N15:N19)</f>
        <v>266.33333333333331</v>
      </c>
      <c r="O20" s="309" t="s">
        <v>173</v>
      </c>
      <c r="P20" s="291"/>
      <c r="Q20" s="291"/>
      <c r="R20" s="292"/>
      <c r="S20" s="310"/>
      <c r="T20" s="298"/>
      <c r="U20" s="310"/>
      <c r="V20" s="292"/>
      <c r="W20" s="98"/>
      <c r="X20" s="98"/>
      <c r="Y20" s="98"/>
      <c r="Z20" s="98"/>
      <c r="AA20" s="98"/>
      <c r="AB20" s="98"/>
      <c r="AC20" s="98"/>
    </row>
    <row r="21" spans="1:29" ht="16.5" customHeight="1" x14ac:dyDescent="0.3">
      <c r="A21" s="96"/>
      <c r="B21" s="299" t="s">
        <v>155</v>
      </c>
      <c r="C21" s="300" t="s">
        <v>128</v>
      </c>
      <c r="D21" s="301" t="s">
        <v>141</v>
      </c>
      <c r="E21" s="302" t="s">
        <v>140</v>
      </c>
      <c r="F21" s="303">
        <v>8006</v>
      </c>
      <c r="G21" s="303">
        <f>IFERROR(INDEX(MRP!$F$3:$F$150,MATCH(F21,MRP!$D$3:$D$150,0)),0)</f>
        <v>47000</v>
      </c>
      <c r="H21" s="304">
        <f>SUMPRODUCT((Production_Log!$F$3:$F$1063=F21)*Production_Log!$H$3:$H$1063)</f>
        <v>0</v>
      </c>
      <c r="I21" s="303">
        <f t="shared" si="0"/>
        <v>47000</v>
      </c>
      <c r="J21" s="305">
        <f t="shared" si="1"/>
        <v>0</v>
      </c>
      <c r="K21" s="304"/>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315"/>
      <c r="C22" s="316"/>
      <c r="D22" s="317" t="s">
        <v>172</v>
      </c>
      <c r="E22" s="315"/>
      <c r="F22" s="316"/>
      <c r="G22" s="318">
        <f>SUM(G16:G21)</f>
        <v>874377</v>
      </c>
      <c r="H22" s="318">
        <f>SUM(H16:H21)</f>
        <v>133325</v>
      </c>
      <c r="I22" s="318">
        <f>SUMIF(I16:I21,"&gt;"&amp;0)</f>
        <v>741122</v>
      </c>
      <c r="J22" s="318"/>
      <c r="K22" s="318">
        <f>SUM(K16:K21)</f>
        <v>134590</v>
      </c>
      <c r="L22" s="318"/>
      <c r="M22" s="319"/>
      <c r="N22" s="320"/>
      <c r="O22" s="321"/>
      <c r="P22" s="291"/>
      <c r="Q22" s="291"/>
      <c r="R22" s="291"/>
      <c r="S22" s="322"/>
      <c r="T22" s="310"/>
      <c r="U22" s="310"/>
      <c r="V22" s="310"/>
    </row>
    <row r="23" spans="1:29" x14ac:dyDescent="0.3">
      <c r="A23" s="96"/>
      <c r="B23" s="299" t="s">
        <v>148</v>
      </c>
      <c r="C23" s="300" t="s">
        <v>181</v>
      </c>
      <c r="D23" s="301" t="s">
        <v>182</v>
      </c>
      <c r="E23" s="302">
        <v>12.5</v>
      </c>
      <c r="F23" s="303">
        <v>9004</v>
      </c>
      <c r="G23" s="303">
        <f>IFERROR(INDEX(MRP!$F$3:$F$150,MATCH(F23,MRP!$D$3:$D$150,0)),0)</f>
        <v>0</v>
      </c>
      <c r="H23" s="304">
        <f>SUMPRODUCT((Production_Log!$F$3:$F$1063=F23)*((LEFT(Production_Log!$B$3:$B$1063,5)="Print")+(LEFT(Production_Log!$B$3:$B$1063,5)="PLINE"))*(ISERROR(SEARCH("(Varnish)",Production_Log!$D$3:$D$1063)))*Production_Log!$H$3:$H$1063)</f>
        <v>0</v>
      </c>
      <c r="I23" s="303">
        <f t="shared" ref="I23:I66" si="2">G23-H23</f>
        <v>0</v>
      </c>
      <c r="J23" s="305" t="str">
        <f t="shared" ref="J23:J66" si="3">IF(G23=0,"-",H23/G23)</f>
        <v>-</v>
      </c>
      <c r="K23" s="304"/>
      <c r="L23" s="306"/>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148</v>
      </c>
      <c r="C24" s="300" t="s">
        <v>183</v>
      </c>
      <c r="D24" s="301" t="s">
        <v>184</v>
      </c>
      <c r="E24" s="302">
        <v>16</v>
      </c>
      <c r="F24" s="303">
        <v>6561</v>
      </c>
      <c r="G24" s="303">
        <f>IFERROR(INDEX(MRP!$F$3:$F$150,MATCH(F24,MRP!$D$3:$D$150,0)),0)</f>
        <v>0</v>
      </c>
      <c r="H24" s="304">
        <f>SUMPRODUCT((Production_Log!$F$3:$F$1063=F24)*((LEFT(Production_Log!$B$3:$B$1063,5)="Print")+(LEFT(Production_Log!$B$3:$B$1063,5)="PLINE"))*(ISERROR(SEARCH("(Varnish)",Production_Log!$D$3:$D$1063)))*Production_Log!$H$3:$H$1063)</f>
        <v>0</v>
      </c>
      <c r="I24" s="303">
        <f t="shared" si="2"/>
        <v>0</v>
      </c>
      <c r="J24" s="305" t="str">
        <f t="shared" si="3"/>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148</v>
      </c>
      <c r="C25" s="300" t="s">
        <v>128</v>
      </c>
      <c r="D25" s="301" t="s">
        <v>185</v>
      </c>
      <c r="E25" s="302">
        <v>19</v>
      </c>
      <c r="F25" s="303">
        <v>6624</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148</v>
      </c>
      <c r="C26" s="300" t="s">
        <v>128</v>
      </c>
      <c r="D26" s="301" t="s">
        <v>186</v>
      </c>
      <c r="E26" s="302">
        <v>19</v>
      </c>
      <c r="F26" s="303">
        <v>6623</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148</v>
      </c>
      <c r="C27" s="300" t="s">
        <v>183</v>
      </c>
      <c r="D27" s="301" t="s">
        <v>186</v>
      </c>
      <c r="E27" s="302">
        <v>19</v>
      </c>
      <c r="F27" s="303">
        <v>6559</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148</v>
      </c>
      <c r="C28" s="300" t="s">
        <v>183</v>
      </c>
      <c r="D28" s="301" t="s">
        <v>187</v>
      </c>
      <c r="E28" s="302">
        <v>19</v>
      </c>
      <c r="F28" s="303">
        <v>1085</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148</v>
      </c>
      <c r="C29" s="300" t="s">
        <v>183</v>
      </c>
      <c r="D29" s="301" t="s">
        <v>188</v>
      </c>
      <c r="E29" s="302">
        <v>19</v>
      </c>
      <c r="F29" s="303">
        <v>6560</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148</v>
      </c>
      <c r="C30" s="300" t="s">
        <v>128</v>
      </c>
      <c r="D30" s="301" t="s">
        <v>189</v>
      </c>
      <c r="E30" s="302">
        <v>20.5</v>
      </c>
      <c r="F30" s="303">
        <v>5699</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148</v>
      </c>
      <c r="C31" s="300" t="s">
        <v>13</v>
      </c>
      <c r="D31" s="301" t="s">
        <v>190</v>
      </c>
      <c r="E31" s="302">
        <v>20.5</v>
      </c>
      <c r="F31" s="303">
        <v>6077</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148</v>
      </c>
      <c r="C32" s="300" t="s">
        <v>128</v>
      </c>
      <c r="D32" s="301" t="s">
        <v>191</v>
      </c>
      <c r="E32" s="302">
        <v>20.5</v>
      </c>
      <c r="F32" s="303">
        <v>5731</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148</v>
      </c>
      <c r="C33" s="300" t="s">
        <v>128</v>
      </c>
      <c r="D33" s="301" t="s">
        <v>192</v>
      </c>
      <c r="E33" s="302">
        <v>20.5</v>
      </c>
      <c r="F33" s="303">
        <v>5698</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148</v>
      </c>
      <c r="C34" s="300" t="s">
        <v>128</v>
      </c>
      <c r="D34" s="301" t="s">
        <v>193</v>
      </c>
      <c r="E34" s="302">
        <v>20.5</v>
      </c>
      <c r="F34" s="303">
        <v>5732</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148</v>
      </c>
      <c r="C35" s="300" t="s">
        <v>128</v>
      </c>
      <c r="D35" s="301" t="s">
        <v>194</v>
      </c>
      <c r="E35" s="302">
        <v>20.5</v>
      </c>
      <c r="F35" s="303">
        <v>6556</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148</v>
      </c>
      <c r="C36" s="300" t="s">
        <v>128</v>
      </c>
      <c r="D36" s="301" t="s">
        <v>195</v>
      </c>
      <c r="E36" s="302">
        <v>20.5</v>
      </c>
      <c r="F36" s="303">
        <v>6557</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148</v>
      </c>
      <c r="C37" s="300" t="s">
        <v>128</v>
      </c>
      <c r="D37" s="301" t="s">
        <v>196</v>
      </c>
      <c r="E37" s="302">
        <v>25</v>
      </c>
      <c r="F37" s="303">
        <v>3447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148</v>
      </c>
      <c r="C38" s="300" t="s">
        <v>128</v>
      </c>
      <c r="D38" s="301" t="s">
        <v>197</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148</v>
      </c>
      <c r="C39" s="300" t="s">
        <v>128</v>
      </c>
      <c r="D39" s="301" t="s">
        <v>198</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148</v>
      </c>
      <c r="C40" s="300" t="s">
        <v>128</v>
      </c>
      <c r="D40" s="301" t="s">
        <v>199</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148</v>
      </c>
      <c r="C41" s="300" t="s">
        <v>13</v>
      </c>
      <c r="D41" s="301" t="s">
        <v>200</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148</v>
      </c>
      <c r="C42" s="300" t="s">
        <v>128</v>
      </c>
      <c r="D42" s="301" t="s">
        <v>201</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148</v>
      </c>
      <c r="C43" s="300" t="s">
        <v>128</v>
      </c>
      <c r="D43" s="301" t="s">
        <v>202</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148</v>
      </c>
      <c r="C44" s="300" t="s">
        <v>203</v>
      </c>
      <c r="D44" s="301" t="s">
        <v>204</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148</v>
      </c>
      <c r="C45" s="300" t="s">
        <v>205</v>
      </c>
      <c r="D45" s="301" t="s">
        <v>206</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148</v>
      </c>
      <c r="C46" s="300" t="s">
        <v>207</v>
      </c>
      <c r="D46" s="301" t="s">
        <v>208</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148</v>
      </c>
      <c r="C47" s="300" t="s">
        <v>209</v>
      </c>
      <c r="D47" s="301" t="s">
        <v>210</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148</v>
      </c>
      <c r="C48" s="300" t="s">
        <v>209</v>
      </c>
      <c r="D48" s="301" t="s">
        <v>211</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148</v>
      </c>
      <c r="C49" s="300" t="s">
        <v>212</v>
      </c>
      <c r="D49" s="301" t="s">
        <v>213</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148</v>
      </c>
      <c r="C50" s="300" t="s">
        <v>212</v>
      </c>
      <c r="D50" s="301" t="s">
        <v>214</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148</v>
      </c>
      <c r="C51" s="300" t="s">
        <v>13</v>
      </c>
      <c r="D51" s="301" t="s">
        <v>215</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148</v>
      </c>
      <c r="C52" s="300" t="s">
        <v>209</v>
      </c>
      <c r="D52" s="301" t="s">
        <v>216</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148</v>
      </c>
      <c r="C53" s="300" t="s">
        <v>217</v>
      </c>
      <c r="D53" s="301" t="s">
        <v>218</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148</v>
      </c>
      <c r="C54" s="300" t="s">
        <v>219</v>
      </c>
      <c r="D54" s="301" t="s">
        <v>220</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148</v>
      </c>
      <c r="C55" s="300" t="s">
        <v>221</v>
      </c>
      <c r="D55" s="301" t="s">
        <v>222</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148</v>
      </c>
      <c r="C56" s="300" t="s">
        <v>221</v>
      </c>
      <c r="D56" s="301" t="s">
        <v>223</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148</v>
      </c>
      <c r="C57" s="300" t="s">
        <v>221</v>
      </c>
      <c r="D57" s="301" t="s">
        <v>224</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148</v>
      </c>
      <c r="C58" s="300" t="s">
        <v>221</v>
      </c>
      <c r="D58" s="301" t="s">
        <v>225</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155</v>
      </c>
      <c r="C59" s="300" t="s">
        <v>128</v>
      </c>
      <c r="D59" s="301" t="s">
        <v>226</v>
      </c>
      <c r="E59" s="302" t="s">
        <v>127</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155</v>
      </c>
      <c r="C60" s="300" t="s">
        <v>128</v>
      </c>
      <c r="D60" s="301" t="s">
        <v>227</v>
      </c>
      <c r="E60" s="302" t="s">
        <v>127</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155</v>
      </c>
      <c r="C61" s="300" t="s">
        <v>128</v>
      </c>
      <c r="D61" s="301" t="s">
        <v>228</v>
      </c>
      <c r="E61" s="302" t="s">
        <v>140</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155</v>
      </c>
      <c r="C62" s="300" t="s">
        <v>128</v>
      </c>
      <c r="D62" s="301" t="s">
        <v>229</v>
      </c>
      <c r="E62" s="302" t="s">
        <v>140</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155</v>
      </c>
      <c r="C63" s="300" t="s">
        <v>128</v>
      </c>
      <c r="D63" s="301" t="s">
        <v>230</v>
      </c>
      <c r="E63" s="302" t="s">
        <v>140</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155</v>
      </c>
      <c r="C64" s="300" t="s">
        <v>128</v>
      </c>
      <c r="D64" s="301" t="s">
        <v>231</v>
      </c>
      <c r="E64" s="302" t="s">
        <v>140</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155</v>
      </c>
      <c r="C65" s="300" t="s">
        <v>13</v>
      </c>
      <c r="D65" s="301" t="s">
        <v>232</v>
      </c>
      <c r="E65" s="302" t="s">
        <v>233</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155</v>
      </c>
      <c r="C66" s="300" t="s">
        <v>13</v>
      </c>
      <c r="D66" s="301" t="s">
        <v>234</v>
      </c>
      <c r="E66" s="302" t="s">
        <v>235</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topLeftCell="A38" zoomScaleNormal="100" workbookViewId="0">
      <selection activeCell="I99" sqref="I99"/>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50.570312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46265</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125">
        <v>30</v>
      </c>
      <c r="B3" s="184" t="s">
        <v>11</v>
      </c>
      <c r="C3" s="185" t="s">
        <v>12</v>
      </c>
      <c r="D3" s="125">
        <v>6206</v>
      </c>
      <c r="E3" s="186">
        <v>6900</v>
      </c>
      <c r="F3" s="186">
        <v>259778</v>
      </c>
      <c r="G3" s="186">
        <f>INDEX(Tubex_Dashboard!$H$11:$H$100,MATCH(MRP!D3,Tubex_Dashboard!$F$11:$F$100,0))</f>
        <v>271812</v>
      </c>
      <c r="H3" s="187">
        <f>F3-G3</f>
        <v>-12034</v>
      </c>
      <c r="I3" s="187"/>
    </row>
    <row r="4" spans="1:19" ht="24" customHeight="1" x14ac:dyDescent="0.25">
      <c r="A4" s="238">
        <v>30</v>
      </c>
      <c r="B4" s="239" t="s">
        <v>13</v>
      </c>
      <c r="C4" s="240" t="s">
        <v>14</v>
      </c>
      <c r="D4" s="238">
        <v>5814</v>
      </c>
      <c r="E4" s="241">
        <v>6901</v>
      </c>
      <c r="F4" s="241">
        <v>25000</v>
      </c>
      <c r="G4" s="241">
        <f>INDEX(Tubex_Dashboard!$H$11:$H$100,MATCH(MRP!D4,Tubex_Dashboard!$F$11:$F$100,0))</f>
        <v>0</v>
      </c>
      <c r="H4" s="242">
        <f>F4-G4</f>
        <v>25000</v>
      </c>
      <c r="I4" s="242" t="s">
        <v>15</v>
      </c>
    </row>
    <row r="5" spans="1:19" ht="24" customHeight="1" x14ac:dyDescent="0.25">
      <c r="A5" s="12"/>
      <c r="B5" s="12"/>
      <c r="C5" s="13"/>
      <c r="D5" s="13"/>
      <c r="E5" s="14" t="s">
        <v>16</v>
      </c>
      <c r="F5" s="114">
        <f>SUM(F3:F4)</f>
        <v>284778</v>
      </c>
      <c r="G5" s="114">
        <f>SUM(G3:G4)</f>
        <v>271812</v>
      </c>
      <c r="H5" s="114">
        <f>SUMIF(H3:H4, "&gt;0")</f>
        <v>25000</v>
      </c>
      <c r="I5" s="12"/>
      <c r="J5" s="11"/>
      <c r="K5" s="11"/>
      <c r="L5" s="11"/>
      <c r="M5" s="11"/>
      <c r="N5" s="11"/>
      <c r="O5" s="11"/>
      <c r="P5" s="11"/>
      <c r="Q5" s="11"/>
      <c r="R5" s="2"/>
    </row>
    <row r="6" spans="1:19" ht="24" customHeight="1" x14ac:dyDescent="0.25">
      <c r="A6" s="18" t="s">
        <v>17</v>
      </c>
      <c r="B6" s="19"/>
      <c r="C6" s="19"/>
      <c r="D6" s="19"/>
      <c r="E6" s="20"/>
      <c r="F6" s="20"/>
      <c r="G6" s="21"/>
      <c r="H6" s="20"/>
      <c r="I6" s="19"/>
      <c r="J6" s="11"/>
      <c r="K6" s="11"/>
      <c r="L6" s="11"/>
      <c r="M6" s="11"/>
      <c r="N6" s="11"/>
      <c r="O6" s="11"/>
      <c r="P6" s="11"/>
      <c r="Q6" s="11"/>
      <c r="R6" s="11"/>
      <c r="S6" s="2"/>
    </row>
    <row r="7" spans="1:19" ht="24" customHeight="1" x14ac:dyDescent="0.25">
      <c r="A7" s="12" t="s">
        <v>18</v>
      </c>
      <c r="B7" s="12" t="s">
        <v>19</v>
      </c>
      <c r="C7" s="12" t="s">
        <v>20</v>
      </c>
      <c r="D7" s="12" t="s">
        <v>21</v>
      </c>
      <c r="E7" s="14" t="s">
        <v>7</v>
      </c>
      <c r="F7" s="14" t="s">
        <v>22</v>
      </c>
      <c r="G7" s="15" t="s">
        <v>23</v>
      </c>
      <c r="H7" s="179" t="s">
        <v>24</v>
      </c>
      <c r="I7" s="12" t="s">
        <v>25</v>
      </c>
      <c r="J7" s="210" t="s">
        <v>26</v>
      </c>
      <c r="L7" s="11"/>
      <c r="M7" s="11"/>
      <c r="N7" s="11"/>
      <c r="O7" s="11"/>
      <c r="P7" s="11"/>
      <c r="Q7" s="11"/>
      <c r="R7" s="11"/>
      <c r="S7" s="2"/>
    </row>
    <row r="8" spans="1:19" ht="36" hidden="1" customHeight="1" x14ac:dyDescent="0.25">
      <c r="A8" s="16">
        <v>33</v>
      </c>
      <c r="B8" s="180" t="s">
        <v>27</v>
      </c>
      <c r="C8" s="180" t="s">
        <v>28</v>
      </c>
      <c r="D8" s="180" t="s">
        <v>29</v>
      </c>
      <c r="E8" s="181">
        <f>SUMPRODUCT((TableBOM[Item ID]=A8)*TableBOM[Per 1000 Units]*(1+TableBOM[Scrap %])*SUMIF($D$3:$D$4,TableBOM[Product ID],$H$3:$H$4)/1000)</f>
        <v>0</v>
      </c>
      <c r="F8" s="181">
        <f>IFERROR(INDEX(TableInventory[Store Balance],MATCH(A8,TableInventory[Item ID],0)),0)+IFERROR(INDEX(TableInventory[WIP],MATCH(A8,TableInventory[Item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27</v>
      </c>
      <c r="C9" s="180" t="s">
        <v>30</v>
      </c>
      <c r="D9" s="180" t="s">
        <v>29</v>
      </c>
      <c r="E9" s="181">
        <f>SUMPRODUCT((TableBOM[Item ID]=A9)*TableBOM[Per 1000 Units]*(1+TableBOM[Scrap %])*SUMIF($D$3:$D$4,TableBOM[Product ID],$H$3:$H$4)/1000)</f>
        <v>0</v>
      </c>
      <c r="F9" s="181">
        <f>IFERROR(INDEX(TableInventory[Store Balance],MATCH(A9,TableInventory[Item ID],0)),0)+IFERROR(INDEX(TableInventory[WIP],MATCH(A9,TableInventory[Item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27</v>
      </c>
      <c r="C10" s="180" t="s">
        <v>31</v>
      </c>
      <c r="D10" s="180" t="s">
        <v>29</v>
      </c>
      <c r="E10" s="181">
        <f>SUMPRODUCT((TableBOM[Item ID]=A10)*TableBOM[Per 1000 Units]*(1+TableBOM[Scrap %])*SUMIF($D$3:$D$4,TableBOM[Product ID],$H$3:$H$4)/1000)</f>
        <v>0</v>
      </c>
      <c r="F10" s="181">
        <f>IFERROR(INDEX(TableInventory[Store Balance],MATCH(A10,TableInventory[Item ID],0)),0)+IFERROR(INDEX(TableInventory[WIP],MATCH(A10,TableInventory[Item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27</v>
      </c>
      <c r="C11" s="180" t="s">
        <v>32</v>
      </c>
      <c r="D11" s="180" t="s">
        <v>29</v>
      </c>
      <c r="E11" s="182">
        <f>SUMPRODUCT((TableBOM[Item ID]=A11)*TableBOM[Per 1000 Units]*(1+TableBOM[Scrap %])*SUMIF($D$3:$D$4,TableBOM[Product ID],$H$3:$H$4)/1000)</f>
        <v>0</v>
      </c>
      <c r="F11" s="182">
        <f>IFERROR(INDEX(TableInventory[Store Balance],MATCH(A11,TableInventory[Item ID],0)),0)+IFERROR(INDEX(TableInventory[WIP],MATCH(A11,TableInventory[Item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27</v>
      </c>
      <c r="C12" s="180" t="s">
        <v>33</v>
      </c>
      <c r="D12" s="180" t="s">
        <v>29</v>
      </c>
      <c r="E12" s="182">
        <f>SUMPRODUCT((TableBOM[Item ID]=A12)*TableBOM[Per 1000 Units]*(1+TableBOM[Scrap %])*SUMIF($D$3:$D$4,TableBOM[Product ID],$H$3:$H$4)/1000)</f>
        <v>0</v>
      </c>
      <c r="F12" s="182">
        <f>IFERROR(INDEX(TableInventory[Store Balance],MATCH(A12,TableInventory[Item ID],0)),0)+IFERROR(INDEX(TableInventory[WIP],MATCH(A12,TableInventory[Item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27</v>
      </c>
      <c r="C13" s="180" t="s">
        <v>34</v>
      </c>
      <c r="D13" s="180" t="s">
        <v>29</v>
      </c>
      <c r="E13" s="181">
        <f>SUMPRODUCT((TableBOM[Item ID]=A13)*TableBOM[Per 1000 Units]*(1+TableBOM[Scrap %])*SUMIF($D$3:$D$4,TableBOM[Product ID],$H$3:$H$4)/1000)</f>
        <v>0</v>
      </c>
      <c r="F13" s="181">
        <f>IFERROR(INDEX(TableInventory[Store Balance],MATCH(A13,TableInventory[Item ID],0)),0)+IFERROR(INDEX(TableInventory[WIP],MATCH(A13,TableInventory[Item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27</v>
      </c>
      <c r="C14" s="180" t="s">
        <v>35</v>
      </c>
      <c r="D14" s="180" t="s">
        <v>29</v>
      </c>
      <c r="E14" s="181">
        <f>SUMPRODUCT((TableBOM[Item ID]=A14)*TableBOM[Per 1000 Units]*(1+TableBOM[Scrap %])*SUMIF($D$3:$D$4,TableBOM[Product ID],$H$3:$H$4)/1000)</f>
        <v>0</v>
      </c>
      <c r="F14" s="181">
        <f>IFERROR(INDEX(TableInventory[Store Balance],MATCH(A14,TableInventory[Item ID],0)),0)+IFERROR(INDEX(TableInventory[WIP],MATCH(A14,TableInventory[Item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27</v>
      </c>
      <c r="C15" s="180" t="s">
        <v>36</v>
      </c>
      <c r="D15" s="180" t="s">
        <v>29</v>
      </c>
      <c r="E15" s="181">
        <f>SUMPRODUCT((TableBOM[Item ID]=A15)*TableBOM[Per 1000 Units]*(1+TableBOM[Scrap %])*SUMIF($D$3:$D$4,TableBOM[Product ID],$H$3:$H$4)/1000)</f>
        <v>0</v>
      </c>
      <c r="F15" s="181">
        <f>IFERROR(INDEX(TableInventory[Store Balance],MATCH(A15,TableInventory[Item ID],0)),0)+IFERROR(INDEX(TableInventory[WIP],MATCH(A15,TableInventory[Item ID],0)),0)</f>
        <v>518</v>
      </c>
      <c r="G15" s="181">
        <f t="shared" si="0"/>
        <v>518</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27</v>
      </c>
      <c r="C16" s="180" t="s">
        <v>37</v>
      </c>
      <c r="D16" s="180" t="s">
        <v>29</v>
      </c>
      <c r="E16" s="181">
        <f>SUMPRODUCT((TableBOM[Item ID]=A16)*TableBOM[Per 1000 Units]*(1+TableBOM[Scrap %])*SUMIF($D$3:$D$4,TableBOM[Product ID],$H$3:$H$4)/1000)</f>
        <v>0</v>
      </c>
      <c r="F16" s="181">
        <f>IFERROR(INDEX(TableInventory[Store Balance],MATCH(A16,TableInventory[Item ID],0)),0)+IFERROR(INDEX(TableInventory[WIP],MATCH(A16,TableInventory[Item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27</v>
      </c>
      <c r="C17" s="180" t="s">
        <v>38</v>
      </c>
      <c r="D17" s="180" t="s">
        <v>29</v>
      </c>
      <c r="E17" s="181">
        <f>SUMPRODUCT((TableBOM[Item ID]=A17)*TableBOM[Per 1000 Units]*(1+TableBOM[Scrap %])*SUMIF($D$3:$D$4,TableBOM[Product ID],$H$3:$H$4)/1000)</f>
        <v>0</v>
      </c>
      <c r="F17" s="181">
        <f>IFERROR(INDEX(TableInventory[Store Balance],MATCH(A17,TableInventory[Item ID],0)),0)+IFERROR(INDEX(TableInventory[WIP],MATCH(A17,TableInventory[Item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27</v>
      </c>
      <c r="C18" s="180" t="s">
        <v>39</v>
      </c>
      <c r="D18" s="180" t="s">
        <v>29</v>
      </c>
      <c r="E18" s="181">
        <f>SUMPRODUCT((TableBOM[Item ID]=A18)*TableBOM[Per 1000 Units]*(1+TableBOM[Scrap %])*SUMIF($D$3:$D$4,TableBOM[Product ID],$H$3:$H$4)/1000)</f>
        <v>114.10080000000002</v>
      </c>
      <c r="F18" s="182">
        <f>IFERROR(INDEX(TableInventory[Store Balance],MATCH(A18,TableInventory[Item ID],0)),0)+IFERROR(INDEX(TableInventory[WIP],MATCH(A18,TableInventory[Item ID],0)),0)</f>
        <v>480</v>
      </c>
      <c r="G18" s="181">
        <f t="shared" si="0"/>
        <v>365.89919999999995</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60000</v>
      </c>
      <c r="I18" s="183" t="str">
        <f t="shared" si="1"/>
        <v>OK</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VINCE NURTURAL</v>
      </c>
      <c r="L18" s="11"/>
      <c r="M18" s="11"/>
      <c r="N18" s="11"/>
      <c r="O18" s="11"/>
      <c r="P18" s="11"/>
      <c r="Q18" s="11"/>
      <c r="R18" s="11"/>
      <c r="S18" s="2"/>
    </row>
    <row r="19" spans="1:19" hidden="1" x14ac:dyDescent="0.25">
      <c r="A19" s="16">
        <v>6961</v>
      </c>
      <c r="B19" s="180" t="s">
        <v>27</v>
      </c>
      <c r="C19" s="180" t="s">
        <v>40</v>
      </c>
      <c r="D19" s="180" t="s">
        <v>29</v>
      </c>
      <c r="E19" s="182">
        <f>SUMPRODUCT((TableBOM[Item ID]=A19)*TableBOM[Per 1000 Units]*(1+TableBOM[Scrap %])*SUMIF($D$3:$D$4,TableBOM[Product ID],$H$3:$H$4)/1000)</f>
        <v>0</v>
      </c>
      <c r="F19" s="182">
        <f>IFERROR(INDEX(TableInventory[Store Balance],MATCH(A19,TableInventory[Item ID],0)),0)+IFERROR(INDEX(TableInventory[WIP],MATCH(A19,TableInventory[Item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27</v>
      </c>
      <c r="C20" s="180" t="s">
        <v>41</v>
      </c>
      <c r="D20" s="180" t="s">
        <v>29</v>
      </c>
      <c r="E20" s="181">
        <f>SUMPRODUCT((TableBOM[Item ID]=A20)*TableBOM[Per 1000 Units]*(1+TableBOM[Scrap %])*SUMIF($D$3:$D$4,TableBOM[Product ID],$H$3:$H$4)/1000)</f>
        <v>0</v>
      </c>
      <c r="F20" s="181">
        <f>IFERROR(INDEX(TableInventory[Store Balance],MATCH(A20,TableInventory[Item ID],0)),0)+IFERROR(INDEX(TableInventory[WIP],MATCH(A20,TableInventory[Item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27</v>
      </c>
      <c r="C21" s="180" t="s">
        <v>42</v>
      </c>
      <c r="D21" s="180" t="s">
        <v>29</v>
      </c>
      <c r="E21" s="181">
        <f>SUMPRODUCT((TableBOM[Item ID]=A21)*TableBOM[Per 1000 Units]*(1+TableBOM[Scrap %])*SUMIF($D$3:$D$4,TableBOM[Product ID],$H$3:$H$4)/1000)</f>
        <v>0</v>
      </c>
      <c r="F21" s="181">
        <f>IFERROR(INDEX(TableInventory[Store Balance],MATCH(A21,TableInventory[Item ID],0)),0)+IFERROR(INDEX(TableInventory[WIP],MATCH(A21,TableInventory[Item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43</v>
      </c>
      <c r="C22" s="180" t="s">
        <v>44</v>
      </c>
      <c r="D22" s="180" t="s">
        <v>29</v>
      </c>
      <c r="E22" s="181">
        <f>SUMPRODUCT((TableBOM[Item ID]=A22)*TableBOM[Per 1000 Units]*(1+TableBOM[Scrap %])*SUMIF($D$3:$D$4,TableBOM[Product ID],$H$3:$H$4)/1000)</f>
        <v>0</v>
      </c>
      <c r="F22" s="181">
        <f>IFERROR(INDEX(TableInventory[Store Balance],MATCH(A22,TableInventory[Item ID],0)),0)+IFERROR(INDEX(TableInventory[WIP],MATCH(A22,TableInventory[Item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43</v>
      </c>
      <c r="C23" s="180" t="s">
        <v>45</v>
      </c>
      <c r="D23" s="180" t="s">
        <v>46</v>
      </c>
      <c r="E23" s="181">
        <f>SUMPRODUCT((TableBOM[Item ID]=A23)*TableBOM[Per 1000 Units]*(1+TableBOM[Scrap %])*SUMIF($D$3:$D$4,TableBOM[Product ID],$H$3:$H$4)/1000)</f>
        <v>0</v>
      </c>
      <c r="F23" s="181">
        <f>IFERROR(INDEX(TableInventory[Store Balance],MATCH(A23,TableInventory[Item ID],0)),0)+IFERROR(INDEX(TableInventory[WIP],MATCH(A23,TableInventory[Item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43</v>
      </c>
      <c r="C24" s="180" t="s">
        <v>47</v>
      </c>
      <c r="D24" s="180" t="s">
        <v>29</v>
      </c>
      <c r="E24" s="181">
        <f>SUMPRODUCT((TableBOM[Item ID]=A24)*TableBOM[Per 1000 Units]*(1+TableBOM[Scrap %])*SUMIF($D$3:$D$4,TableBOM[Product ID],$H$3:$H$4)/1000)</f>
        <v>0</v>
      </c>
      <c r="F24" s="181">
        <f>IFERROR(INDEX(TableInventory[Store Balance],MATCH(A24,TableInventory[Item ID],0)),0)+IFERROR(INDEX(TableInventory[WIP],MATCH(A24,TableInventory[Item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43</v>
      </c>
      <c r="C25" s="180" t="s">
        <v>48</v>
      </c>
      <c r="D25" s="180" t="s">
        <v>29</v>
      </c>
      <c r="E25" s="181">
        <f>SUMPRODUCT((TableBOM[Item ID]=A25)*TableBOM[Per 1000 Units]*(1+TableBOM[Scrap %])*SUMIF($D$3:$D$4,TableBOM[Product ID],$H$3:$H$4)/1000)</f>
        <v>0</v>
      </c>
      <c r="F25" s="181">
        <f>IFERROR(INDEX(TableInventory[Store Balance],MATCH(A25,TableInventory[Item ID],0)),0)+IFERROR(INDEX(TableInventory[WIP],MATCH(A25,TableInventory[Item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43</v>
      </c>
      <c r="C26" s="180" t="s">
        <v>49</v>
      </c>
      <c r="D26" s="180" t="s">
        <v>29</v>
      </c>
      <c r="E26" s="181">
        <f>SUMPRODUCT((TableBOM[Item ID]=A26)*TableBOM[Per 1000 Units]*(1+TableBOM[Scrap %])*SUMIF($D$3:$D$4,TableBOM[Product ID],$H$3:$H$4)/1000)</f>
        <v>4.4307779999999992</v>
      </c>
      <c r="F26" s="181">
        <f>IFERROR(INDEX(TableInventory[Store Balance],MATCH(A26,TableInventory[Item ID],0)),0)+IFERROR(INDEX(TableInventory[WIP],MATCH(A26,TableInventory[Item ID],0)),0)</f>
        <v>50</v>
      </c>
      <c r="G26" s="181">
        <f t="shared" si="0"/>
        <v>45.569222000000003</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168976</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VINCE NURTURAL</v>
      </c>
      <c r="L26" s="11"/>
      <c r="M26" s="11"/>
      <c r="N26" s="11"/>
      <c r="O26" s="11"/>
      <c r="P26" s="11"/>
      <c r="Q26" s="11"/>
      <c r="R26" s="11"/>
      <c r="S26" s="2"/>
    </row>
    <row r="27" spans="1:19" hidden="1" x14ac:dyDescent="0.25">
      <c r="A27" s="16">
        <v>170</v>
      </c>
      <c r="B27" s="180" t="s">
        <v>50</v>
      </c>
      <c r="C27" s="180" t="s">
        <v>51</v>
      </c>
      <c r="D27" s="180" t="s">
        <v>29</v>
      </c>
      <c r="E27" s="181">
        <f>SUMPRODUCT((TableBOM[Item ID]=A27)*TableBOM[Per 1000 Units]*(1+TableBOM[Scrap %])*SUMIF($D$3:$D$4,TableBOM[Product ID],$H$3:$H$4)/1000)</f>
        <v>0</v>
      </c>
      <c r="F27" s="181">
        <f>IFERROR(INDEX(TableInventory[Store Balance],MATCH(A27,TableInventory[Item ID],0)),0)+IFERROR(INDEX(TableInventory[WIP],MATCH(A27,TableInventory[Item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50</v>
      </c>
      <c r="C28" s="180" t="s">
        <v>52</v>
      </c>
      <c r="D28" s="180" t="s">
        <v>29</v>
      </c>
      <c r="E28" s="181">
        <f>SUMPRODUCT((TableBOM[Item ID]=A28)*TableBOM[Per 1000 Units]*(1+TableBOM[Scrap %])*SUMIF($D$3:$D$4,TableBOM[Product ID],$H$3:$H$4)/1000)</f>
        <v>0</v>
      </c>
      <c r="F28" s="181">
        <f>IFERROR(INDEX(TableInventory[Store Balance],MATCH(A28,TableInventory[Item ID],0)),0)+IFERROR(INDEX(TableInventory[WIP],MATCH(A28,TableInventory[Item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50</v>
      </c>
      <c r="C29" s="180" t="s">
        <v>53</v>
      </c>
      <c r="D29" s="180" t="s">
        <v>29</v>
      </c>
      <c r="E29" s="181">
        <f>SUMPRODUCT((TableBOM[Item ID]=A29)*TableBOM[Per 1000 Units]*(1+TableBOM[Scrap %])*SUMIF($D$3:$D$4,TableBOM[Product ID],$H$3:$H$4)/1000)</f>
        <v>0</v>
      </c>
      <c r="F29" s="181">
        <f>IFERROR(INDEX(TableInventory[Store Balance],MATCH(A29,TableInventory[Item ID],0)),0)+IFERROR(INDEX(TableInventory[WIP],MATCH(A29,TableInventory[Item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50</v>
      </c>
      <c r="C30" s="180" t="s">
        <v>54</v>
      </c>
      <c r="D30" s="180" t="s">
        <v>29</v>
      </c>
      <c r="E30" s="181">
        <f>SUMPRODUCT((TableBOM[Item ID]=A30)*TableBOM[Per 1000 Units]*(1+TableBOM[Scrap %])*SUMIF($D$3:$D$4,TableBOM[Product ID],$H$3:$H$4)/1000)</f>
        <v>9.5119419999999995</v>
      </c>
      <c r="F30" s="181">
        <f>IFERROR(INDEX(TableInventory[Store Balance],MATCH(A30,TableInventory[Item ID],0)),0)+IFERROR(INDEX(TableInventory[WIP],MATCH(A30,TableInventory[Item ID],0)),0)</f>
        <v>90</v>
      </c>
      <c r="G30" s="181">
        <f t="shared" si="0"/>
        <v>80.488057999999995</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134650</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VINCE NURTURAL</v>
      </c>
      <c r="L30" s="11"/>
      <c r="M30" s="11"/>
      <c r="N30" s="11"/>
      <c r="O30" s="11"/>
      <c r="P30" s="11"/>
      <c r="Q30" s="11"/>
      <c r="R30" s="11"/>
      <c r="S30" s="2"/>
    </row>
    <row r="31" spans="1:19" hidden="1" x14ac:dyDescent="0.25">
      <c r="A31" s="16">
        <v>3869</v>
      </c>
      <c r="B31" s="180" t="s">
        <v>50</v>
      </c>
      <c r="C31" s="180" t="s">
        <v>55</v>
      </c>
      <c r="D31" s="180" t="s">
        <v>29</v>
      </c>
      <c r="E31" s="181">
        <f>SUMPRODUCT((TableBOM[Item ID]=A31)*TableBOM[Per 1000 Units]*(1+TableBOM[Scrap %])*SUMIF($D$3:$D$4,TableBOM[Product ID],$H$3:$H$4)/1000)</f>
        <v>0</v>
      </c>
      <c r="F31" s="181">
        <f>IFERROR(INDEX(TableInventory[Store Balance],MATCH(A31,TableInventory[Item ID],0)),0)+IFERROR(INDEX(TableInventory[WIP],MATCH(A31,TableInventory[Item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50</v>
      </c>
      <c r="C32" s="180" t="s">
        <v>56</v>
      </c>
      <c r="D32" s="180" t="s">
        <v>29</v>
      </c>
      <c r="E32" s="181">
        <f>SUMPRODUCT((TableBOM[Item ID]=A32)*TableBOM[Per 1000 Units]*(1+TableBOM[Scrap %])*SUMIF($D$3:$D$4,TableBOM[Product ID],$H$3:$H$4)/1000)</f>
        <v>0</v>
      </c>
      <c r="F32" s="181">
        <f>IFERROR(INDEX(TableInventory[Store Balance],MATCH(A32,TableInventory[Item ID],0)),0)+IFERROR(INDEX(TableInventory[WIP],MATCH(A32,TableInventory[Item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50</v>
      </c>
      <c r="C33" s="180" t="s">
        <v>57</v>
      </c>
      <c r="D33" s="180" t="s">
        <v>29</v>
      </c>
      <c r="E33" s="181">
        <f>SUMPRODUCT((TableBOM[Item ID]=A33)*TableBOM[Per 1000 Units]*(1+TableBOM[Scrap %])*SUMIF($D$3:$D$4,TableBOM[Product ID],$H$3:$H$4)/1000)</f>
        <v>0</v>
      </c>
      <c r="F33" s="181">
        <f>IFERROR(INDEX(TableInventory[Store Balance],MATCH(A33,TableInventory[Item ID],0)),0)+IFERROR(INDEX(TableInventory[WIP],MATCH(A33,TableInventory[Item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50</v>
      </c>
      <c r="C34" s="180" t="s">
        <v>58</v>
      </c>
      <c r="D34" s="180" t="s">
        <v>29</v>
      </c>
      <c r="E34" s="181">
        <f>SUMPRODUCT((TableBOM[Item ID]=A34)*TableBOM[Per 1000 Units]*(1+TableBOM[Scrap %])*SUMIF($D$3:$D$4,TableBOM[Product ID],$H$3:$H$4)/1000)</f>
        <v>0</v>
      </c>
      <c r="F34" s="181">
        <f>IFERROR(INDEX(TableInventory[Store Balance],MATCH(A34,TableInventory[Item ID],0)),0)+IFERROR(INDEX(TableInventory[WIP],MATCH(A34,TableInventory[Item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50</v>
      </c>
      <c r="C35" s="180" t="s">
        <v>59</v>
      </c>
      <c r="D35" s="180" t="s">
        <v>46</v>
      </c>
      <c r="E35" s="181">
        <f>SUMPRODUCT((TableBOM[Item ID]=A35)*TableBOM[Per 1000 Units]*(1+TableBOM[Scrap %])*SUMIF($D$3:$D$4,TableBOM[Product ID],$H$3:$H$4)/1000)</f>
        <v>0</v>
      </c>
      <c r="F35" s="181">
        <f>IFERROR(INDEX(TableInventory[Store Balance],MATCH(A35,TableInventory[Item ID],0)),0)+IFERROR(INDEX(TableInventory[WIP],MATCH(A35,TableInventory[Item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50</v>
      </c>
      <c r="C36" s="180" t="s">
        <v>60</v>
      </c>
      <c r="D36" s="180" t="s">
        <v>29</v>
      </c>
      <c r="E36" s="181">
        <f>SUMPRODUCT((TableBOM[Item ID]=A36)*TableBOM[Per 1000 Units]*(1+TableBOM[Scrap %])*SUMIF($D$3:$D$4,TableBOM[Product ID],$H$3:$H$4)/1000)</f>
        <v>0</v>
      </c>
      <c r="F36" s="181">
        <f>IFERROR(INDEX(TableInventory[Store Balance],MATCH(A36,TableInventory[Item ID],0)),0)+IFERROR(INDEX(TableInventory[WIP],MATCH(A36,TableInventory[Item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50</v>
      </c>
      <c r="C37" s="180" t="s">
        <v>61</v>
      </c>
      <c r="D37" s="180" t="s">
        <v>29</v>
      </c>
      <c r="E37" s="181">
        <f>SUMPRODUCT((TableBOM[Item ID]=A37)*TableBOM[Per 1000 Units]*(1+TableBOM[Scrap %])*SUMIF($D$3:$D$4,TableBOM[Product ID],$H$3:$H$4)/1000)</f>
        <v>0</v>
      </c>
      <c r="F37" s="181">
        <f>IFERROR(INDEX(TableInventory[Store Balance],MATCH(A37,TableInventory[Item ID],0)),0)+IFERROR(INDEX(TableInventory[WIP],MATCH(A37,TableInventory[Item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62</v>
      </c>
      <c r="C38" s="180" t="s">
        <v>63</v>
      </c>
      <c r="D38" s="180" t="s">
        <v>29</v>
      </c>
      <c r="E38" s="181">
        <f>SUMPRODUCT((TableBOM[Item ID]=A38)*TableBOM[Per 1000 Units]*(1+TableBOM[Scrap %])*SUMIF($D$3:$D$4,TableBOM[Product ID],$H$3:$H$4)/1000)</f>
        <v>-0.40647200000000083</v>
      </c>
      <c r="F38" s="181">
        <f>IFERROR(INDEX(TableInventory[Store Balance],MATCH(A38,TableInventory[Item ID],0)),0)+IFERROR(INDEX(TableInventory[WIP],MATCH(A38,TableInventory[Item ID],0)),0)</f>
        <v>510</v>
      </c>
      <c r="G38" s="181">
        <f t="shared" si="0"/>
        <v>510.40647200000001</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4250000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VINCE NURTURAL</v>
      </c>
    </row>
    <row r="39" spans="1:19" hidden="1" x14ac:dyDescent="0.25">
      <c r="A39" s="16">
        <v>69</v>
      </c>
      <c r="B39" s="180" t="s">
        <v>64</v>
      </c>
      <c r="C39" s="180" t="s">
        <v>65</v>
      </c>
      <c r="D39" s="180" t="s">
        <v>66</v>
      </c>
      <c r="E39" s="181">
        <f>SUMPRODUCT((TableBOM[Item ID]=A39)*TableBOM[Per 1000 Units]*(1+TableBOM[Scrap %])*SUMIF($D$3:$D$4,TableBOM[Product ID],$H$3:$H$4)/1000)</f>
        <v>0</v>
      </c>
      <c r="F39" s="181">
        <f>IFERROR(INDEX(TableInventory[Store Balance],MATCH(A39,TableInventory[Item ID],0)),0)+IFERROR(INDEX(TableInventory[WIP],MATCH(A39,TableInventory[Item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64</v>
      </c>
      <c r="C40" s="180" t="s">
        <v>67</v>
      </c>
      <c r="D40" s="180" t="s">
        <v>66</v>
      </c>
      <c r="E40" s="181">
        <f>SUMPRODUCT((TableBOM[Item ID]=A40)*TableBOM[Per 1000 Units]*(1+TableBOM[Scrap %])*SUMIF($D$3:$D$4,TableBOM[Product ID],$H$3:$H$4)/1000)</f>
        <v>0</v>
      </c>
      <c r="F40" s="181">
        <f>IFERROR(INDEX(TableInventory[Store Balance],MATCH(A40,TableInventory[Item ID],0)),0)+IFERROR(INDEX(TableInventory[WIP],MATCH(A40,TableInventory[Item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64</v>
      </c>
      <c r="C41" s="180" t="s">
        <v>68</v>
      </c>
      <c r="D41" s="180" t="s">
        <v>66</v>
      </c>
      <c r="E41" s="181">
        <f>SUMPRODUCT((TableBOM[Item ID]=A41)*TableBOM[Per 1000 Units]*(1+TableBOM[Scrap %])*SUMIF($D$3:$D$4,TableBOM[Product ID],$H$3:$H$4)/1000)</f>
        <v>0</v>
      </c>
      <c r="F41" s="181">
        <f>IFERROR(INDEX(TableInventory[Store Balance],MATCH(A41,TableInventory[Item ID],0)),0)+IFERROR(INDEX(TableInventory[WIP],MATCH(A41,TableInventory[Item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64</v>
      </c>
      <c r="C42" s="180" t="s">
        <v>69</v>
      </c>
      <c r="D42" s="180" t="s">
        <v>66</v>
      </c>
      <c r="E42" s="181">
        <f>SUMPRODUCT((TableBOM[Item ID]=A42)*TableBOM[Per 1000 Units]*(1+TableBOM[Scrap %])*SUMIF($D$3:$D$4,TableBOM[Product ID],$H$3:$H$4)/1000)</f>
        <v>0</v>
      </c>
      <c r="F42" s="181">
        <f>IFERROR(INDEX(TableInventory[Store Balance],MATCH(A42,TableInventory[Item ID],0)),0)+IFERROR(INDEX(TableInventory[WIP],MATCH(A42,TableInventory[Item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64</v>
      </c>
      <c r="C43" s="180" t="s">
        <v>70</v>
      </c>
      <c r="D43" s="180" t="s">
        <v>66</v>
      </c>
      <c r="E43" s="181">
        <f>SUMPRODUCT((TableBOM[Item ID]=A43)*TableBOM[Per 1000 Units]*(1+TableBOM[Scrap %])*SUMIF($D$3:$D$4,TableBOM[Product ID],$H$3:$H$4)/1000)</f>
        <v>0</v>
      </c>
      <c r="F43" s="181">
        <f>IFERROR(INDEX(TableInventory[Store Balance],MATCH(A43,TableInventory[Item ID],0)),0)+IFERROR(INDEX(TableInventory[WIP],MATCH(A43,TableInventory[Item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64</v>
      </c>
      <c r="C44" s="180" t="s">
        <v>71</v>
      </c>
      <c r="D44" s="180" t="s">
        <v>66</v>
      </c>
      <c r="E44" s="181">
        <f>SUMPRODUCT((TableBOM[Item ID]=A44)*TableBOM[Per 1000 Units]*(1+TableBOM[Scrap %])*SUMIF($D$3:$D$4,TableBOM[Product ID],$H$3:$H$4)/1000)</f>
        <v>0</v>
      </c>
      <c r="F44" s="181">
        <f>IFERROR(INDEX(TableInventory[Store Balance],MATCH(A44,TableInventory[Item ID],0)),0)+IFERROR(INDEX(TableInventory[WIP],MATCH(A44,TableInventory[Item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64</v>
      </c>
      <c r="C45" s="180" t="s">
        <v>72</v>
      </c>
      <c r="D45" s="180" t="s">
        <v>66</v>
      </c>
      <c r="E45" s="181">
        <f>SUMPRODUCT((TableBOM[Item ID]=A45)*TableBOM[Per 1000 Units]*(1+TableBOM[Scrap %])*SUMIF($D$3:$D$4,TableBOM[Product ID],$H$3:$H$4)/1000)</f>
        <v>0</v>
      </c>
      <c r="F45" s="181">
        <f>IFERROR(INDEX(TableInventory[Store Balance],MATCH(A45,TableInventory[Item ID],0)),0)+IFERROR(INDEX(TableInventory[WIP],MATCH(A45,TableInventory[Item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64</v>
      </c>
      <c r="C46" s="180" t="s">
        <v>73</v>
      </c>
      <c r="D46" s="180" t="s">
        <v>66</v>
      </c>
      <c r="E46" s="205">
        <f>SUMPRODUCT((TableBOM[Item ID]=A46)*TableBOM[Per 1000 Units]*(1+TableBOM[Scrap %])*SUMIF($D$3:$D$4,TableBOM[Product ID],$H$3:$H$4)/1000)</f>
        <v>0</v>
      </c>
      <c r="F46" s="205">
        <f>IFERROR(INDEX(TableInventory[Store Balance],MATCH(A46,TableInventory[Item ID],0)),0)+IFERROR(INDEX(TableInventory[WIP],MATCH(A46,TableInventory[Item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64</v>
      </c>
      <c r="C47" s="180" t="s">
        <v>74</v>
      </c>
      <c r="D47" s="180" t="s">
        <v>66</v>
      </c>
      <c r="E47" s="181">
        <f>SUMPRODUCT((TableBOM[Item ID]=A47)*TableBOM[Per 1000 Units]*(1+TableBOM[Scrap %])*SUMIF($D$3:$D$4,TableBOM[Product ID],$H$3:$H$4)/1000)</f>
        <v>0</v>
      </c>
      <c r="F47" s="181">
        <f>IFERROR(INDEX(TableInventory[Store Balance],MATCH(A47,TableInventory[Item ID],0)),0)+IFERROR(INDEX(TableInventory[WIP],MATCH(A47,TableInventory[Item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64</v>
      </c>
      <c r="C48" s="180" t="s">
        <v>75</v>
      </c>
      <c r="D48" s="180" t="s">
        <v>66</v>
      </c>
      <c r="E48" s="181">
        <f>SUMPRODUCT((TableBOM[Item ID]=A48)*TableBOM[Per 1000 Units]*(1+TableBOM[Scrap %])*SUMIF($D$3:$D$4,TableBOM[Product ID],$H$3:$H$4)/1000)</f>
        <v>0</v>
      </c>
      <c r="F48" s="181">
        <f>IFERROR(INDEX(TableInventory[Store Balance],MATCH(A48,TableInventory[Item ID],0)),0)+IFERROR(INDEX(TableInventory[WIP],MATCH(A48,TableInventory[Item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64</v>
      </c>
      <c r="C49" s="180" t="s">
        <v>76</v>
      </c>
      <c r="D49" s="180" t="s">
        <v>66</v>
      </c>
      <c r="E49" s="181">
        <f>SUMPRODUCT((TableBOM[Item ID]=A49)*TableBOM[Per 1000 Units]*(1+TableBOM[Scrap %])*SUMIF($D$3:$D$4,TableBOM[Product ID],$H$3:$H$4)/1000)</f>
        <v>0</v>
      </c>
      <c r="F49" s="181">
        <f>IFERROR(INDEX(TableInventory[Store Balance],MATCH(A49,TableInventory[Item ID],0)),0)+IFERROR(INDEX(TableInventory[WIP],MATCH(A49,TableInventory[Item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64</v>
      </c>
      <c r="C50" s="180" t="s">
        <v>77</v>
      </c>
      <c r="D50" s="180" t="s">
        <v>66</v>
      </c>
      <c r="E50" s="181">
        <f>SUMPRODUCT((TableBOM[Item ID]=A50)*TableBOM[Per 1000 Units]*(1+TableBOM[Scrap %])*SUMIF($D$3:$D$4,TableBOM[Product ID],$H$3:$H$4)/1000)</f>
        <v>0</v>
      </c>
      <c r="F50" s="181">
        <f>IFERROR(INDEX(TableInventory[Store Balance],MATCH(A50,TableInventory[Item ID],0)),0)+IFERROR(INDEX(TableInventory[WIP],MATCH(A50,TableInventory[Item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64</v>
      </c>
      <c r="C51" s="180" t="s">
        <v>78</v>
      </c>
      <c r="D51" s="180" t="s">
        <v>66</v>
      </c>
      <c r="E51" s="181">
        <f>SUMPRODUCT((TableBOM[Item ID]=A51)*TableBOM[Per 1000 Units]*(1+TableBOM[Scrap %])*SUMIF($D$3:$D$4,TableBOM[Product ID],$H$3:$H$4)/1000)</f>
        <v>0</v>
      </c>
      <c r="F51" s="181">
        <f>IFERROR(INDEX(TableInventory[Store Balance],MATCH(A51,TableInventory[Item ID],0)),0)+IFERROR(INDEX(TableInventory[WIP],MATCH(A51,TableInventory[Item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64</v>
      </c>
      <c r="C52" s="180" t="s">
        <v>79</v>
      </c>
      <c r="D52" s="180" t="s">
        <v>66</v>
      </c>
      <c r="E52" s="181">
        <f>SUMPRODUCT((TableBOM[Item ID]=A52)*TableBOM[Per 1000 Units]*(1+TableBOM[Scrap %])*SUMIF($D$3:$D$4,TableBOM[Product ID],$H$3:$H$4)/1000)</f>
        <v>0</v>
      </c>
      <c r="F52" s="181">
        <f>IFERROR(INDEX(TableInventory[Store Balance],MATCH(A52,TableInventory[Item ID],0)),0)+IFERROR(INDEX(TableInventory[WIP],MATCH(A52,TableInventory[Item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64</v>
      </c>
      <c r="C53" s="180" t="s">
        <v>80</v>
      </c>
      <c r="D53" s="180" t="s">
        <v>66</v>
      </c>
      <c r="E53" s="181">
        <f>SUMPRODUCT((TableBOM[Item ID]=A53)*TableBOM[Per 1000 Units]*(1+TableBOM[Scrap %])*SUMIF($D$3:$D$4,TableBOM[Product ID],$H$3:$H$4)/1000)</f>
        <v>-12274.68</v>
      </c>
      <c r="F53" s="181">
        <f>IFERROR(INDEX(TableInventory[Store Balance],MATCH(A53,TableInventory[Item ID],0)),0)+IFERROR(INDEX(TableInventory[WIP],MATCH(A53,TableInventory[Item ID],0)),0)</f>
        <v>120000</v>
      </c>
      <c r="G53" s="181">
        <f t="shared" si="2"/>
        <v>132274.68</v>
      </c>
      <c r="H53" s="207" t="str">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
      </c>
    </row>
    <row r="54" spans="1:10" hidden="1" x14ac:dyDescent="0.25">
      <c r="A54" s="16">
        <v>102</v>
      </c>
      <c r="B54" s="180" t="s">
        <v>64</v>
      </c>
      <c r="C54" s="180" t="s">
        <v>81</v>
      </c>
      <c r="D54" s="180" t="s">
        <v>66</v>
      </c>
      <c r="E54" s="181">
        <f>SUMPRODUCT((TableBOM[Item ID]=A54)*TableBOM[Per 1000 Units]*(1+TableBOM[Scrap %])*SUMIF($D$3:$D$4,TableBOM[Product ID],$H$3:$H$4)/1000)</f>
        <v>0</v>
      </c>
      <c r="F54" s="181">
        <f>IFERROR(INDEX(TableInventory[Store Balance],MATCH(A54,TableInventory[Item ID],0)),0)+IFERROR(INDEX(TableInventory[WIP],MATCH(A54,TableInventory[Item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64</v>
      </c>
      <c r="C55" s="180" t="s">
        <v>82</v>
      </c>
      <c r="D55" s="180" t="s">
        <v>66</v>
      </c>
      <c r="E55" s="181">
        <f>SUMPRODUCT((TableBOM[Item ID]=A55)*TableBOM[Per 1000 Units]*(1+TableBOM[Scrap %])*SUMIF($D$3:$D$4,TableBOM[Product ID],$H$3:$H$4)/1000)</f>
        <v>0</v>
      </c>
      <c r="F55" s="181">
        <f>IFERROR(INDEX(TableInventory[Store Balance],MATCH(A55,TableInventory[Item ID],0)),0)+IFERROR(INDEX(TableInventory[WIP],MATCH(A55,TableInventory[Item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64</v>
      </c>
      <c r="C56" s="180" t="s">
        <v>83</v>
      </c>
      <c r="D56" s="180" t="s">
        <v>66</v>
      </c>
      <c r="E56" s="181">
        <f>SUMPRODUCT((TableBOM[Item ID]=A56)*TableBOM[Per 1000 Units]*(1+TableBOM[Scrap %])*SUMIF($D$3:$D$4,TableBOM[Product ID],$H$3:$H$4)/1000)</f>
        <v>0</v>
      </c>
      <c r="F56" s="181">
        <f>IFERROR(INDEX(TableInventory[Store Balance],MATCH(A56,TableInventory[Item ID],0)),0)+IFERROR(INDEX(TableInventory[WIP],MATCH(A56,TableInventory[Item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64</v>
      </c>
      <c r="C57" s="180" t="s">
        <v>84</v>
      </c>
      <c r="D57" s="180" t="s">
        <v>66</v>
      </c>
      <c r="E57" s="181">
        <f>SUMPRODUCT((TableBOM[Item ID]=A57)*TableBOM[Per 1000 Units]*(1+TableBOM[Scrap %])*SUMIF($D$3:$D$4,TableBOM[Product ID],$H$3:$H$4)/1000)</f>
        <v>0</v>
      </c>
      <c r="F57" s="181">
        <f>IFERROR(INDEX(TableInventory[Store Balance],MATCH(A57,TableInventory[Item ID],0)),0)+IFERROR(INDEX(TableInventory[WIP],MATCH(A57,TableInventory[Item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64</v>
      </c>
      <c r="C58" s="180" t="s">
        <v>85</v>
      </c>
      <c r="D58" s="180" t="s">
        <v>66</v>
      </c>
      <c r="E58" s="181">
        <f>SUMPRODUCT((TableBOM[Item ID]=A58)*TableBOM[Per 1000 Units]*(1+TableBOM[Scrap %])*SUMIF($D$3:$D$4,TableBOM[Product ID],$H$3:$H$4)/1000)</f>
        <v>0</v>
      </c>
      <c r="F58" s="181">
        <f>IFERROR(INDEX(TableInventory[Store Balance],MATCH(A58,TableInventory[Item ID],0)),0)+IFERROR(INDEX(TableInventory[WIP],MATCH(A58,TableInventory[Item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64</v>
      </c>
      <c r="C59" s="180" t="s">
        <v>86</v>
      </c>
      <c r="D59" s="180" t="s">
        <v>66</v>
      </c>
      <c r="E59" s="181">
        <f>SUMPRODUCT((TableBOM[Item ID]=A59)*TableBOM[Per 1000 Units]*(1+TableBOM[Scrap %])*SUMIF($D$3:$D$4,TableBOM[Product ID],$H$3:$H$4)/1000)</f>
        <v>25500</v>
      </c>
      <c r="F59" s="181">
        <f>IFERROR(INDEX(TableInventory[Store Balance],MATCH(A59,TableInventory[Item ID],0)),0)+IFERROR(INDEX(TableInventory[WIP],MATCH(A59,TableInventory[Item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64</v>
      </c>
      <c r="C60" s="180" t="s">
        <v>87</v>
      </c>
      <c r="D60" s="180" t="s">
        <v>66</v>
      </c>
      <c r="E60" s="181">
        <f>SUMPRODUCT((TableBOM[Item ID]=A60)*TableBOM[Per 1000 Units]*(1+TableBOM[Scrap %])*SUMIF($D$3:$D$4,TableBOM[Product ID],$H$3:$H$4)/1000)</f>
        <v>0</v>
      </c>
      <c r="F60" s="181">
        <f>IFERROR(INDEX(TableInventory[Store Balance],MATCH(A60,TableInventory[Item ID],0)),0)+IFERROR(INDEX(TableInventory[WIP],MATCH(A60,TableInventory[Item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88</v>
      </c>
      <c r="C61" s="180" t="s">
        <v>89</v>
      </c>
      <c r="D61" s="180" t="s">
        <v>66</v>
      </c>
      <c r="E61" s="181">
        <f>SUMPRODUCT((TableBOM[Item ID]=A61)*TableBOM[Per 1000 Units]*(1+TableBOM[Scrap %])*SUMIF($D$3:$D$4,TableBOM[Product ID],$H$3:$H$4)/1000)</f>
        <v>0</v>
      </c>
      <c r="F61" s="181">
        <f>IFERROR(INDEX(TableInventory[Store Balance],MATCH(A61,TableInventory[Item ID],0)),0)+IFERROR(INDEX(TableInventory[WIP],MATCH(A61,TableInventory[Item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88</v>
      </c>
      <c r="C62" s="180" t="s">
        <v>90</v>
      </c>
      <c r="D62" s="180" t="s">
        <v>66</v>
      </c>
      <c r="E62" s="181">
        <f>SUMPRODUCT((TableBOM[Item ID]=A62)*TableBOM[Per 1000 Units]*(1+TableBOM[Scrap %])*SUMIF($D$3:$D$4,TableBOM[Product ID],$H$3:$H$4)/1000)</f>
        <v>0</v>
      </c>
      <c r="F62" s="181">
        <f>IFERROR(INDEX(TableInventory[Store Balance],MATCH(A62,TableInventory[Item ID],0)),0)+IFERROR(INDEX(TableInventory[WIP],MATCH(A62,TableInventory[Item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88</v>
      </c>
      <c r="C63" s="180" t="s">
        <v>91</v>
      </c>
      <c r="D63" s="180" t="s">
        <v>66</v>
      </c>
      <c r="E63" s="181">
        <f>SUMPRODUCT((TableBOM[Item ID]=A63)*TableBOM[Per 1000 Units]*(1+TableBOM[Scrap %])*SUMIF($D$3:$D$4,TableBOM[Product ID],$H$3:$H$4)/1000)</f>
        <v>0</v>
      </c>
      <c r="F63" s="181">
        <f>IFERROR(INDEX(TableInventory[Store Balance],MATCH(A63,TableInventory[Item ID],0)),0)+IFERROR(INDEX(TableInventory[WIP],MATCH(A63,TableInventory[Item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88</v>
      </c>
      <c r="C64" s="180" t="s">
        <v>92</v>
      </c>
      <c r="D64" s="180" t="s">
        <v>66</v>
      </c>
      <c r="E64" s="181">
        <f>SUMPRODUCT((TableBOM[Item ID]=A64)*TableBOM[Per 1000 Units]*(1+TableBOM[Scrap %])*SUMIF($D$3:$D$4,TableBOM[Product ID],$H$3:$H$4)/1000)</f>
        <v>0</v>
      </c>
      <c r="F64" s="181">
        <f>IFERROR(INDEX(TableInventory[Store Balance],MATCH(A64,TableInventory[Item ID],0)),0)+IFERROR(INDEX(TableInventory[WIP],MATCH(A64,TableInventory[Item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88</v>
      </c>
      <c r="C65" s="180" t="s">
        <v>93</v>
      </c>
      <c r="D65" s="180" t="s">
        <v>66</v>
      </c>
      <c r="E65" s="181">
        <f>SUMPRODUCT((TableBOM[Item ID]=A65)*TableBOM[Per 1000 Units]*(1+TableBOM[Scrap %])*SUMIF($D$3:$D$4,TableBOM[Product ID],$H$3:$H$4)/1000)</f>
        <v>0</v>
      </c>
      <c r="F65" s="181">
        <f>IFERROR(INDEX(TableInventory[Store Balance],MATCH(A65,TableInventory[Item ID],0)),0)+IFERROR(INDEX(TableInventory[WIP],MATCH(A65,TableInventory[Item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88</v>
      </c>
      <c r="C66" s="180" t="s">
        <v>94</v>
      </c>
      <c r="D66" s="180" t="s">
        <v>66</v>
      </c>
      <c r="E66" s="181">
        <f>SUMPRODUCT((TableBOM[Item ID]=A66)*TableBOM[Per 1000 Units]*(1+TableBOM[Scrap %])*SUMIF($D$3:$D$4,TableBOM[Product ID],$H$3:$H$4)/1000)</f>
        <v>59.936740160000021</v>
      </c>
      <c r="F66" s="181">
        <f>IFERROR(INDEX(TableInventory[Store Balance],MATCH(A66,TableInventory[Item ID],0)),0)+IFERROR(INDEX(TableInventory[WIP],MATCH(A66,TableInventory[Item ID],0)),0)</f>
        <v>108</v>
      </c>
      <c r="G66" s="181">
        <f t="shared" si="2"/>
        <v>48.063259839999979</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25702</v>
      </c>
      <c r="I66" s="183" t="str">
        <f t="shared" si="3"/>
        <v>OK</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VINCE NURTURAL</v>
      </c>
    </row>
    <row r="67" spans="1:19" hidden="1" x14ac:dyDescent="0.25">
      <c r="A67" s="16">
        <v>45</v>
      </c>
      <c r="B67" s="180" t="s">
        <v>88</v>
      </c>
      <c r="C67" s="180" t="s">
        <v>95</v>
      </c>
      <c r="D67" s="180" t="s">
        <v>66</v>
      </c>
      <c r="E67" s="181">
        <f>SUMPRODUCT((TableBOM[Item ID]=A67)*TableBOM[Per 1000 Units]*(1+TableBOM[Scrap %])*SUMIF($D$3:$D$4,TableBOM[Product ID],$H$3:$H$4)/1000)</f>
        <v>0</v>
      </c>
      <c r="F67" s="181">
        <f>IFERROR(INDEX(TableInventory[Store Balance],MATCH(A67,TableInventory[Item ID],0)),0)+IFERROR(INDEX(TableInventory[WIP],MATCH(A67,TableInventory[Item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88</v>
      </c>
      <c r="C68" s="180" t="s">
        <v>96</v>
      </c>
      <c r="D68" s="180" t="s">
        <v>66</v>
      </c>
      <c r="E68" s="181">
        <f>SUMPRODUCT((TableBOM[Item ID]=A68)*TableBOM[Per 1000 Units]*(1+TableBOM[Scrap %])*SUMIF($D$3:$D$4,TableBOM[Product ID],$H$3:$H$4)/1000)</f>
        <v>0</v>
      </c>
      <c r="F68" s="181">
        <f>IFERROR(INDEX(TableInventory[Store Balance],MATCH(A68,TableInventory[Item ID],0)),0)+IFERROR(INDEX(TableInventory[WIP],MATCH(A68,TableInventory[Item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88</v>
      </c>
      <c r="C69" s="180" t="s">
        <v>97</v>
      </c>
      <c r="D69" s="180" t="s">
        <v>66</v>
      </c>
      <c r="E69" s="181">
        <f>SUMPRODUCT((TableBOM[Item ID]=A69)*TableBOM[Per 1000 Units]*(1+TableBOM[Scrap %])*SUMIF($D$3:$D$4,TableBOM[Product ID],$H$3:$H$4)/1000)</f>
        <v>0</v>
      </c>
      <c r="F69" s="181">
        <f>IFERROR(INDEX(TableInventory[Store Balance],MATCH(A69,TableInventory[Item ID],0)),0)+IFERROR(INDEX(TableInventory[WIP],MATCH(A69,TableInventory[Item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98</v>
      </c>
      <c r="C70" s="180" t="s">
        <v>99</v>
      </c>
      <c r="D70" s="180" t="s">
        <v>29</v>
      </c>
      <c r="E70" s="181">
        <f>SUMPRODUCT((TableBOM[Item ID]=A70)*TableBOM[Per 1000 Units]*(1+TableBOM[Scrap %])*SUMIF($D$3:$D$4,TableBOM[Product ID],$H$3:$H$4)/1000)</f>
        <v>-0.11013516800000001</v>
      </c>
      <c r="F70" s="181">
        <f>IFERROR(INDEX(TableInventory[Store Balance],MATCH(A70,TableInventory[Item ID],0)),0)+IFERROR(INDEX(TableInventory[WIP],MATCH(A70,TableInventory[Item ID],0)),0)</f>
        <v>32.5</v>
      </c>
      <c r="G70" s="181">
        <f t="shared" si="2"/>
        <v>32.610135167999999</v>
      </c>
      <c r="H70" s="207" t="str">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
      </c>
    </row>
    <row r="71" spans="1:19" ht="36" hidden="1" customHeight="1" x14ac:dyDescent="0.25">
      <c r="A71" s="16">
        <v>4165</v>
      </c>
      <c r="B71" s="180" t="s">
        <v>98</v>
      </c>
      <c r="C71" s="180" t="s">
        <v>100</v>
      </c>
      <c r="D71" s="180" t="s">
        <v>29</v>
      </c>
      <c r="E71" s="181">
        <f>SUMPRODUCT((TableBOM[Item ID]=A71)*TableBOM[Per 1000 Units]*(1+TableBOM[Scrap %])*SUMIF($D$3:$D$4,TableBOM[Product ID],$H$3:$H$4)/1000)</f>
        <v>0</v>
      </c>
      <c r="F71" s="181">
        <f>IFERROR(INDEX(TableInventory[Store Balance],MATCH(A71,TableInventory[Item ID],0)),0)+IFERROR(INDEX(TableInventory[WIP],MATCH(A71,TableInventory[Item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101</v>
      </c>
      <c r="C72" s="180" t="s">
        <v>102</v>
      </c>
      <c r="D72" s="180" t="s">
        <v>66</v>
      </c>
      <c r="E72" s="181">
        <f>SUMPRODUCT((TableBOM[Item ID]=A72)*TableBOM[Per 1000 Units]*(1+TableBOM[Scrap %])*SUMIF($D$3:$D$4,TableBOM[Product ID],$H$3:$H$4)/1000)</f>
        <v>2.2249656</v>
      </c>
      <c r="F72" s="181">
        <f>IFERROR(INDEX(TableInventory[Store Balance],MATCH(A72,TableInventory[Item ID],0)),0)+IFERROR(INDEX(TableInventory[WIP],MATCH(A72,TableInventory[Item ID],0)),0)</f>
        <v>381</v>
      </c>
      <c r="G72" s="181">
        <f t="shared" ref="G72:G103" si="4">F72-E72</f>
        <v>378.77503439999998</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2442308</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VINCE NURTURAL</v>
      </c>
    </row>
    <row r="73" spans="1:19" ht="15" hidden="1" customHeight="1" x14ac:dyDescent="0.25">
      <c r="A73" s="16">
        <v>190</v>
      </c>
      <c r="B73" s="180" t="s">
        <v>103</v>
      </c>
      <c r="C73" s="180" t="s">
        <v>104</v>
      </c>
      <c r="D73" s="180" t="s">
        <v>46</v>
      </c>
      <c r="E73" s="181">
        <f>SUMPRODUCT((TableBOM[Item ID]=A73)*TableBOM[Per 1000 Units]*(1+TableBOM[Scrap %])*SUMIF($D$3:$D$4,TableBOM[Product ID],$H$3:$H$4)/1000)</f>
        <v>0</v>
      </c>
      <c r="F73" s="181">
        <f>IFERROR(INDEX(TableInventory[Store Balance],MATCH(A73,TableInventory[Item ID],0)),0)+IFERROR(INDEX(TableInventory[WIP],MATCH(A73,TableInventory[Item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103</v>
      </c>
      <c r="C74" s="180" t="s">
        <v>105</v>
      </c>
      <c r="D74" s="180" t="s">
        <v>46</v>
      </c>
      <c r="E74" s="181">
        <f>SUMPRODUCT((TableBOM[Item ID]=A74)*TableBOM[Per 1000 Units]*(1+TableBOM[Scrap %])*SUMIF($D$3:$D$4,TableBOM[Product ID],$H$3:$H$4)/1000)</f>
        <v>0</v>
      </c>
      <c r="F74" s="181">
        <f>IFERROR(INDEX(TableInventory[Store Balance],MATCH(A74,TableInventory[Item ID],0)),0)+IFERROR(INDEX(TableInventory[WIP],MATCH(A74,TableInventory[Item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106</v>
      </c>
      <c r="C75" s="180" t="s">
        <v>107</v>
      </c>
      <c r="D75" s="180" t="s">
        <v>29</v>
      </c>
      <c r="E75" s="181">
        <f>SUMPRODUCT((TableBOM[Item ID]=A75)*TableBOM[Per 1000 Units]*(1+TableBOM[Scrap %])*SUMIF($D$3:$D$4,TableBOM[Product ID],$H$3:$H$4)/1000)</f>
        <v>0</v>
      </c>
      <c r="F75" s="181">
        <f>IFERROR(INDEX(TableInventory[Store Balance],MATCH(A75,TableInventory[Item ID],0)),0)+IFERROR(INDEX(TableInventory[WIP],MATCH(A75,TableInventory[Item ID],0)),0)</f>
        <v>1775</v>
      </c>
      <c r="G75" s="181">
        <f t="shared" si="4"/>
        <v>1775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108</v>
      </c>
      <c r="C76" s="180" t="s">
        <v>109</v>
      </c>
      <c r="D76" s="180" t="s">
        <v>29</v>
      </c>
      <c r="E76" s="181">
        <f>SUMPRODUCT((TableBOM[Item ID]=A76)*TableBOM[Per 1000 Units]*(1+TableBOM[Scrap %])*SUMIF($D$3:$D$4,TableBOM[Product ID],$H$3:$H$4)/1000)</f>
        <v>0</v>
      </c>
      <c r="F76" s="181">
        <f>IFERROR(INDEX(TableInventory[Store Balance],MATCH(A76,TableInventory[Item ID],0)),0)+IFERROR(INDEX(TableInventory[WIP],MATCH(A76,TableInventory[Item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108</v>
      </c>
      <c r="C77" s="180" t="s">
        <v>110</v>
      </c>
      <c r="D77" s="180" t="s">
        <v>29</v>
      </c>
      <c r="E77" s="181">
        <f>SUMPRODUCT((TableBOM[Item ID]=A77)*TableBOM[Per 1000 Units]*(1+TableBOM[Scrap %])*SUMIF($D$3:$D$4,TableBOM[Product ID],$H$3:$H$4)/1000)</f>
        <v>0</v>
      </c>
      <c r="F77" s="181">
        <f>IFERROR(INDEX(TableInventory[Store Balance],MATCH(A77,TableInventory[Item ID],0)),0)+IFERROR(INDEX(TableInventory[WIP],MATCH(A77,TableInventory[Item ID],0)),0)</f>
        <v>50</v>
      </c>
      <c r="G77" s="181">
        <f t="shared" si="4"/>
        <v>50</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108</v>
      </c>
      <c r="C78" s="180" t="s">
        <v>110</v>
      </c>
      <c r="D78" s="180" t="s">
        <v>29</v>
      </c>
      <c r="E78" s="181">
        <f>SUMPRODUCT((TableBOM[Item ID]=A78)*TableBOM[Per 1000 Units]*(1+TableBOM[Scrap %])*SUMIF($D$3:$D$4,TableBOM[Product ID],$H$3:$H$4)/1000)</f>
        <v>0</v>
      </c>
      <c r="F78" s="181">
        <f>IFERROR(INDEX(TableInventory[Store Balance],MATCH(A78,TableInventory[Item ID],0)),0)+IFERROR(INDEX(TableInventory[WIP],MATCH(A78,TableInventory[Item ID],0)),0)</f>
        <v>50</v>
      </c>
      <c r="G78" s="181">
        <f t="shared" si="4"/>
        <v>50</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108</v>
      </c>
      <c r="C79" s="180" t="s">
        <v>111</v>
      </c>
      <c r="D79" s="180" t="s">
        <v>29</v>
      </c>
      <c r="E79" s="181">
        <f>SUMPRODUCT((TableBOM[Item ID]=A79)*TableBOM[Per 1000 Units]*(1+TableBOM[Scrap %])*SUMIF($D$3:$D$4,TableBOM[Product ID],$H$3:$H$4)/1000)</f>
        <v>0</v>
      </c>
      <c r="F79" s="181">
        <f>IFERROR(INDEX(TableInventory[Store Balance],MATCH(A79,TableInventory[Item ID],0)),0)+IFERROR(INDEX(TableInventory[WIP],MATCH(A79,TableInventory[Item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108</v>
      </c>
      <c r="C80" s="180" t="s">
        <v>112</v>
      </c>
      <c r="D80" s="180" t="s">
        <v>29</v>
      </c>
      <c r="E80" s="181">
        <f>SUMPRODUCT((TableBOM[Item ID]=A80)*TableBOM[Per 1000 Units]*(1+TableBOM[Scrap %])*SUMIF($D$3:$D$4,TableBOM[Product ID],$H$3:$H$4)/1000)</f>
        <v>0</v>
      </c>
      <c r="F80" s="181">
        <f>IFERROR(INDEX(TableInventory[Store Balance],MATCH(A80,TableInventory[Item ID],0)),0)+IFERROR(INDEX(TableInventory[WIP],MATCH(A80,TableInventory[Item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108</v>
      </c>
      <c r="C81" s="180" t="s">
        <v>113</v>
      </c>
      <c r="D81" s="180" t="s">
        <v>29</v>
      </c>
      <c r="E81" s="181">
        <f>SUMPRODUCT((TableBOM[Item ID]=A81)*TableBOM[Per 1000 Units]*(1+TableBOM[Scrap %])*SUMIF($D$3:$D$4,TableBOM[Product ID],$H$3:$H$4)/1000)</f>
        <v>0</v>
      </c>
      <c r="F81" s="181">
        <f>IFERROR(INDEX(TableInventory[Store Balance],MATCH(A81,TableInventory[Item ID],0)),0)+IFERROR(INDEX(TableInventory[WIP],MATCH(A81,TableInventory[Item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108</v>
      </c>
      <c r="C82" s="180" t="s">
        <v>114</v>
      </c>
      <c r="D82" s="180" t="s">
        <v>29</v>
      </c>
      <c r="E82" s="181">
        <f>SUMPRODUCT((TableBOM[Item ID]=A82)*TableBOM[Per 1000 Units]*(1+TableBOM[Scrap %])*SUMIF($D$3:$D$4,TableBOM[Product ID],$H$3:$H$4)/1000)</f>
        <v>0</v>
      </c>
      <c r="F82" s="181">
        <f>IFERROR(INDEX(TableInventory[Store Balance],MATCH(A82,TableInventory[Item ID],0)),0)+IFERROR(INDEX(TableInventory[WIP],MATCH(A82,TableInventory[Item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108</v>
      </c>
      <c r="C83" s="180" t="s">
        <v>115</v>
      </c>
      <c r="D83" s="180" t="s">
        <v>29</v>
      </c>
      <c r="E83" s="181">
        <f>SUMPRODUCT((TableBOM[Item ID]=A83)*TableBOM[Per 1000 Units]*(1+TableBOM[Scrap %])*SUMIF($D$3:$D$4,TableBOM[Product ID],$H$3:$H$4)/1000)</f>
        <v>0</v>
      </c>
      <c r="F83" s="181">
        <f>IFERROR(INDEX(TableInventory[Store Balance],MATCH(A83,TableInventory[Item ID],0)),0)+IFERROR(INDEX(TableInventory[WIP],MATCH(A83,TableInventory[Item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108</v>
      </c>
      <c r="C84" s="180" t="s">
        <v>116</v>
      </c>
      <c r="D84" s="180" t="s">
        <v>29</v>
      </c>
      <c r="E84" s="181">
        <f>SUMPRODUCT((TableBOM[Item ID]=A84)*TableBOM[Per 1000 Units]*(1+TableBOM[Scrap %])*SUMIF($D$3:$D$4,TableBOM[Product ID],$H$3:$H$4)/1000)</f>
        <v>0</v>
      </c>
      <c r="F84" s="181">
        <f>IFERROR(INDEX(TableInventory[Store Balance],MATCH(A84,TableInventory[Item ID],0)),0)+IFERROR(INDEX(TableInventory[WIP],MATCH(A84,TableInventory[Item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117</v>
      </c>
      <c r="C85" s="180" t="s">
        <v>118</v>
      </c>
      <c r="D85" s="180" t="s">
        <v>29</v>
      </c>
      <c r="E85" s="181">
        <f>SUMPRODUCT((TableBOM[Item ID]=A85)*TableBOM[Per 1000 Units]*(1+TableBOM[Scrap %])*SUMIF($D$3:$D$4,TableBOM[Product ID],$H$3:$H$4)/1000)</f>
        <v>0</v>
      </c>
      <c r="F85" s="181">
        <f>IFERROR(INDEX(TableInventory[Store Balance],MATCH(A85,TableInventory[Item ID],0)),0)+IFERROR(INDEX(TableInventory[WIP],MATCH(A85,TableInventory[Item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117</v>
      </c>
      <c r="C86" s="180" t="s">
        <v>119</v>
      </c>
      <c r="D86" s="180" t="s">
        <v>29</v>
      </c>
      <c r="E86" s="181">
        <f>SUMPRODUCT((TableBOM[Item ID]=A86)*TableBOM[Per 1000 Units]*(1+TableBOM[Scrap %])*SUMIF($D$3:$D$4,TableBOM[Product ID],$H$3:$H$4)/1000)</f>
        <v>0</v>
      </c>
      <c r="F86" s="181">
        <f>IFERROR(INDEX(TableInventory[Store Balance],MATCH(A86,TableInventory[Item ID],0)),0)+IFERROR(INDEX(TableInventory[WIP],MATCH(A86,TableInventory[Item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117</v>
      </c>
      <c r="C87" s="180" t="s">
        <v>120</v>
      </c>
      <c r="D87" s="180" t="s">
        <v>29</v>
      </c>
      <c r="E87" s="181">
        <f>SUMPRODUCT((TableBOM[Item ID]=A87)*TableBOM[Per 1000 Units]*(1+TableBOM[Scrap %])*SUMIF($D$3:$D$4,TableBOM[Product ID],$H$3:$H$4)/1000)</f>
        <v>0</v>
      </c>
      <c r="F87" s="181">
        <f>IFERROR(INDEX(TableInventory[Store Balance],MATCH(A87,TableInventory[Item ID],0)),0)+IFERROR(INDEX(TableInventory[WIP],MATCH(A87,TableInventory[Item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121</v>
      </c>
      <c r="C88" s="180" t="s">
        <v>122</v>
      </c>
      <c r="D88" s="180" t="s">
        <v>66</v>
      </c>
      <c r="E88" s="181">
        <f>SUMPRODUCT((TableBOM[Item ID]=A88)*TableBOM[Per 1000 Units]*(1+TableBOM[Scrap %])*SUMIF($D$3:$D$4,TableBOM[Product ID],$H$3:$H$4)/1000)</f>
        <v>0</v>
      </c>
      <c r="F88" s="181">
        <f>IFERROR(INDEX(TableInventory[Store Balance],MATCH(A88,TableInventory[Item ID],0)),0)+IFERROR(INDEX(TableInventory[WIP],MATCH(A88,TableInventory[Item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123</v>
      </c>
      <c r="C89" s="180" t="s">
        <v>124</v>
      </c>
      <c r="D89" s="180" t="s">
        <v>125</v>
      </c>
      <c r="E89" s="181">
        <f>SUMPRODUCT((TableBOM[Item ID]=A89)*TableBOM[Per 1000 Units]*(1+TableBOM[Scrap %])*SUMIF($D$3:$D$4,TableBOM[Product ID],$H$3:$H$4)/1000)</f>
        <v>0</v>
      </c>
      <c r="F89" s="181">
        <f>IFERROR(INDEX(TableInventory[Store Balance],MATCH(A89,TableInventory[Item ID],0)),0)+IFERROR(INDEX(TableInventory[WIP],MATCH(A89,TableInventory[Item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126</v>
      </c>
      <c r="B92" s="123"/>
      <c r="C92" s="123"/>
      <c r="D92" s="123"/>
      <c r="E92" s="123"/>
      <c r="F92" s="123"/>
      <c r="G92" s="123"/>
      <c r="H92" s="123"/>
      <c r="I92" s="123"/>
    </row>
    <row r="93" spans="1:19" ht="18.75" customHeight="1" x14ac:dyDescent="0.25">
      <c r="A93" s="12" t="s">
        <v>2</v>
      </c>
      <c r="B93" s="12" t="s">
        <v>3</v>
      </c>
      <c r="C93" s="13" t="s">
        <v>4</v>
      </c>
      <c r="D93" s="13" t="s">
        <v>5</v>
      </c>
      <c r="E93" s="14" t="s">
        <v>6</v>
      </c>
      <c r="F93" s="14" t="s">
        <v>7</v>
      </c>
      <c r="G93" s="15" t="s">
        <v>8</v>
      </c>
      <c r="H93" s="12" t="s">
        <v>9</v>
      </c>
      <c r="I93" s="12" t="s">
        <v>10</v>
      </c>
      <c r="J93" s="11"/>
      <c r="K93" s="11"/>
      <c r="L93" s="11"/>
      <c r="M93" s="11"/>
      <c r="N93" s="11"/>
      <c r="O93" s="11"/>
      <c r="P93" s="11"/>
      <c r="Q93" s="11"/>
      <c r="R93" s="11"/>
      <c r="S93" s="2"/>
    </row>
    <row r="94" spans="1:19" ht="18.75" customHeight="1" x14ac:dyDescent="0.25">
      <c r="A94" s="190" t="s">
        <v>127</v>
      </c>
      <c r="B94" s="190" t="s">
        <v>128</v>
      </c>
      <c r="C94" s="191" t="s">
        <v>129</v>
      </c>
      <c r="D94" s="25">
        <v>8005</v>
      </c>
      <c r="E94" s="236" t="s">
        <v>130</v>
      </c>
      <c r="F94" s="197">
        <f>7160+30000+35000</f>
        <v>72160</v>
      </c>
      <c r="G94" s="197">
        <f>INDEX(Tubex_Dashboard!$H$11:$H$100,MATCH(MRP!D94,Tubex_Dashboard!$F$11:$F$100,0))</f>
        <v>12000</v>
      </c>
      <c r="H94" s="198">
        <f t="shared" ref="H94:H99" si="6">F94-G94</f>
        <v>60160</v>
      </c>
      <c r="I94" s="174"/>
    </row>
    <row r="95" spans="1:19" ht="15" customHeight="1" x14ac:dyDescent="0.25">
      <c r="A95" s="192" t="s">
        <v>131</v>
      </c>
      <c r="B95" s="192" t="s">
        <v>13</v>
      </c>
      <c r="C95" s="253" t="s">
        <v>132</v>
      </c>
      <c r="D95" s="126">
        <v>8015</v>
      </c>
      <c r="E95" s="199">
        <v>344</v>
      </c>
      <c r="F95" s="197">
        <v>15000</v>
      </c>
      <c r="G95" s="199">
        <f>INDEX(Tubex_Dashboard!$H$11:$H$100,MATCH(MRP!D95,Tubex_Dashboard!$F$11:$F$100,0))</f>
        <v>5520</v>
      </c>
      <c r="H95" s="200">
        <f t="shared" si="6"/>
        <v>9480</v>
      </c>
      <c r="I95" s="174"/>
    </row>
    <row r="96" spans="1:19" ht="19.5" customHeight="1" x14ac:dyDescent="0.25">
      <c r="A96" s="243" t="s">
        <v>131</v>
      </c>
      <c r="B96" s="243" t="s">
        <v>13</v>
      </c>
      <c r="C96" s="244" t="s">
        <v>133</v>
      </c>
      <c r="D96" s="245">
        <v>8010</v>
      </c>
      <c r="E96" s="246">
        <v>349</v>
      </c>
      <c r="F96" s="246">
        <v>25000</v>
      </c>
      <c r="G96" s="246">
        <f>INDEX(Tubex_Dashboard!$H$11:$H$100,MATCH(MRP!D96,Tubex_Dashboard!$F$11:$F$100,0))</f>
        <v>25070</v>
      </c>
      <c r="H96" s="247">
        <f t="shared" si="6"/>
        <v>-70</v>
      </c>
      <c r="I96" s="248"/>
    </row>
    <row r="97" spans="1:18" ht="24" customHeight="1" x14ac:dyDescent="0.25">
      <c r="A97" s="193" t="s">
        <v>134</v>
      </c>
      <c r="B97" s="193" t="s">
        <v>135</v>
      </c>
      <c r="C97" s="194" t="s">
        <v>136</v>
      </c>
      <c r="D97" s="158">
        <v>8001</v>
      </c>
      <c r="E97" s="201" t="s">
        <v>137</v>
      </c>
      <c r="F97" s="201">
        <f>100000+116667-15410+500000</f>
        <v>701257</v>
      </c>
      <c r="G97" s="201">
        <f>INDEX(Tubex_Dashboard!$H$11:$H$100,MATCH(MRP!D97,Tubex_Dashboard!$F$11:$F$100,0))</f>
        <v>90735</v>
      </c>
      <c r="H97" s="202">
        <f t="shared" si="6"/>
        <v>610522</v>
      </c>
      <c r="I97" s="254" t="s">
        <v>138</v>
      </c>
    </row>
    <row r="98" spans="1:18" ht="19.5" customHeight="1" x14ac:dyDescent="0.25">
      <c r="A98" s="195" t="s">
        <v>134</v>
      </c>
      <c r="B98" s="195" t="s">
        <v>139</v>
      </c>
      <c r="C98" s="196" t="s">
        <v>136</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140</v>
      </c>
      <c r="B99" s="243" t="s">
        <v>128</v>
      </c>
      <c r="C99" s="244" t="s">
        <v>141</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16</v>
      </c>
      <c r="F100" s="114">
        <f>SUM(F94:F99)</f>
        <v>874377</v>
      </c>
      <c r="G100" s="114">
        <f>SUM(G94:G99)</f>
        <v>133325</v>
      </c>
      <c r="H100" s="114">
        <f>SUMIF(H94:H99, "&gt;0")</f>
        <v>741122</v>
      </c>
      <c r="I100" s="12"/>
      <c r="J100" s="11"/>
      <c r="K100" s="11"/>
      <c r="L100" s="11"/>
      <c r="M100" s="11"/>
      <c r="N100" s="11"/>
      <c r="O100" s="11"/>
      <c r="P100" s="11"/>
      <c r="Q100" s="11"/>
      <c r="R100" s="2"/>
    </row>
    <row r="101" spans="1:18" ht="19.5" customHeight="1" x14ac:dyDescent="0.25">
      <c r="A101" s="124" t="s">
        <v>142</v>
      </c>
      <c r="B101" s="124"/>
      <c r="C101" s="124"/>
      <c r="D101" s="124"/>
      <c r="E101" s="124"/>
      <c r="F101" s="124"/>
      <c r="G101" s="124"/>
      <c r="H101" s="124"/>
      <c r="I101" s="124"/>
    </row>
    <row r="102" spans="1:18" ht="24" customHeight="1" x14ac:dyDescent="0.25">
      <c r="A102" s="29" t="s">
        <v>18</v>
      </c>
      <c r="B102" s="29" t="s">
        <v>19</v>
      </c>
      <c r="C102" s="30" t="s">
        <v>20</v>
      </c>
      <c r="D102" s="29" t="s">
        <v>21</v>
      </c>
      <c r="E102" s="31" t="s">
        <v>7</v>
      </c>
      <c r="F102" s="15" t="s">
        <v>22</v>
      </c>
      <c r="G102" s="15" t="s">
        <v>23</v>
      </c>
      <c r="H102" s="179" t="s">
        <v>24</v>
      </c>
      <c r="I102" s="32" t="s">
        <v>25</v>
      </c>
      <c r="J102" s="208" t="s">
        <v>26</v>
      </c>
    </row>
    <row r="103" spans="1:18" ht="15" customHeight="1" x14ac:dyDescent="0.25">
      <c r="A103" s="265">
        <v>2680</v>
      </c>
      <c r="B103" s="180" t="s">
        <v>106</v>
      </c>
      <c r="C103" s="188" t="s">
        <v>107</v>
      </c>
      <c r="D103" s="16" t="s">
        <v>29</v>
      </c>
      <c r="E103" s="182">
        <f>SUMPRODUCT((TableBOM[Item ID]=A103)*TableBOM[Per 1000 Units]*(1+TableBOM[Scrap %])*SUMIF($D$94:$D$99,TableBOM[Product ID],$H$94:$H$99)/1000)</f>
        <v>18451.103699999996</v>
      </c>
      <c r="F103" s="182">
        <f>IFERROR(INDEX(TableInventory[Store Balance],MATCH(A103,TableInventory[Item ID],0)),0)+IFERROR(INDEX(TableInventory[WIP],MATCH(A103,TableInventory[Item ID],0)),0)</f>
        <v>1775</v>
      </c>
      <c r="G103" s="182">
        <f t="shared" ref="G103:G109" si="7">F103-E103</f>
        <v>-16676.103699999996</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81984</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Alpha 150ml TRP, Horizon 150ml TRP, Samsol Yellow 200ml</v>
      </c>
    </row>
    <row r="104" spans="1:18" x14ac:dyDescent="0.25">
      <c r="A104" s="265">
        <v>4002</v>
      </c>
      <c r="B104" s="180" t="s">
        <v>108</v>
      </c>
      <c r="C104" s="188" t="s">
        <v>110</v>
      </c>
      <c r="D104" s="16" t="s">
        <v>29</v>
      </c>
      <c r="E104" s="182">
        <f>SUMPRODUCT((TableBOM[Item ID]=A104)*TableBOM[Per 1000 Units]*(1+TableBOM[Scrap %])*SUMIF($D$94:$D$99,TableBOM[Product ID],$H$94:$H$99)/1000)</f>
        <v>129.82810000000001</v>
      </c>
      <c r="F104" s="182">
        <f>IFERROR(INDEX(TableInventory[Store Balance],MATCH(A104,TableInventory[Item ID],0)),0)+IFERROR(INDEX(TableInventory[WIP],MATCH(A104,TableInventory[Item ID],0)),0)</f>
        <v>50</v>
      </c>
      <c r="G104" s="182">
        <f t="shared" si="7"/>
        <v>-79.828100000000006</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47460</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108</v>
      </c>
      <c r="C105" s="188" t="s">
        <v>113</v>
      </c>
      <c r="D105" s="16" t="s">
        <v>29</v>
      </c>
      <c r="E105" s="182">
        <f>SUMPRODUCT((TableBOM[Item ID]=A105)*TableBOM[Per 1000 Units]*(1+TableBOM[Scrap %])*SUMIF($D$94:$D$99,TableBOM[Product ID],$H$94:$H$99)/1000)</f>
        <v>9.8117999999999999</v>
      </c>
      <c r="F105" s="182">
        <f>IFERROR(INDEX(TableInventory[Store Balance],MATCH(A105,TableInventory[Item ID],0)),0)+IFERROR(INDEX(TableInventory[WIP],MATCH(A105,TableInventory[Item ID],0)),0)</f>
        <v>0</v>
      </c>
      <c r="G105" s="182">
        <f t="shared" si="7"/>
        <v>-9.8117999999999999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0</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143</v>
      </c>
      <c r="C106" s="188" t="s">
        <v>97</v>
      </c>
      <c r="D106" s="16" t="s">
        <v>66</v>
      </c>
      <c r="E106" s="182">
        <f>SUMPRODUCT((TableBOM[Item ID]=A106)*TableBOM[Per 1000 Units]*(1+TableBOM[Scrap %])*SUMIF($D$94:$D$99,TableBOM[Product ID],$H$94:$H$99)/1000)</f>
        <v>798.67316459999984</v>
      </c>
      <c r="F106" s="182">
        <f>IFERROR(INDEX(TableInventory[Store Balance],MATCH(A106,TableInventory[Item ID],0)),0)+IFERROR(INDEX(TableInventory[WIP],MATCH(A106,TableInventory[Item ID],0)),0)</f>
        <v>197</v>
      </c>
      <c r="G106" s="182">
        <f t="shared" si="7"/>
        <v>-601.67316459999984</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179798</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Alpha 150ml TRP, Horizon 150ml TRP</v>
      </c>
    </row>
    <row r="107" spans="1:18" x14ac:dyDescent="0.25">
      <c r="A107" s="265">
        <v>2267</v>
      </c>
      <c r="B107" s="180" t="s">
        <v>144</v>
      </c>
      <c r="C107" s="188" t="s">
        <v>122</v>
      </c>
      <c r="D107" s="16" t="s">
        <v>66</v>
      </c>
      <c r="E107" s="182">
        <f>SUMPRODUCT((TableBOM[Item ID]=A107)*TableBOM[Per 1000 Units]*(1+TableBOM[Scrap %])*SUMIF($D$94:$D$99,TableBOM[Product ID],$H$94:$H$99)/1000)</f>
        <v>6929.7950647999996</v>
      </c>
      <c r="F107" s="182">
        <f>IFERROR(INDEX(TableInventory[Store Balance],MATCH(A107,TableInventory[Item ID],0)),0)+IFERROR(INDEX(TableInventory[WIP],MATCH(A107,TableInventory[Item ID],0)),0)</f>
        <v>182</v>
      </c>
      <c r="G107" s="182">
        <f t="shared" si="7"/>
        <v>-6747.7950647999996</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20962</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Alpha 150ml TRP, Horizon 150ml TRP</v>
      </c>
    </row>
    <row r="108" spans="1:18" s="251" customFormat="1" x14ac:dyDescent="0.25">
      <c r="A108" s="265">
        <v>3006</v>
      </c>
      <c r="B108" s="249" t="s">
        <v>144</v>
      </c>
      <c r="C108" s="33" t="s">
        <v>145</v>
      </c>
      <c r="D108" s="16" t="s">
        <v>66</v>
      </c>
      <c r="E108" s="17">
        <f>SUMPRODUCT((TableBOM[Item ID]=A108)*TableBOM[Per 1000 Units]*(1+TableBOM[Scrap %])*SUMIF($D$94:$D$99,TableBOM[Product ID],$H$94:$H$99)/1000)</f>
        <v>450.39865000000003</v>
      </c>
      <c r="F108" s="17">
        <f>IFERROR(INDEX(TableInventory[Store Balance],MATCH(A108,TableInventory[Item ID],0)),0)+IFERROR(INDEX(TableInventory[WIP],MATCH(A108,TableInventory[Item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123</v>
      </c>
      <c r="C109" s="188" t="s">
        <v>124</v>
      </c>
      <c r="D109" s="16" t="s">
        <v>125</v>
      </c>
      <c r="E109" s="182">
        <f>SUMPRODUCT((TableBOM[Item ID]=A109)*TableBOM[Per 1000 Units]*(1+TableBOM[Scrap %])*SUMIF($D$94:$D$99,TableBOM[Product ID],$H$94:$H$99)/1000)</f>
        <v>4.261048999999999</v>
      </c>
      <c r="F109" s="182">
        <f>IFERROR(INDEX(TableInventory[Store Balance],MATCH(A109,TableInventory[Item ID],0)),0)+IFERROR(INDEX(TableInventory[WIP],MATCH(A109,TableInventory[Item ID],0)),0)</f>
        <v>0</v>
      </c>
      <c r="G109" s="182">
        <f t="shared" si="7"/>
        <v>-4.261048999999999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90" zoomScaleNormal="100" workbookViewId="0">
      <selection activeCell="H117" sqref="H117:H118"/>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3</v>
      </c>
      <c r="D2" s="65" t="s">
        <v>4</v>
      </c>
      <c r="E2" s="64" t="s">
        <v>239</v>
      </c>
      <c r="F2" s="66" t="s">
        <v>5</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73">
        <v>46235</v>
      </c>
      <c r="B3" s="272" t="s">
        <v>252</v>
      </c>
      <c r="C3" s="272" t="s">
        <v>11</v>
      </c>
      <c r="D3" s="272" t="s">
        <v>12</v>
      </c>
      <c r="E3" s="272">
        <v>30</v>
      </c>
      <c r="F3" s="272">
        <v>6206</v>
      </c>
      <c r="G3" s="274">
        <v>25000</v>
      </c>
      <c r="H3" s="274">
        <v>24590</v>
      </c>
      <c r="I3" s="274">
        <v>410</v>
      </c>
      <c r="J3" s="275">
        <f t="shared" ref="J3:J34" si="0">IFERROR(I3/(H3+I3),"")</f>
        <v>1.6400000000000001E-2</v>
      </c>
      <c r="K3" s="272"/>
      <c r="L3" s="272"/>
      <c r="M3" s="272"/>
      <c r="N3" s="272"/>
      <c r="O3" s="272"/>
      <c r="P3" s="272"/>
      <c r="Q3" s="272"/>
      <c r="R3" s="272"/>
      <c r="S3" s="272"/>
    </row>
    <row r="4" spans="1:19" ht="15" customHeight="1" x14ac:dyDescent="0.25">
      <c r="A4" s="273">
        <v>46235</v>
      </c>
      <c r="B4" s="272" t="s">
        <v>253</v>
      </c>
      <c r="C4" s="272" t="s">
        <v>11</v>
      </c>
      <c r="D4" s="272" t="s">
        <v>12</v>
      </c>
      <c r="E4" s="272">
        <v>30</v>
      </c>
      <c r="F4" s="272">
        <v>6206</v>
      </c>
      <c r="G4" s="274">
        <v>27132</v>
      </c>
      <c r="H4" s="274">
        <v>27112</v>
      </c>
      <c r="I4" s="274">
        <v>20</v>
      </c>
      <c r="J4" s="275">
        <f t="shared" si="0"/>
        <v>7.3713696004717674E-4</v>
      </c>
      <c r="K4" s="272"/>
      <c r="L4" s="272"/>
      <c r="M4" s="272"/>
      <c r="N4" s="272"/>
      <c r="O4" s="272"/>
      <c r="P4" s="272"/>
      <c r="Q4" s="272"/>
      <c r="R4" s="272"/>
      <c r="S4" s="272"/>
    </row>
    <row r="5" spans="1:19" ht="15" customHeight="1" x14ac:dyDescent="0.25">
      <c r="A5" s="273">
        <v>46235</v>
      </c>
      <c r="B5" s="272" t="s">
        <v>254</v>
      </c>
      <c r="C5" s="272" t="s">
        <v>135</v>
      </c>
      <c r="D5" s="272" t="s">
        <v>178</v>
      </c>
      <c r="E5" s="272" t="s">
        <v>134</v>
      </c>
      <c r="F5" s="272">
        <v>8001</v>
      </c>
      <c r="G5" s="274">
        <v>9650</v>
      </c>
      <c r="H5" s="274">
        <v>9200</v>
      </c>
      <c r="I5" s="274">
        <v>450</v>
      </c>
      <c r="J5" s="275">
        <f t="shared" si="0"/>
        <v>4.6632124352331605E-2</v>
      </c>
      <c r="K5" s="272">
        <v>120</v>
      </c>
      <c r="L5" s="272"/>
      <c r="M5" s="272"/>
      <c r="N5" s="272"/>
      <c r="O5" s="272"/>
      <c r="P5" s="272"/>
      <c r="Q5" s="272"/>
      <c r="R5" s="272"/>
      <c r="S5" s="272"/>
    </row>
    <row r="6" spans="1:19" ht="15" customHeight="1" x14ac:dyDescent="0.25">
      <c r="A6" s="273">
        <v>46235</v>
      </c>
      <c r="B6" s="272" t="s">
        <v>255</v>
      </c>
      <c r="C6" s="272" t="s">
        <v>11</v>
      </c>
      <c r="D6" s="272" t="s">
        <v>12</v>
      </c>
      <c r="E6" s="272">
        <v>30</v>
      </c>
      <c r="F6" s="272">
        <v>6206</v>
      </c>
      <c r="G6" s="274">
        <v>21000</v>
      </c>
      <c r="H6" s="274">
        <v>20850</v>
      </c>
      <c r="I6" s="274">
        <v>150</v>
      </c>
      <c r="J6" s="275">
        <f t="shared" si="0"/>
        <v>7.1428571428571426E-3</v>
      </c>
      <c r="K6" s="272">
        <v>180</v>
      </c>
      <c r="L6" s="272"/>
      <c r="M6" s="272"/>
      <c r="N6" s="272"/>
      <c r="O6" s="272"/>
      <c r="P6" s="272"/>
      <c r="Q6" s="272"/>
      <c r="R6" s="272"/>
      <c r="S6" s="272"/>
    </row>
    <row r="7" spans="1:19" ht="15" customHeight="1" x14ac:dyDescent="0.25">
      <c r="A7" s="273">
        <v>46235</v>
      </c>
      <c r="B7" s="272" t="s">
        <v>256</v>
      </c>
      <c r="C7" s="272" t="s">
        <v>11</v>
      </c>
      <c r="D7" s="272" t="s">
        <v>12</v>
      </c>
      <c r="E7" s="272">
        <v>30</v>
      </c>
      <c r="F7" s="272">
        <v>6206</v>
      </c>
      <c r="G7" s="274">
        <v>24498</v>
      </c>
      <c r="H7" s="274">
        <v>24038</v>
      </c>
      <c r="I7" s="274">
        <v>460</v>
      </c>
      <c r="J7" s="275">
        <f t="shared" si="0"/>
        <v>1.8777043023920321E-2</v>
      </c>
      <c r="K7" s="272"/>
      <c r="L7" s="272"/>
      <c r="M7" s="272"/>
      <c r="N7" s="272"/>
      <c r="O7" s="272"/>
      <c r="P7" s="272"/>
      <c r="Q7" s="272"/>
      <c r="R7" s="272"/>
      <c r="S7" s="272"/>
    </row>
    <row r="8" spans="1:19" ht="15" customHeight="1" x14ac:dyDescent="0.25">
      <c r="A8" s="273">
        <v>46237</v>
      </c>
      <c r="B8" s="272" t="s">
        <v>252</v>
      </c>
      <c r="C8" s="272" t="s">
        <v>11</v>
      </c>
      <c r="D8" s="272" t="s">
        <v>12</v>
      </c>
      <c r="E8" s="272">
        <v>30</v>
      </c>
      <c r="F8" s="272">
        <v>6206</v>
      </c>
      <c r="G8" s="274">
        <v>5000</v>
      </c>
      <c r="H8" s="274">
        <v>4890</v>
      </c>
      <c r="I8" s="274">
        <v>110</v>
      </c>
      <c r="J8" s="275">
        <f t="shared" si="0"/>
        <v>2.1999999999999999E-2</v>
      </c>
      <c r="K8" s="272"/>
      <c r="L8" s="272"/>
      <c r="M8" s="272">
        <v>240</v>
      </c>
      <c r="N8" s="272"/>
      <c r="O8" s="272"/>
      <c r="P8" s="272"/>
      <c r="Q8" s="272"/>
      <c r="R8" s="272"/>
      <c r="S8" s="272"/>
    </row>
    <row r="9" spans="1:19" ht="15" customHeight="1" x14ac:dyDescent="0.25">
      <c r="A9" s="273">
        <v>46237</v>
      </c>
      <c r="B9" s="272" t="s">
        <v>257</v>
      </c>
      <c r="C9" s="272" t="s">
        <v>128</v>
      </c>
      <c r="D9" s="272" t="s">
        <v>170</v>
      </c>
      <c r="E9" s="272">
        <v>25</v>
      </c>
      <c r="F9" s="272">
        <v>5389</v>
      </c>
      <c r="G9" s="274">
        <v>2000</v>
      </c>
      <c r="H9" s="274">
        <v>1965</v>
      </c>
      <c r="I9" s="274">
        <v>35</v>
      </c>
      <c r="J9" s="275">
        <f t="shared" si="0"/>
        <v>1.7500000000000002E-2</v>
      </c>
      <c r="K9" s="272"/>
      <c r="L9" s="272"/>
      <c r="M9" s="272"/>
      <c r="N9" s="272"/>
      <c r="O9" s="272"/>
      <c r="P9" s="272"/>
      <c r="Q9" s="272"/>
      <c r="R9" s="272"/>
      <c r="S9" s="272"/>
    </row>
    <row r="10" spans="1:19" ht="15" customHeight="1" x14ac:dyDescent="0.25">
      <c r="A10" s="273">
        <v>46237</v>
      </c>
      <c r="B10" s="272" t="s">
        <v>253</v>
      </c>
      <c r="C10" s="272" t="s">
        <v>11</v>
      </c>
      <c r="D10" s="272" t="s">
        <v>12</v>
      </c>
      <c r="E10" s="272">
        <v>30</v>
      </c>
      <c r="F10" s="272">
        <v>6206</v>
      </c>
      <c r="G10" s="274">
        <v>4760</v>
      </c>
      <c r="H10" s="274">
        <v>4755</v>
      </c>
      <c r="I10" s="274">
        <v>5</v>
      </c>
      <c r="J10" s="275">
        <f t="shared" si="0"/>
        <v>1.0504201680672268E-3</v>
      </c>
      <c r="K10" s="272"/>
      <c r="L10" s="272"/>
      <c r="M10" s="272"/>
      <c r="N10" s="272"/>
      <c r="O10" s="272">
        <v>300</v>
      </c>
      <c r="P10" s="272"/>
      <c r="Q10" s="272"/>
      <c r="R10" s="272"/>
      <c r="S10" s="272"/>
    </row>
    <row r="11" spans="1:19" ht="15" customHeight="1" x14ac:dyDescent="0.25">
      <c r="A11" s="273">
        <v>46237</v>
      </c>
      <c r="B11" s="272" t="s">
        <v>254</v>
      </c>
      <c r="C11" s="272" t="s">
        <v>135</v>
      </c>
      <c r="D11" s="272" t="s">
        <v>178</v>
      </c>
      <c r="E11" s="272" t="s">
        <v>134</v>
      </c>
      <c r="F11" s="272">
        <v>8001</v>
      </c>
      <c r="G11" s="274">
        <v>0</v>
      </c>
      <c r="H11" s="274">
        <v>0</v>
      </c>
      <c r="I11" s="274">
        <v>0</v>
      </c>
      <c r="J11" s="275" t="str">
        <f t="shared" si="0"/>
        <v/>
      </c>
      <c r="K11" s="272">
        <v>960</v>
      </c>
      <c r="L11" s="272"/>
      <c r="M11" s="272"/>
      <c r="N11" s="272"/>
      <c r="O11" s="272"/>
      <c r="P11" s="272"/>
      <c r="Q11" s="272"/>
      <c r="R11" s="272"/>
      <c r="S11" s="272"/>
    </row>
    <row r="12" spans="1:19" ht="15" customHeight="1" x14ac:dyDescent="0.25">
      <c r="A12" s="273">
        <v>46237</v>
      </c>
      <c r="B12" s="272" t="s">
        <v>255</v>
      </c>
      <c r="C12" s="272" t="s">
        <v>11</v>
      </c>
      <c r="D12" s="272" t="s">
        <v>12</v>
      </c>
      <c r="E12" s="272">
        <v>30</v>
      </c>
      <c r="F12" s="272">
        <v>6206</v>
      </c>
      <c r="G12" s="274">
        <v>3000</v>
      </c>
      <c r="H12" s="274">
        <v>2950</v>
      </c>
      <c r="I12" s="274">
        <v>50</v>
      </c>
      <c r="J12" s="275">
        <f t="shared" si="0"/>
        <v>1.6666666666666666E-2</v>
      </c>
      <c r="K12" s="272"/>
      <c r="L12" s="272"/>
      <c r="M12" s="272"/>
      <c r="N12" s="272"/>
      <c r="O12" s="272"/>
      <c r="P12" s="272"/>
      <c r="Q12" s="272"/>
      <c r="R12" s="272"/>
      <c r="S12" s="272"/>
    </row>
    <row r="13" spans="1:19" ht="15" customHeight="1" x14ac:dyDescent="0.25">
      <c r="A13" s="273">
        <v>46237</v>
      </c>
      <c r="B13" s="272" t="s">
        <v>258</v>
      </c>
      <c r="C13" s="272" t="s">
        <v>128</v>
      </c>
      <c r="D13" s="272" t="s">
        <v>170</v>
      </c>
      <c r="E13" s="272">
        <v>25</v>
      </c>
      <c r="F13" s="272">
        <v>5389</v>
      </c>
      <c r="G13" s="274">
        <v>5000</v>
      </c>
      <c r="H13" s="274">
        <v>4900</v>
      </c>
      <c r="I13" s="274">
        <v>100</v>
      </c>
      <c r="J13" s="275">
        <f t="shared" si="0"/>
        <v>0.02</v>
      </c>
      <c r="K13" s="272"/>
      <c r="L13" s="272"/>
      <c r="M13" s="272">
        <v>300</v>
      </c>
      <c r="N13" s="272"/>
      <c r="O13" s="272"/>
      <c r="P13" s="272"/>
      <c r="Q13" s="272"/>
      <c r="R13" s="272"/>
      <c r="S13" s="272"/>
    </row>
    <row r="14" spans="1:19" ht="15" customHeight="1" x14ac:dyDescent="0.25">
      <c r="A14" s="273">
        <v>46237</v>
      </c>
      <c r="B14" s="272" t="s">
        <v>259</v>
      </c>
      <c r="C14" s="272" t="s">
        <v>128</v>
      </c>
      <c r="D14" s="272" t="s">
        <v>170</v>
      </c>
      <c r="E14" s="272">
        <v>25</v>
      </c>
      <c r="F14" s="272">
        <v>5389</v>
      </c>
      <c r="G14" s="274">
        <v>5872</v>
      </c>
      <c r="H14" s="274">
        <v>5712</v>
      </c>
      <c r="I14" s="274">
        <v>160</v>
      </c>
      <c r="J14" s="275">
        <f t="shared" si="0"/>
        <v>2.7247956403269755E-2</v>
      </c>
      <c r="K14" s="272"/>
      <c r="L14" s="272"/>
      <c r="M14" s="272">
        <v>210</v>
      </c>
      <c r="N14" s="272"/>
      <c r="O14" s="272"/>
      <c r="P14" s="272"/>
      <c r="Q14" s="272"/>
      <c r="R14" s="272"/>
      <c r="S14" s="272"/>
    </row>
    <row r="15" spans="1:19" ht="15" customHeight="1" x14ac:dyDescent="0.25">
      <c r="A15" s="273">
        <v>46237</v>
      </c>
      <c r="B15" s="272" t="s">
        <v>256</v>
      </c>
      <c r="C15" s="272" t="s">
        <v>11</v>
      </c>
      <c r="D15" s="272" t="s">
        <v>12</v>
      </c>
      <c r="E15" s="272">
        <v>30</v>
      </c>
      <c r="F15" s="272">
        <v>6206</v>
      </c>
      <c r="G15" s="274">
        <v>3943</v>
      </c>
      <c r="H15" s="274">
        <v>3808</v>
      </c>
      <c r="I15" s="274">
        <v>135</v>
      </c>
      <c r="J15" s="275">
        <f t="shared" si="0"/>
        <v>3.4237889931524219E-2</v>
      </c>
      <c r="K15" s="272"/>
      <c r="L15" s="272"/>
      <c r="M15" s="272"/>
      <c r="N15" s="272"/>
      <c r="O15" s="272"/>
      <c r="P15" s="272"/>
      <c r="Q15" s="272"/>
      <c r="R15" s="272"/>
      <c r="S15" s="272"/>
    </row>
    <row r="16" spans="1:19" ht="15" customHeight="1" x14ac:dyDescent="0.25">
      <c r="A16" s="273">
        <v>46238</v>
      </c>
      <c r="B16" s="272" t="s">
        <v>252</v>
      </c>
      <c r="C16" s="272" t="s">
        <v>11</v>
      </c>
      <c r="D16" s="272" t="s">
        <v>12</v>
      </c>
      <c r="E16" s="272">
        <v>30</v>
      </c>
      <c r="F16" s="272">
        <v>6206</v>
      </c>
      <c r="G16" s="274">
        <v>15000</v>
      </c>
      <c r="H16" s="274">
        <v>14790</v>
      </c>
      <c r="I16" s="274">
        <v>210</v>
      </c>
      <c r="J16" s="275">
        <f t="shared" si="0"/>
        <v>1.4E-2</v>
      </c>
      <c r="K16" s="272"/>
      <c r="L16" s="272"/>
      <c r="M16" s="272">
        <v>60</v>
      </c>
      <c r="N16" s="272"/>
      <c r="O16" s="272"/>
      <c r="P16" s="272"/>
      <c r="Q16" s="272"/>
      <c r="R16" s="272"/>
      <c r="S16" s="272"/>
    </row>
    <row r="17" spans="1:19" ht="15" customHeight="1" x14ac:dyDescent="0.25">
      <c r="A17" s="273">
        <v>46238</v>
      </c>
      <c r="B17" s="272" t="s">
        <v>257</v>
      </c>
      <c r="C17" s="272" t="s">
        <v>128</v>
      </c>
      <c r="D17" s="272" t="s">
        <v>170</v>
      </c>
      <c r="E17" s="272">
        <v>25</v>
      </c>
      <c r="F17" s="272">
        <v>5389</v>
      </c>
      <c r="G17" s="274">
        <v>2000</v>
      </c>
      <c r="H17" s="274">
        <v>1950</v>
      </c>
      <c r="I17" s="274">
        <v>50</v>
      </c>
      <c r="J17" s="275">
        <f t="shared" si="0"/>
        <v>2.5000000000000001E-2</v>
      </c>
      <c r="K17" s="272"/>
      <c r="L17" s="272"/>
      <c r="M17" s="272"/>
      <c r="N17" s="272"/>
      <c r="O17" s="272"/>
      <c r="P17" s="272"/>
      <c r="Q17" s="272"/>
      <c r="R17" s="272"/>
      <c r="S17" s="272"/>
    </row>
    <row r="18" spans="1:19" ht="15" customHeight="1" x14ac:dyDescent="0.25">
      <c r="A18" s="273">
        <v>46238</v>
      </c>
      <c r="B18" s="272" t="s">
        <v>253</v>
      </c>
      <c r="C18" s="272" t="s">
        <v>11</v>
      </c>
      <c r="D18" s="272" t="s">
        <v>12</v>
      </c>
      <c r="E18" s="272">
        <v>30</v>
      </c>
      <c r="F18" s="272">
        <v>6206</v>
      </c>
      <c r="G18" s="274">
        <v>2856</v>
      </c>
      <c r="H18" s="274">
        <v>2851</v>
      </c>
      <c r="I18" s="274">
        <v>5</v>
      </c>
      <c r="J18" s="275">
        <f t="shared" si="0"/>
        <v>1.7507002801120449E-3</v>
      </c>
      <c r="K18" s="272"/>
      <c r="L18" s="272"/>
      <c r="M18" s="272"/>
      <c r="N18" s="272"/>
      <c r="O18" s="272">
        <v>240</v>
      </c>
      <c r="P18" s="272"/>
      <c r="Q18" s="272"/>
      <c r="R18" s="272"/>
      <c r="S18" s="272"/>
    </row>
    <row r="19" spans="1:19" ht="15" customHeight="1" x14ac:dyDescent="0.25">
      <c r="A19" s="273">
        <v>46238</v>
      </c>
      <c r="B19" s="272" t="s">
        <v>253</v>
      </c>
      <c r="C19" s="272" t="s">
        <v>221</v>
      </c>
      <c r="D19" s="272" t="s">
        <v>222</v>
      </c>
      <c r="E19" s="272">
        <v>35</v>
      </c>
      <c r="F19" s="272">
        <v>6530</v>
      </c>
      <c r="G19" s="274">
        <v>3850</v>
      </c>
      <c r="H19" s="274">
        <v>3845</v>
      </c>
      <c r="I19" s="274">
        <v>5</v>
      </c>
      <c r="J19" s="275">
        <f t="shared" si="0"/>
        <v>1.2987012987012987E-3</v>
      </c>
      <c r="K19" s="272"/>
      <c r="L19" s="272"/>
      <c r="M19" s="272"/>
      <c r="N19" s="272"/>
      <c r="O19" s="272"/>
      <c r="P19" s="272"/>
      <c r="Q19" s="272"/>
      <c r="R19" s="272"/>
      <c r="S19" s="272"/>
    </row>
    <row r="20" spans="1:19" ht="15" customHeight="1" x14ac:dyDescent="0.25">
      <c r="A20" s="273">
        <v>46238</v>
      </c>
      <c r="B20" s="272" t="s">
        <v>254</v>
      </c>
      <c r="C20" s="272" t="s">
        <v>135</v>
      </c>
      <c r="D20" s="272" t="s">
        <v>178</v>
      </c>
      <c r="E20" s="272" t="s">
        <v>134</v>
      </c>
      <c r="F20" s="272">
        <v>8001</v>
      </c>
      <c r="G20" s="274">
        <v>11030</v>
      </c>
      <c r="H20" s="274">
        <v>10350</v>
      </c>
      <c r="I20" s="274">
        <v>680</v>
      </c>
      <c r="J20" s="275">
        <f t="shared" si="0"/>
        <v>6.1650045330915684E-2</v>
      </c>
      <c r="K20" s="272">
        <v>280</v>
      </c>
      <c r="L20" s="272"/>
      <c r="M20" s="272"/>
      <c r="N20" s="272"/>
      <c r="O20" s="272"/>
      <c r="P20" s="272"/>
      <c r="Q20" s="272"/>
      <c r="R20" s="272"/>
      <c r="S20" s="272"/>
    </row>
    <row r="21" spans="1:19" ht="15" customHeight="1" x14ac:dyDescent="0.25">
      <c r="A21" s="273">
        <v>46238</v>
      </c>
      <c r="B21" s="272" t="s">
        <v>258</v>
      </c>
      <c r="C21" s="272" t="s">
        <v>128</v>
      </c>
      <c r="D21" s="272" t="s">
        <v>170</v>
      </c>
      <c r="E21" s="272">
        <v>25</v>
      </c>
      <c r="F21" s="272">
        <v>5389</v>
      </c>
      <c r="G21" s="274">
        <v>27000</v>
      </c>
      <c r="H21" s="274">
        <v>26840</v>
      </c>
      <c r="I21" s="274">
        <v>160</v>
      </c>
      <c r="J21" s="275">
        <f t="shared" si="0"/>
        <v>5.9259259259259256E-3</v>
      </c>
      <c r="K21" s="272"/>
      <c r="L21" s="272"/>
      <c r="M21" s="272"/>
      <c r="N21" s="272"/>
      <c r="O21" s="272"/>
      <c r="P21" s="272"/>
      <c r="Q21" s="272"/>
      <c r="R21" s="272"/>
      <c r="S21" s="272"/>
    </row>
    <row r="22" spans="1:19" ht="15" customHeight="1" x14ac:dyDescent="0.25">
      <c r="A22" s="273">
        <v>46238</v>
      </c>
      <c r="B22" s="272" t="s">
        <v>259</v>
      </c>
      <c r="C22" s="272" t="s">
        <v>128</v>
      </c>
      <c r="D22" s="272" t="s">
        <v>170</v>
      </c>
      <c r="E22" s="272">
        <v>25</v>
      </c>
      <c r="F22" s="272">
        <v>5389</v>
      </c>
      <c r="G22" s="274">
        <v>13053</v>
      </c>
      <c r="H22" s="274">
        <v>12768</v>
      </c>
      <c r="I22" s="274">
        <v>285</v>
      </c>
      <c r="J22" s="275">
        <f t="shared" si="0"/>
        <v>2.1834061135371178E-2</v>
      </c>
      <c r="K22" s="272"/>
      <c r="L22" s="272"/>
      <c r="M22" s="272">
        <v>120</v>
      </c>
      <c r="N22" s="272"/>
      <c r="O22" s="272"/>
      <c r="P22" s="272"/>
      <c r="Q22" s="272"/>
      <c r="R22" s="272"/>
      <c r="S22" s="272"/>
    </row>
    <row r="23" spans="1:19" ht="15" customHeight="1" x14ac:dyDescent="0.25">
      <c r="A23" s="273">
        <v>46238</v>
      </c>
      <c r="B23" s="272" t="s">
        <v>256</v>
      </c>
      <c r="C23" s="272" t="s">
        <v>11</v>
      </c>
      <c r="D23" s="272" t="s">
        <v>12</v>
      </c>
      <c r="E23" s="272">
        <v>30</v>
      </c>
      <c r="F23" s="272">
        <v>6206</v>
      </c>
      <c r="G23" s="274">
        <v>2956</v>
      </c>
      <c r="H23" s="274">
        <v>2856</v>
      </c>
      <c r="I23" s="274">
        <v>100</v>
      </c>
      <c r="J23" s="275">
        <f t="shared" si="0"/>
        <v>3.3829499323410013E-2</v>
      </c>
      <c r="K23" s="272"/>
      <c r="L23" s="272"/>
      <c r="M23" s="272"/>
      <c r="N23" s="272"/>
      <c r="O23" s="272"/>
      <c r="P23" s="272"/>
      <c r="Q23" s="272"/>
      <c r="R23" s="272"/>
      <c r="S23" s="272"/>
    </row>
    <row r="24" spans="1:19" ht="15" customHeight="1" x14ac:dyDescent="0.25">
      <c r="A24" s="273">
        <v>46239</v>
      </c>
      <c r="B24" s="272" t="s">
        <v>252</v>
      </c>
      <c r="C24" s="272" t="s">
        <v>11</v>
      </c>
      <c r="D24" s="272" t="s">
        <v>12</v>
      </c>
      <c r="E24" s="272">
        <v>30</v>
      </c>
      <c r="F24" s="272">
        <v>6206</v>
      </c>
      <c r="G24" s="274">
        <v>5000</v>
      </c>
      <c r="H24" s="274">
        <v>4900</v>
      </c>
      <c r="I24" s="274">
        <v>100</v>
      </c>
      <c r="J24" s="275">
        <f t="shared" si="0"/>
        <v>0.02</v>
      </c>
      <c r="K24" s="272"/>
      <c r="L24" s="272"/>
      <c r="M24" s="272"/>
      <c r="N24" s="272"/>
      <c r="O24" s="272"/>
      <c r="P24" s="272"/>
      <c r="Q24" s="272"/>
      <c r="R24" s="272"/>
      <c r="S24" s="272"/>
    </row>
    <row r="25" spans="1:19" ht="15" customHeight="1" x14ac:dyDescent="0.25">
      <c r="A25" s="273">
        <v>46239</v>
      </c>
      <c r="B25" s="272" t="s">
        <v>257</v>
      </c>
      <c r="C25" s="272" t="s">
        <v>128</v>
      </c>
      <c r="D25" s="272" t="s">
        <v>170</v>
      </c>
      <c r="E25" s="272">
        <v>25</v>
      </c>
      <c r="F25" s="272">
        <v>5389</v>
      </c>
      <c r="G25" s="274">
        <v>20000</v>
      </c>
      <c r="H25" s="274">
        <v>19650</v>
      </c>
      <c r="I25" s="274">
        <v>350</v>
      </c>
      <c r="J25" s="275">
        <f t="shared" si="0"/>
        <v>1.7500000000000002E-2</v>
      </c>
      <c r="K25" s="272"/>
      <c r="L25" s="272"/>
      <c r="M25" s="272"/>
      <c r="N25" s="272"/>
      <c r="O25" s="272"/>
      <c r="P25" s="272"/>
      <c r="Q25" s="272"/>
      <c r="R25" s="272"/>
      <c r="S25" s="272"/>
    </row>
    <row r="26" spans="1:19" ht="15" customHeight="1" x14ac:dyDescent="0.25">
      <c r="A26" s="273">
        <v>46239</v>
      </c>
      <c r="B26" s="272" t="s">
        <v>254</v>
      </c>
      <c r="C26" s="272" t="s">
        <v>135</v>
      </c>
      <c r="D26" s="272" t="s">
        <v>178</v>
      </c>
      <c r="E26" s="272" t="s">
        <v>134</v>
      </c>
      <c r="F26" s="272">
        <v>8001</v>
      </c>
      <c r="G26" s="274">
        <v>11475</v>
      </c>
      <c r="H26" s="274">
        <v>10925</v>
      </c>
      <c r="I26" s="274">
        <v>550</v>
      </c>
      <c r="J26" s="275">
        <f t="shared" si="0"/>
        <v>4.793028322440087E-2</v>
      </c>
      <c r="K26" s="272"/>
      <c r="L26" s="272">
        <v>30</v>
      </c>
      <c r="M26" s="272"/>
      <c r="N26" s="272"/>
      <c r="O26" s="272">
        <v>120</v>
      </c>
      <c r="P26" s="272"/>
      <c r="Q26" s="272"/>
      <c r="R26" s="272"/>
      <c r="S26" s="272"/>
    </row>
    <row r="27" spans="1:19" ht="15" customHeight="1" x14ac:dyDescent="0.25">
      <c r="A27" s="273">
        <v>46239</v>
      </c>
      <c r="B27" s="272" t="s">
        <v>255</v>
      </c>
      <c r="C27" s="272" t="s">
        <v>11</v>
      </c>
      <c r="D27" s="272" t="s">
        <v>12</v>
      </c>
      <c r="E27" s="272">
        <v>30</v>
      </c>
      <c r="F27" s="272">
        <v>6206</v>
      </c>
      <c r="G27" s="274">
        <v>10800</v>
      </c>
      <c r="H27" s="274">
        <v>10690</v>
      </c>
      <c r="I27" s="274">
        <v>110</v>
      </c>
      <c r="J27" s="275">
        <f t="shared" si="0"/>
        <v>1.0185185185185186E-2</v>
      </c>
      <c r="K27" s="272"/>
      <c r="L27" s="272"/>
      <c r="M27" s="272"/>
      <c r="N27" s="272"/>
      <c r="O27" s="272"/>
      <c r="P27" s="272"/>
      <c r="Q27" s="272"/>
      <c r="R27" s="272"/>
      <c r="S27" s="272"/>
    </row>
    <row r="28" spans="1:19" ht="15" customHeight="1" x14ac:dyDescent="0.25">
      <c r="A28" s="273">
        <v>46239</v>
      </c>
      <c r="B28" s="272" t="s">
        <v>258</v>
      </c>
      <c r="C28" s="272" t="s">
        <v>128</v>
      </c>
      <c r="D28" s="272" t="s">
        <v>170</v>
      </c>
      <c r="E28" s="272">
        <v>25</v>
      </c>
      <c r="F28" s="272">
        <v>5389</v>
      </c>
      <c r="G28" s="274">
        <v>23000</v>
      </c>
      <c r="H28" s="274">
        <v>22850</v>
      </c>
      <c r="I28" s="274">
        <v>150</v>
      </c>
      <c r="J28" s="275">
        <f t="shared" si="0"/>
        <v>6.5217391304347823E-3</v>
      </c>
      <c r="K28" s="272"/>
      <c r="L28" s="272"/>
      <c r="M28" s="272"/>
      <c r="N28" s="272"/>
      <c r="O28" s="272"/>
      <c r="P28" s="272"/>
      <c r="Q28" s="272"/>
      <c r="R28" s="272"/>
      <c r="S28" s="272"/>
    </row>
    <row r="29" spans="1:19" ht="15" customHeight="1" x14ac:dyDescent="0.25">
      <c r="A29" s="273">
        <v>46239</v>
      </c>
      <c r="B29" s="272" t="s">
        <v>259</v>
      </c>
      <c r="C29" s="272" t="s">
        <v>128</v>
      </c>
      <c r="D29" s="272" t="s">
        <v>170</v>
      </c>
      <c r="E29" s="272">
        <v>25</v>
      </c>
      <c r="F29" s="272">
        <v>5389</v>
      </c>
      <c r="G29" s="274">
        <v>20234</v>
      </c>
      <c r="H29" s="274">
        <v>19824</v>
      </c>
      <c r="I29" s="274">
        <v>410</v>
      </c>
      <c r="J29" s="275">
        <f t="shared" si="0"/>
        <v>2.0262923791637837E-2</v>
      </c>
      <c r="K29" s="272"/>
      <c r="L29" s="272"/>
      <c r="M29" s="272"/>
      <c r="N29" s="272"/>
      <c r="O29" s="272"/>
      <c r="P29" s="272"/>
      <c r="Q29" s="272"/>
      <c r="R29" s="272"/>
      <c r="S29" s="272"/>
    </row>
    <row r="30" spans="1:19" ht="15" customHeight="1" x14ac:dyDescent="0.25">
      <c r="A30" s="273">
        <v>46240</v>
      </c>
      <c r="B30" s="272" t="s">
        <v>252</v>
      </c>
      <c r="C30" s="272" t="s">
        <v>11</v>
      </c>
      <c r="D30" s="272" t="s">
        <v>12</v>
      </c>
      <c r="E30" s="272">
        <v>30</v>
      </c>
      <c r="F30" s="272">
        <v>6206</v>
      </c>
      <c r="G30" s="274">
        <v>24000</v>
      </c>
      <c r="H30" s="274">
        <v>23605</v>
      </c>
      <c r="I30" s="274">
        <v>395</v>
      </c>
      <c r="J30" s="275">
        <f t="shared" si="0"/>
        <v>1.6458333333333332E-2</v>
      </c>
      <c r="K30" s="272"/>
      <c r="L30" s="272"/>
      <c r="M30" s="272"/>
      <c r="N30" s="272"/>
      <c r="O30" s="272"/>
      <c r="P30" s="272"/>
      <c r="Q30" s="272"/>
      <c r="R30" s="272"/>
      <c r="S30" s="272"/>
    </row>
    <row r="31" spans="1:19" ht="15" customHeight="1" x14ac:dyDescent="0.25">
      <c r="A31" s="273">
        <v>46240</v>
      </c>
      <c r="B31" s="272" t="s">
        <v>253</v>
      </c>
      <c r="C31" s="272" t="s">
        <v>11</v>
      </c>
      <c r="D31" s="272" t="s">
        <v>12</v>
      </c>
      <c r="E31" s="272">
        <v>30</v>
      </c>
      <c r="F31" s="272">
        <v>6206</v>
      </c>
      <c r="G31" s="274">
        <v>13804</v>
      </c>
      <c r="H31" s="274">
        <v>13784</v>
      </c>
      <c r="I31" s="274">
        <v>20</v>
      </c>
      <c r="J31" s="275">
        <f t="shared" si="0"/>
        <v>1.4488554042306578E-3</v>
      </c>
      <c r="K31" s="272"/>
      <c r="L31" s="272"/>
      <c r="M31" s="272"/>
      <c r="N31" s="272"/>
      <c r="O31" s="272">
        <v>240</v>
      </c>
      <c r="P31" s="272"/>
      <c r="Q31" s="272"/>
      <c r="R31" s="272"/>
      <c r="S31" s="272"/>
    </row>
    <row r="32" spans="1:19" ht="15" customHeight="1" x14ac:dyDescent="0.25">
      <c r="A32" s="273">
        <v>46240</v>
      </c>
      <c r="B32" s="272" t="s">
        <v>254</v>
      </c>
      <c r="C32" s="272" t="s">
        <v>135</v>
      </c>
      <c r="D32" s="272" t="s">
        <v>178</v>
      </c>
      <c r="E32" s="272" t="s">
        <v>134</v>
      </c>
      <c r="F32" s="272">
        <v>8001</v>
      </c>
      <c r="G32" s="274">
        <v>16120</v>
      </c>
      <c r="H32" s="274">
        <v>15640</v>
      </c>
      <c r="I32" s="274">
        <v>480</v>
      </c>
      <c r="J32" s="275">
        <f t="shared" si="0"/>
        <v>2.9776674937965261E-2</v>
      </c>
      <c r="K32" s="272"/>
      <c r="L32" s="272"/>
      <c r="M32" s="272"/>
      <c r="N32" s="272"/>
      <c r="O32" s="272"/>
      <c r="P32" s="272">
        <v>80</v>
      </c>
      <c r="Q32" s="272"/>
      <c r="R32" s="272"/>
      <c r="S32" s="272"/>
    </row>
    <row r="33" spans="1:19" ht="15" customHeight="1" x14ac:dyDescent="0.25">
      <c r="A33" s="273">
        <v>46240</v>
      </c>
      <c r="B33" s="272" t="s">
        <v>255</v>
      </c>
      <c r="C33" s="272" t="s">
        <v>11</v>
      </c>
      <c r="D33" s="272" t="s">
        <v>12</v>
      </c>
      <c r="E33" s="272">
        <v>30</v>
      </c>
      <c r="F33" s="272">
        <v>6206</v>
      </c>
      <c r="G33" s="274">
        <v>23500</v>
      </c>
      <c r="H33" s="274">
        <v>23350</v>
      </c>
      <c r="I33" s="274">
        <v>150</v>
      </c>
      <c r="J33" s="275">
        <f t="shared" si="0"/>
        <v>6.382978723404255E-3</v>
      </c>
      <c r="K33" s="272"/>
      <c r="L33" s="272"/>
      <c r="M33" s="272"/>
      <c r="N33" s="272"/>
      <c r="O33" s="272"/>
      <c r="P33" s="272"/>
      <c r="Q33" s="272"/>
      <c r="R33" s="272"/>
      <c r="S33" s="272"/>
    </row>
    <row r="34" spans="1:19" ht="15" customHeight="1" x14ac:dyDescent="0.25">
      <c r="A34" s="273">
        <v>46240</v>
      </c>
      <c r="B34" s="272" t="s">
        <v>258</v>
      </c>
      <c r="C34" s="272" t="s">
        <v>128</v>
      </c>
      <c r="D34" s="272" t="s">
        <v>170</v>
      </c>
      <c r="E34" s="272">
        <v>25</v>
      </c>
      <c r="F34" s="272">
        <v>5389</v>
      </c>
      <c r="G34" s="274">
        <v>4900</v>
      </c>
      <c r="H34" s="274">
        <v>4850</v>
      </c>
      <c r="I34" s="274">
        <v>50</v>
      </c>
      <c r="J34" s="275">
        <f t="shared" si="0"/>
        <v>1.020408163265306E-2</v>
      </c>
      <c r="K34" s="272"/>
      <c r="L34" s="272"/>
      <c r="M34" s="272"/>
      <c r="N34" s="272"/>
      <c r="O34" s="272"/>
      <c r="P34" s="272"/>
      <c r="Q34" s="272"/>
      <c r="R34" s="272"/>
      <c r="S34" s="272"/>
    </row>
    <row r="35" spans="1:19" ht="15" customHeight="1" x14ac:dyDescent="0.25">
      <c r="A35" s="273">
        <v>46240</v>
      </c>
      <c r="B35" s="272" t="s">
        <v>256</v>
      </c>
      <c r="C35" s="272" t="s">
        <v>11</v>
      </c>
      <c r="D35" s="272" t="s">
        <v>12</v>
      </c>
      <c r="E35" s="272">
        <v>30</v>
      </c>
      <c r="F35" s="272">
        <v>6206</v>
      </c>
      <c r="G35" s="274">
        <v>24503</v>
      </c>
      <c r="H35" s="274">
        <v>24038</v>
      </c>
      <c r="I35" s="274">
        <v>465</v>
      </c>
      <c r="J35" s="275">
        <f t="shared" ref="J35:J66" si="1">IFERROR(I35/(H35+I35),"")</f>
        <v>1.897726808962168E-2</v>
      </c>
      <c r="K35" s="272"/>
      <c r="L35" s="272"/>
      <c r="M35" s="272"/>
      <c r="N35" s="272"/>
      <c r="O35" s="272"/>
      <c r="P35" s="272"/>
      <c r="Q35" s="272"/>
      <c r="R35" s="272"/>
      <c r="S35" s="272"/>
    </row>
    <row r="36" spans="1:19" ht="15" customHeight="1" x14ac:dyDescent="0.25">
      <c r="A36" s="273">
        <v>46241</v>
      </c>
      <c r="B36" s="272" t="s">
        <v>252</v>
      </c>
      <c r="C36" s="272" t="s">
        <v>11</v>
      </c>
      <c r="D36" s="272" t="s">
        <v>12</v>
      </c>
      <c r="E36" s="272">
        <v>30</v>
      </c>
      <c r="F36" s="272">
        <v>6206</v>
      </c>
      <c r="G36" s="274">
        <v>22000</v>
      </c>
      <c r="H36" s="274">
        <v>21630</v>
      </c>
      <c r="I36" s="274">
        <v>370</v>
      </c>
      <c r="J36" s="275">
        <f t="shared" si="1"/>
        <v>1.6818181818181819E-2</v>
      </c>
      <c r="K36" s="272"/>
      <c r="L36" s="272"/>
      <c r="M36" s="272"/>
      <c r="N36" s="272"/>
      <c r="O36" s="272"/>
      <c r="P36" s="272"/>
      <c r="Q36" s="272"/>
      <c r="R36" s="272"/>
      <c r="S36" s="272"/>
    </row>
    <row r="37" spans="1:19" ht="15" customHeight="1" x14ac:dyDescent="0.25">
      <c r="A37" s="273">
        <v>46241</v>
      </c>
      <c r="B37" s="272" t="s">
        <v>253</v>
      </c>
      <c r="C37" s="272" t="s">
        <v>11</v>
      </c>
      <c r="D37" s="272" t="s">
        <v>12</v>
      </c>
      <c r="E37" s="272">
        <v>30</v>
      </c>
      <c r="F37" s="272">
        <v>6206</v>
      </c>
      <c r="G37" s="274">
        <v>24076</v>
      </c>
      <c r="H37" s="274">
        <v>24056</v>
      </c>
      <c r="I37" s="274">
        <v>20</v>
      </c>
      <c r="J37" s="275">
        <f t="shared" si="1"/>
        <v>8.3070277454726704E-4</v>
      </c>
      <c r="K37" s="272"/>
      <c r="L37" s="272"/>
      <c r="M37" s="272"/>
      <c r="N37" s="272"/>
      <c r="O37" s="272"/>
      <c r="P37" s="272"/>
      <c r="Q37" s="272"/>
      <c r="R37" s="272"/>
      <c r="S37" s="272"/>
    </row>
    <row r="38" spans="1:19" ht="15" customHeight="1" x14ac:dyDescent="0.25">
      <c r="A38" s="273">
        <v>46241</v>
      </c>
      <c r="B38" s="272" t="s">
        <v>254</v>
      </c>
      <c r="C38" s="272" t="s">
        <v>135</v>
      </c>
      <c r="D38" s="272" t="s">
        <v>178</v>
      </c>
      <c r="E38" s="272" t="s">
        <v>134</v>
      </c>
      <c r="F38" s="272">
        <v>8001</v>
      </c>
      <c r="G38" s="274">
        <v>6220</v>
      </c>
      <c r="H38" s="274">
        <v>5520</v>
      </c>
      <c r="I38" s="274">
        <v>700</v>
      </c>
      <c r="J38" s="275">
        <f t="shared" si="1"/>
        <v>0.11254019292604502</v>
      </c>
      <c r="K38" s="272">
        <v>120</v>
      </c>
      <c r="L38" s="272"/>
      <c r="M38" s="272"/>
      <c r="N38" s="272"/>
      <c r="O38" s="272">
        <v>330</v>
      </c>
      <c r="P38" s="272"/>
      <c r="Q38" s="272"/>
      <c r="R38" s="272"/>
      <c r="S38" s="272"/>
    </row>
    <row r="39" spans="1:19" ht="15" customHeight="1" x14ac:dyDescent="0.25">
      <c r="A39" s="273">
        <v>46241</v>
      </c>
      <c r="B39" s="272" t="s">
        <v>255</v>
      </c>
      <c r="C39" s="272" t="s">
        <v>11</v>
      </c>
      <c r="D39" s="272" t="s">
        <v>12</v>
      </c>
      <c r="E39" s="272">
        <v>30</v>
      </c>
      <c r="F39" s="272">
        <v>6206</v>
      </c>
      <c r="G39" s="274">
        <v>24000</v>
      </c>
      <c r="H39" s="274">
        <v>23850</v>
      </c>
      <c r="I39" s="274">
        <v>150</v>
      </c>
      <c r="J39" s="275">
        <f t="shared" si="1"/>
        <v>6.2500000000000003E-3</v>
      </c>
      <c r="K39" s="272"/>
      <c r="L39" s="272"/>
      <c r="M39" s="272"/>
      <c r="N39" s="272"/>
      <c r="O39" s="272"/>
      <c r="P39" s="272"/>
      <c r="Q39" s="272"/>
      <c r="R39" s="272"/>
      <c r="S39" s="272"/>
    </row>
    <row r="40" spans="1:19" ht="15" customHeight="1" x14ac:dyDescent="0.25">
      <c r="A40" s="273">
        <v>46241</v>
      </c>
      <c r="B40" s="272" t="s">
        <v>256</v>
      </c>
      <c r="C40" s="272" t="s">
        <v>11</v>
      </c>
      <c r="D40" s="272" t="s">
        <v>12</v>
      </c>
      <c r="E40" s="272">
        <v>30</v>
      </c>
      <c r="F40" s="272">
        <v>6206</v>
      </c>
      <c r="G40" s="274">
        <v>19911</v>
      </c>
      <c r="H40" s="274">
        <v>19516</v>
      </c>
      <c r="I40" s="274">
        <v>395</v>
      </c>
      <c r="J40" s="275">
        <f t="shared" si="1"/>
        <v>1.9838280347546582E-2</v>
      </c>
      <c r="K40" s="272"/>
      <c r="L40" s="272"/>
      <c r="M40" s="272">
        <v>60</v>
      </c>
      <c r="N40" s="272"/>
      <c r="O40" s="272"/>
      <c r="P40" s="272"/>
      <c r="Q40" s="272"/>
      <c r="R40" s="272"/>
      <c r="S40" s="272"/>
    </row>
    <row r="41" spans="1:19" ht="15" customHeight="1" x14ac:dyDescent="0.25">
      <c r="A41" s="273">
        <v>46242</v>
      </c>
      <c r="B41" s="272" t="s">
        <v>252</v>
      </c>
      <c r="C41" s="272" t="s">
        <v>11</v>
      </c>
      <c r="D41" s="272" t="s">
        <v>12</v>
      </c>
      <c r="E41" s="272">
        <v>30</v>
      </c>
      <c r="F41" s="272">
        <v>6206</v>
      </c>
      <c r="G41" s="274">
        <v>14000</v>
      </c>
      <c r="H41" s="274">
        <v>13750</v>
      </c>
      <c r="I41" s="274">
        <v>250</v>
      </c>
      <c r="J41" s="275">
        <f t="shared" si="1"/>
        <v>1.7857142857142856E-2</v>
      </c>
      <c r="K41" s="272"/>
      <c r="L41" s="272"/>
      <c r="M41" s="272"/>
      <c r="N41" s="272"/>
      <c r="O41" s="272"/>
      <c r="P41" s="272"/>
      <c r="Q41" s="272"/>
      <c r="R41" s="272"/>
      <c r="S41" s="272"/>
    </row>
    <row r="42" spans="1:19" ht="15" customHeight="1" x14ac:dyDescent="0.25">
      <c r="A42" s="273">
        <v>46242</v>
      </c>
      <c r="B42" s="272" t="s">
        <v>257</v>
      </c>
      <c r="C42" s="272" t="s">
        <v>128</v>
      </c>
      <c r="D42" s="272" t="s">
        <v>170</v>
      </c>
      <c r="E42" s="272">
        <v>25</v>
      </c>
      <c r="F42" s="272">
        <v>5389</v>
      </c>
      <c r="G42" s="274">
        <v>8000</v>
      </c>
      <c r="H42" s="274">
        <v>7880</v>
      </c>
      <c r="I42" s="274">
        <v>120</v>
      </c>
      <c r="J42" s="275">
        <f t="shared" si="1"/>
        <v>1.4999999999999999E-2</v>
      </c>
      <c r="K42" s="272"/>
      <c r="L42" s="272"/>
      <c r="M42" s="272"/>
      <c r="N42" s="272"/>
      <c r="O42" s="272"/>
      <c r="P42" s="272"/>
      <c r="Q42" s="272"/>
      <c r="R42" s="272"/>
      <c r="S42" s="272"/>
    </row>
    <row r="43" spans="1:19" ht="15" customHeight="1" x14ac:dyDescent="0.25">
      <c r="A43" s="273">
        <v>46242</v>
      </c>
      <c r="B43" s="272" t="s">
        <v>253</v>
      </c>
      <c r="C43" s="272" t="s">
        <v>11</v>
      </c>
      <c r="D43" s="272" t="s">
        <v>12</v>
      </c>
      <c r="E43" s="272">
        <v>30</v>
      </c>
      <c r="F43" s="272">
        <v>6206</v>
      </c>
      <c r="G43" s="274">
        <v>24276</v>
      </c>
      <c r="H43" s="274">
        <v>24256</v>
      </c>
      <c r="I43" s="274">
        <v>20</v>
      </c>
      <c r="J43" s="275">
        <f t="shared" si="1"/>
        <v>8.2385895534684461E-4</v>
      </c>
      <c r="K43" s="272"/>
      <c r="L43" s="272"/>
      <c r="M43" s="272"/>
      <c r="N43" s="272"/>
      <c r="O43" s="272"/>
      <c r="P43" s="272"/>
      <c r="Q43" s="272"/>
      <c r="R43" s="272"/>
      <c r="S43" s="272"/>
    </row>
    <row r="44" spans="1:19" ht="15" customHeight="1" x14ac:dyDescent="0.25">
      <c r="A44" s="273">
        <v>46242</v>
      </c>
      <c r="B44" s="272" t="s">
        <v>254</v>
      </c>
      <c r="C44" s="272" t="s">
        <v>135</v>
      </c>
      <c r="D44" s="272" t="s">
        <v>178</v>
      </c>
      <c r="E44" s="272" t="s">
        <v>134</v>
      </c>
      <c r="F44" s="272">
        <v>8001</v>
      </c>
      <c r="G44" s="274">
        <v>0</v>
      </c>
      <c r="H44" s="274">
        <v>0</v>
      </c>
      <c r="I44" s="274">
        <v>0</v>
      </c>
      <c r="J44" s="275" t="str">
        <f t="shared" si="1"/>
        <v/>
      </c>
      <c r="K44" s="272">
        <v>960</v>
      </c>
      <c r="L44" s="272"/>
      <c r="M44" s="272"/>
      <c r="N44" s="272"/>
      <c r="O44" s="272"/>
      <c r="P44" s="272"/>
      <c r="Q44" s="272"/>
      <c r="R44" s="272"/>
      <c r="S44" s="272"/>
    </row>
    <row r="45" spans="1:19" ht="15" customHeight="1" x14ac:dyDescent="0.25">
      <c r="A45" s="273">
        <v>46242</v>
      </c>
      <c r="B45" s="272" t="s">
        <v>255</v>
      </c>
      <c r="C45" s="272" t="s">
        <v>11</v>
      </c>
      <c r="D45" s="272" t="s">
        <v>12</v>
      </c>
      <c r="E45" s="272">
        <v>30</v>
      </c>
      <c r="F45" s="272">
        <v>6206</v>
      </c>
      <c r="G45" s="274">
        <v>6800</v>
      </c>
      <c r="H45" s="274">
        <v>6720</v>
      </c>
      <c r="I45" s="274">
        <v>80</v>
      </c>
      <c r="J45" s="275">
        <f t="shared" si="1"/>
        <v>1.1764705882352941E-2</v>
      </c>
      <c r="K45" s="272"/>
      <c r="L45" s="272"/>
      <c r="M45" s="272"/>
      <c r="N45" s="272"/>
      <c r="O45" s="272"/>
      <c r="P45" s="272"/>
      <c r="Q45" s="272"/>
      <c r="R45" s="272"/>
      <c r="S45" s="272"/>
    </row>
    <row r="46" spans="1:19" ht="15" customHeight="1" x14ac:dyDescent="0.25">
      <c r="A46" s="273">
        <v>46242</v>
      </c>
      <c r="B46" s="272" t="s">
        <v>258</v>
      </c>
      <c r="C46" s="272" t="s">
        <v>128</v>
      </c>
      <c r="D46" s="272" t="s">
        <v>170</v>
      </c>
      <c r="E46" s="272">
        <v>25</v>
      </c>
      <c r="F46" s="272">
        <v>5389</v>
      </c>
      <c r="G46" s="274">
        <v>9200</v>
      </c>
      <c r="H46" s="274">
        <v>9105</v>
      </c>
      <c r="I46" s="274">
        <v>95</v>
      </c>
      <c r="J46" s="275">
        <f t="shared" si="1"/>
        <v>1.0326086956521738E-2</v>
      </c>
      <c r="K46" s="272">
        <v>120</v>
      </c>
      <c r="L46" s="272"/>
      <c r="M46" s="272"/>
      <c r="N46" s="272"/>
      <c r="O46" s="272"/>
      <c r="P46" s="272"/>
      <c r="Q46" s="272"/>
      <c r="R46" s="272"/>
      <c r="S46" s="272"/>
    </row>
    <row r="47" spans="1:19" ht="15" customHeight="1" x14ac:dyDescent="0.25">
      <c r="A47" s="273">
        <v>46242</v>
      </c>
      <c r="B47" s="272" t="s">
        <v>259</v>
      </c>
      <c r="C47" s="272" t="s">
        <v>128</v>
      </c>
      <c r="D47" s="272" t="s">
        <v>170</v>
      </c>
      <c r="E47" s="272">
        <v>25</v>
      </c>
      <c r="F47" s="272">
        <v>5389</v>
      </c>
      <c r="G47" s="274">
        <v>5200</v>
      </c>
      <c r="H47" s="274">
        <v>5040</v>
      </c>
      <c r="I47" s="274">
        <v>160</v>
      </c>
      <c r="J47" s="275">
        <f t="shared" si="1"/>
        <v>3.0769230769230771E-2</v>
      </c>
      <c r="K47" s="272"/>
      <c r="L47" s="272"/>
      <c r="M47" s="272"/>
      <c r="N47" s="272"/>
      <c r="O47" s="272"/>
      <c r="P47" s="272"/>
      <c r="Q47" s="272"/>
      <c r="R47" s="272"/>
      <c r="S47" s="272"/>
    </row>
    <row r="48" spans="1:19" ht="15" customHeight="1" x14ac:dyDescent="0.25">
      <c r="A48" s="273">
        <v>46242</v>
      </c>
      <c r="B48" s="272" t="s">
        <v>256</v>
      </c>
      <c r="C48" s="272" t="s">
        <v>11</v>
      </c>
      <c r="D48" s="272" t="s">
        <v>12</v>
      </c>
      <c r="E48" s="272">
        <v>30</v>
      </c>
      <c r="F48" s="272">
        <v>6206</v>
      </c>
      <c r="G48" s="274">
        <v>18438</v>
      </c>
      <c r="H48" s="274">
        <v>18088</v>
      </c>
      <c r="I48" s="274">
        <v>350</v>
      </c>
      <c r="J48" s="275">
        <f t="shared" si="1"/>
        <v>1.8982536066818528E-2</v>
      </c>
      <c r="K48" s="272"/>
      <c r="L48" s="272"/>
      <c r="M48" s="272"/>
      <c r="N48" s="272"/>
      <c r="O48" s="272"/>
      <c r="P48" s="272"/>
      <c r="Q48" s="272"/>
      <c r="R48" s="272"/>
      <c r="S48" s="272"/>
    </row>
    <row r="49" spans="1:19" ht="15" customHeight="1" x14ac:dyDescent="0.25">
      <c r="A49" s="273">
        <v>46244</v>
      </c>
      <c r="B49" s="272" t="s">
        <v>257</v>
      </c>
      <c r="C49" s="272" t="s">
        <v>128</v>
      </c>
      <c r="D49" s="272" t="s">
        <v>170</v>
      </c>
      <c r="E49" s="272">
        <v>25</v>
      </c>
      <c r="F49" s="272">
        <v>5389</v>
      </c>
      <c r="G49" s="274">
        <v>18000</v>
      </c>
      <c r="H49" s="274">
        <v>17720</v>
      </c>
      <c r="I49" s="274">
        <v>280</v>
      </c>
      <c r="J49" s="275">
        <f t="shared" si="1"/>
        <v>1.5555555555555555E-2</v>
      </c>
      <c r="K49" s="272"/>
      <c r="L49" s="272"/>
      <c r="M49" s="272">
        <v>60</v>
      </c>
      <c r="N49" s="272"/>
      <c r="O49" s="272"/>
      <c r="P49" s="272"/>
      <c r="Q49" s="272"/>
      <c r="R49" s="272"/>
      <c r="S49" s="272"/>
    </row>
    <row r="50" spans="1:19" ht="15" customHeight="1" x14ac:dyDescent="0.25">
      <c r="A50" s="273">
        <v>46244</v>
      </c>
      <c r="B50" s="272" t="s">
        <v>254</v>
      </c>
      <c r="C50" s="272" t="s">
        <v>135</v>
      </c>
      <c r="D50" s="272" t="s">
        <v>178</v>
      </c>
      <c r="E50" s="272" t="s">
        <v>134</v>
      </c>
      <c r="F50" s="272">
        <v>8001</v>
      </c>
      <c r="G50" s="274">
        <v>0</v>
      </c>
      <c r="H50" s="274">
        <v>0</v>
      </c>
      <c r="I50" s="274">
        <v>0</v>
      </c>
      <c r="J50" s="275" t="str">
        <f t="shared" si="1"/>
        <v/>
      </c>
      <c r="K50" s="272">
        <v>960</v>
      </c>
      <c r="L50" s="272"/>
      <c r="M50" s="272"/>
      <c r="N50" s="272"/>
      <c r="O50" s="272"/>
      <c r="P50" s="272"/>
      <c r="Q50" s="272"/>
      <c r="R50" s="272"/>
      <c r="S50" s="272"/>
    </row>
    <row r="51" spans="1:19" ht="15" customHeight="1" x14ac:dyDescent="0.25">
      <c r="A51" s="273">
        <v>46244</v>
      </c>
      <c r="B51" s="272" t="s">
        <v>255</v>
      </c>
      <c r="C51" s="272" t="s">
        <v>11</v>
      </c>
      <c r="D51" s="272" t="s">
        <v>12</v>
      </c>
      <c r="E51" s="272">
        <v>30</v>
      </c>
      <c r="F51" s="272">
        <v>6206</v>
      </c>
      <c r="G51" s="274">
        <v>8000</v>
      </c>
      <c r="H51" s="274">
        <v>7900</v>
      </c>
      <c r="I51" s="274">
        <v>100</v>
      </c>
      <c r="J51" s="275">
        <f t="shared" si="1"/>
        <v>1.2500000000000001E-2</v>
      </c>
      <c r="K51" s="272"/>
      <c r="L51" s="272"/>
      <c r="M51" s="272">
        <v>180</v>
      </c>
      <c r="N51" s="272"/>
      <c r="O51" s="272"/>
      <c r="P51" s="272"/>
      <c r="Q51" s="272"/>
      <c r="R51" s="272"/>
      <c r="S51" s="272"/>
    </row>
    <row r="52" spans="1:19" ht="15" customHeight="1" x14ac:dyDescent="0.25">
      <c r="A52" s="273">
        <v>46244</v>
      </c>
      <c r="B52" s="272" t="s">
        <v>258</v>
      </c>
      <c r="C52" s="272" t="s">
        <v>128</v>
      </c>
      <c r="D52" s="272" t="s">
        <v>170</v>
      </c>
      <c r="E52" s="272">
        <v>25</v>
      </c>
      <c r="F52" s="272">
        <v>5389</v>
      </c>
      <c r="G52" s="274">
        <v>2000</v>
      </c>
      <c r="H52" s="274">
        <v>1970</v>
      </c>
      <c r="I52" s="274">
        <v>30</v>
      </c>
      <c r="J52" s="275">
        <f t="shared" si="1"/>
        <v>1.4999999999999999E-2</v>
      </c>
      <c r="K52" s="272"/>
      <c r="L52" s="272"/>
      <c r="M52" s="272"/>
      <c r="N52" s="272"/>
      <c r="O52" s="272"/>
      <c r="P52" s="272"/>
      <c r="Q52" s="272"/>
      <c r="R52" s="272"/>
      <c r="S52" s="272"/>
    </row>
    <row r="53" spans="1:19" ht="15" customHeight="1" x14ac:dyDescent="0.25">
      <c r="A53" s="273">
        <v>46244</v>
      </c>
      <c r="B53" s="272" t="s">
        <v>259</v>
      </c>
      <c r="C53" s="272" t="s">
        <v>128</v>
      </c>
      <c r="D53" s="272" t="s">
        <v>170</v>
      </c>
      <c r="E53" s="272">
        <v>25</v>
      </c>
      <c r="F53" s="272">
        <v>5389</v>
      </c>
      <c r="G53" s="274">
        <v>17110</v>
      </c>
      <c r="H53" s="274">
        <v>16800</v>
      </c>
      <c r="I53" s="274">
        <v>310</v>
      </c>
      <c r="J53" s="275">
        <f t="shared" si="1"/>
        <v>1.8118059614260665E-2</v>
      </c>
      <c r="K53" s="272"/>
      <c r="L53" s="272"/>
      <c r="M53" s="272">
        <v>120</v>
      </c>
      <c r="N53" s="272"/>
      <c r="O53" s="272"/>
      <c r="P53" s="272"/>
      <c r="Q53" s="272"/>
      <c r="R53" s="272"/>
      <c r="S53" s="272"/>
    </row>
    <row r="54" spans="1:19" ht="15" customHeight="1" x14ac:dyDescent="0.25">
      <c r="A54" s="273">
        <v>46245</v>
      </c>
      <c r="B54" s="272" t="s">
        <v>252</v>
      </c>
      <c r="C54" s="272" t="s">
        <v>11</v>
      </c>
      <c r="D54" s="272" t="s">
        <v>12</v>
      </c>
      <c r="E54" s="272">
        <v>30</v>
      </c>
      <c r="F54" s="272">
        <v>6206</v>
      </c>
      <c r="G54" s="274">
        <v>27000</v>
      </c>
      <c r="H54" s="274">
        <v>26550</v>
      </c>
      <c r="I54" s="274">
        <v>450</v>
      </c>
      <c r="J54" s="275">
        <f t="shared" si="1"/>
        <v>1.6666666666666666E-2</v>
      </c>
      <c r="K54" s="272"/>
      <c r="L54" s="272"/>
      <c r="M54" s="272"/>
      <c r="N54" s="272"/>
      <c r="O54" s="272"/>
      <c r="P54" s="272"/>
      <c r="Q54" s="272"/>
      <c r="R54" s="272"/>
      <c r="S54" s="272"/>
    </row>
    <row r="55" spans="1:19" ht="15" customHeight="1" x14ac:dyDescent="0.25">
      <c r="A55" s="273">
        <v>46245</v>
      </c>
      <c r="B55" s="272" t="s">
        <v>253</v>
      </c>
      <c r="C55" s="272" t="s">
        <v>11</v>
      </c>
      <c r="D55" s="272" t="s">
        <v>12</v>
      </c>
      <c r="E55" s="272">
        <v>30</v>
      </c>
      <c r="F55" s="272">
        <v>6206</v>
      </c>
      <c r="G55" s="274">
        <v>11000</v>
      </c>
      <c r="H55" s="274">
        <v>10995</v>
      </c>
      <c r="I55" s="274">
        <v>5</v>
      </c>
      <c r="J55" s="275">
        <f t="shared" si="1"/>
        <v>4.5454545454545455E-4</v>
      </c>
      <c r="K55" s="272"/>
      <c r="L55" s="272"/>
      <c r="M55" s="272"/>
      <c r="N55" s="272"/>
      <c r="O55" s="272">
        <v>180</v>
      </c>
      <c r="P55" s="272"/>
      <c r="Q55" s="272"/>
      <c r="R55" s="272"/>
      <c r="S55" s="272"/>
    </row>
    <row r="56" spans="1:19" ht="15" customHeight="1" x14ac:dyDescent="0.25">
      <c r="A56" s="273">
        <v>46245</v>
      </c>
      <c r="B56" s="272" t="s">
        <v>254</v>
      </c>
      <c r="C56" s="272" t="s">
        <v>135</v>
      </c>
      <c r="D56" s="272" t="s">
        <v>178</v>
      </c>
      <c r="E56" s="272" t="s">
        <v>134</v>
      </c>
      <c r="F56" s="272">
        <v>8001</v>
      </c>
      <c r="G56" s="274">
        <v>0</v>
      </c>
      <c r="H56" s="274">
        <v>0</v>
      </c>
      <c r="I56" s="274">
        <v>0</v>
      </c>
      <c r="J56" s="275" t="str">
        <f t="shared" si="1"/>
        <v/>
      </c>
      <c r="K56" s="272">
        <v>960</v>
      </c>
      <c r="L56" s="272"/>
      <c r="M56" s="272"/>
      <c r="N56" s="272"/>
      <c r="O56" s="272"/>
      <c r="P56" s="272"/>
      <c r="Q56" s="272"/>
      <c r="R56" s="272"/>
      <c r="S56" s="272"/>
    </row>
    <row r="57" spans="1:19" ht="15" customHeight="1" x14ac:dyDescent="0.25">
      <c r="A57" s="273">
        <v>46245</v>
      </c>
      <c r="B57" s="272" t="s">
        <v>255</v>
      </c>
      <c r="C57" s="272" t="s">
        <v>11</v>
      </c>
      <c r="D57" s="272" t="s">
        <v>12</v>
      </c>
      <c r="E57" s="272">
        <v>30</v>
      </c>
      <c r="F57" s="272">
        <v>6206</v>
      </c>
      <c r="G57" s="274">
        <v>29000</v>
      </c>
      <c r="H57" s="274">
        <v>28815</v>
      </c>
      <c r="I57" s="274">
        <v>185</v>
      </c>
      <c r="J57" s="275">
        <f t="shared" si="1"/>
        <v>6.3793103448275866E-3</v>
      </c>
      <c r="K57" s="272"/>
      <c r="L57" s="272"/>
      <c r="M57" s="272"/>
      <c r="N57" s="272"/>
      <c r="O57" s="272"/>
      <c r="P57" s="272"/>
      <c r="Q57" s="272"/>
      <c r="R57" s="272"/>
      <c r="S57" s="272"/>
    </row>
    <row r="58" spans="1:19" ht="15" customHeight="1" x14ac:dyDescent="0.25">
      <c r="A58" s="273">
        <v>46245</v>
      </c>
      <c r="B58" s="272" t="s">
        <v>256</v>
      </c>
      <c r="C58" s="272" t="s">
        <v>11</v>
      </c>
      <c r="D58" s="272" t="s">
        <v>12</v>
      </c>
      <c r="E58" s="272">
        <v>30</v>
      </c>
      <c r="F58" s="272">
        <v>6206</v>
      </c>
      <c r="G58" s="274">
        <v>22594</v>
      </c>
      <c r="H58" s="274">
        <v>22134</v>
      </c>
      <c r="I58" s="274">
        <v>460</v>
      </c>
      <c r="J58" s="275">
        <f t="shared" si="1"/>
        <v>2.0359387447995043E-2</v>
      </c>
      <c r="K58" s="272"/>
      <c r="L58" s="272"/>
      <c r="M58" s="272"/>
      <c r="N58" s="272"/>
      <c r="O58" s="272"/>
      <c r="P58" s="272"/>
      <c r="Q58" s="272"/>
      <c r="R58" s="272"/>
      <c r="S58" s="272"/>
    </row>
    <row r="59" spans="1:19" ht="15" customHeight="1" x14ac:dyDescent="0.25">
      <c r="A59" s="273">
        <v>46246</v>
      </c>
      <c r="B59" s="272" t="s">
        <v>252</v>
      </c>
      <c r="C59" s="272" t="s">
        <v>11</v>
      </c>
      <c r="D59" s="272" t="s">
        <v>12</v>
      </c>
      <c r="E59" s="272">
        <v>30</v>
      </c>
      <c r="F59" s="272">
        <v>6206</v>
      </c>
      <c r="G59" s="274">
        <v>24000</v>
      </c>
      <c r="H59" s="274">
        <v>23605</v>
      </c>
      <c r="I59" s="274">
        <v>395</v>
      </c>
      <c r="J59" s="275">
        <f t="shared" si="1"/>
        <v>1.6458333333333332E-2</v>
      </c>
      <c r="K59" s="272"/>
      <c r="L59" s="272"/>
      <c r="M59" s="272"/>
      <c r="N59" s="272"/>
      <c r="O59" s="272"/>
      <c r="P59" s="272"/>
      <c r="Q59" s="272"/>
      <c r="R59" s="272"/>
      <c r="S59" s="272"/>
    </row>
    <row r="60" spans="1:19" ht="15" customHeight="1" x14ac:dyDescent="0.25">
      <c r="A60" s="273">
        <v>46246</v>
      </c>
      <c r="B60" s="272" t="s">
        <v>253</v>
      </c>
      <c r="C60" s="272" t="s">
        <v>11</v>
      </c>
      <c r="D60" s="272" t="s">
        <v>12</v>
      </c>
      <c r="E60" s="272">
        <v>30</v>
      </c>
      <c r="F60" s="272">
        <v>6206</v>
      </c>
      <c r="G60" s="274">
        <v>27370</v>
      </c>
      <c r="H60" s="274">
        <v>27350</v>
      </c>
      <c r="I60" s="274">
        <v>20</v>
      </c>
      <c r="J60" s="275">
        <f t="shared" si="1"/>
        <v>7.3072707343807086E-4</v>
      </c>
      <c r="K60" s="272"/>
      <c r="L60" s="272"/>
      <c r="M60" s="272"/>
      <c r="N60" s="272"/>
      <c r="O60" s="272"/>
      <c r="P60" s="272"/>
      <c r="Q60" s="272"/>
      <c r="R60" s="272"/>
      <c r="S60" s="272"/>
    </row>
    <row r="61" spans="1:19" ht="15" customHeight="1" x14ac:dyDescent="0.25">
      <c r="A61" s="273">
        <v>46246</v>
      </c>
      <c r="B61" s="272" t="s">
        <v>254</v>
      </c>
      <c r="C61" s="272" t="s">
        <v>135</v>
      </c>
      <c r="D61" s="272" t="s">
        <v>178</v>
      </c>
      <c r="E61" s="272" t="s">
        <v>134</v>
      </c>
      <c r="F61" s="272">
        <v>8001</v>
      </c>
      <c r="G61" s="274">
        <v>0</v>
      </c>
      <c r="H61" s="274">
        <v>0</v>
      </c>
      <c r="I61" s="274">
        <v>0</v>
      </c>
      <c r="J61" s="275" t="str">
        <f t="shared" si="1"/>
        <v/>
      </c>
      <c r="K61" s="272"/>
      <c r="L61" s="272">
        <v>960</v>
      </c>
      <c r="M61" s="272"/>
      <c r="N61" s="272"/>
      <c r="O61" s="272"/>
      <c r="P61" s="272"/>
      <c r="Q61" s="272"/>
      <c r="R61" s="272"/>
      <c r="S61" s="272"/>
    </row>
    <row r="62" spans="1:19" ht="15" customHeight="1" x14ac:dyDescent="0.25">
      <c r="A62" s="273">
        <v>46246</v>
      </c>
      <c r="B62" s="272" t="s">
        <v>255</v>
      </c>
      <c r="C62" s="272" t="s">
        <v>11</v>
      </c>
      <c r="D62" s="272" t="s">
        <v>12</v>
      </c>
      <c r="E62" s="272">
        <v>30</v>
      </c>
      <c r="F62" s="272">
        <v>6206</v>
      </c>
      <c r="G62" s="274">
        <v>17600</v>
      </c>
      <c r="H62" s="274">
        <v>17485</v>
      </c>
      <c r="I62" s="274">
        <v>115</v>
      </c>
      <c r="J62" s="275">
        <f t="shared" si="1"/>
        <v>6.5340909090909087E-3</v>
      </c>
      <c r="K62" s="272">
        <v>60</v>
      </c>
      <c r="L62" s="272"/>
      <c r="M62" s="272"/>
      <c r="N62" s="272"/>
      <c r="O62" s="272"/>
      <c r="P62" s="272"/>
      <c r="Q62" s="272"/>
      <c r="R62" s="272"/>
      <c r="S62" s="272"/>
    </row>
    <row r="63" spans="1:19" ht="15" customHeight="1" x14ac:dyDescent="0.25">
      <c r="A63" s="273">
        <v>46246</v>
      </c>
      <c r="B63" s="272" t="s">
        <v>256</v>
      </c>
      <c r="C63" s="272" t="s">
        <v>11</v>
      </c>
      <c r="D63" s="272" t="s">
        <v>12</v>
      </c>
      <c r="E63" s="272">
        <v>30</v>
      </c>
      <c r="F63" s="272">
        <v>6206</v>
      </c>
      <c r="G63" s="274">
        <v>25460</v>
      </c>
      <c r="H63" s="274">
        <v>24990</v>
      </c>
      <c r="I63" s="274">
        <v>470</v>
      </c>
      <c r="J63" s="275">
        <f t="shared" si="1"/>
        <v>1.8460329929300863E-2</v>
      </c>
      <c r="K63" s="272"/>
      <c r="L63" s="272"/>
      <c r="M63" s="272"/>
      <c r="N63" s="272"/>
      <c r="O63" s="272"/>
      <c r="P63" s="272"/>
      <c r="Q63" s="272"/>
      <c r="R63" s="272"/>
      <c r="S63" s="272"/>
    </row>
    <row r="64" spans="1:19" ht="15" customHeight="1" x14ac:dyDescent="0.25">
      <c r="A64" s="273">
        <v>46247</v>
      </c>
      <c r="B64" s="272" t="s">
        <v>252</v>
      </c>
      <c r="C64" s="272" t="s">
        <v>11</v>
      </c>
      <c r="D64" s="272" t="s">
        <v>12</v>
      </c>
      <c r="E64" s="272">
        <v>30</v>
      </c>
      <c r="F64" s="272">
        <v>6206</v>
      </c>
      <c r="G64" s="274">
        <v>10000</v>
      </c>
      <c r="H64" s="274">
        <v>9820</v>
      </c>
      <c r="I64" s="274">
        <v>180</v>
      </c>
      <c r="J64" s="275">
        <f t="shared" si="1"/>
        <v>1.7999999999999999E-2</v>
      </c>
      <c r="K64" s="272"/>
      <c r="L64" s="272"/>
      <c r="M64" s="272">
        <v>240</v>
      </c>
      <c r="N64" s="272"/>
      <c r="O64" s="272"/>
      <c r="P64" s="272"/>
      <c r="Q64" s="272"/>
      <c r="R64" s="272"/>
      <c r="S64" s="272"/>
    </row>
    <row r="65" spans="1:19" ht="15" customHeight="1" x14ac:dyDescent="0.25">
      <c r="A65" s="273">
        <v>46247</v>
      </c>
      <c r="B65" s="272" t="s">
        <v>253</v>
      </c>
      <c r="C65" s="272" t="s">
        <v>11</v>
      </c>
      <c r="D65" s="272" t="s">
        <v>12</v>
      </c>
      <c r="E65" s="272">
        <v>30</v>
      </c>
      <c r="F65" s="272">
        <v>6206</v>
      </c>
      <c r="G65" s="274">
        <v>23024</v>
      </c>
      <c r="H65" s="274">
        <v>23004</v>
      </c>
      <c r="I65" s="274">
        <v>20</v>
      </c>
      <c r="J65" s="275">
        <f t="shared" si="1"/>
        <v>8.6865879082696318E-4</v>
      </c>
      <c r="K65" s="272"/>
      <c r="L65" s="272"/>
      <c r="M65" s="272"/>
      <c r="N65" s="272"/>
      <c r="O65" s="272"/>
      <c r="P65" s="272"/>
      <c r="Q65" s="272"/>
      <c r="R65" s="272"/>
      <c r="S65" s="272"/>
    </row>
    <row r="66" spans="1:19" ht="15" customHeight="1" x14ac:dyDescent="0.25">
      <c r="A66" s="273">
        <v>46247</v>
      </c>
      <c r="B66" s="272" t="s">
        <v>254</v>
      </c>
      <c r="C66" s="272" t="s">
        <v>135</v>
      </c>
      <c r="D66" s="272" t="s">
        <v>178</v>
      </c>
      <c r="E66" s="272" t="s">
        <v>134</v>
      </c>
      <c r="F66" s="272">
        <v>8001</v>
      </c>
      <c r="G66" s="274">
        <v>0</v>
      </c>
      <c r="H66" s="274">
        <v>0</v>
      </c>
      <c r="I66" s="274">
        <v>0</v>
      </c>
      <c r="J66" s="275" t="str">
        <f t="shared" si="1"/>
        <v/>
      </c>
      <c r="K66" s="272"/>
      <c r="L66" s="272">
        <v>960</v>
      </c>
      <c r="M66" s="272"/>
      <c r="N66" s="272"/>
      <c r="O66" s="272"/>
      <c r="P66" s="272"/>
      <c r="Q66" s="272"/>
      <c r="R66" s="272"/>
      <c r="S66" s="272"/>
    </row>
    <row r="67" spans="1:19" ht="15" customHeight="1" x14ac:dyDescent="0.25">
      <c r="A67" s="273">
        <v>46247</v>
      </c>
      <c r="B67" s="272" t="s">
        <v>255</v>
      </c>
      <c r="C67" s="272" t="s">
        <v>11</v>
      </c>
      <c r="D67" s="272" t="s">
        <v>12</v>
      </c>
      <c r="E67" s="272">
        <v>30</v>
      </c>
      <c r="F67" s="272">
        <v>6206</v>
      </c>
      <c r="G67" s="274">
        <v>6950</v>
      </c>
      <c r="H67" s="274">
        <v>6900</v>
      </c>
      <c r="I67" s="274">
        <v>50</v>
      </c>
      <c r="J67" s="275">
        <f t="shared" ref="J67:J98" si="2">IFERROR(I67/(H67+I67),"")</f>
        <v>7.1942446043165471E-3</v>
      </c>
      <c r="K67" s="272"/>
      <c r="L67" s="272"/>
      <c r="M67" s="272">
        <v>300</v>
      </c>
      <c r="N67" s="272"/>
      <c r="O67" s="272"/>
      <c r="P67" s="272"/>
      <c r="Q67" s="272"/>
      <c r="R67" s="272"/>
      <c r="S67" s="272"/>
    </row>
    <row r="68" spans="1:19" ht="15" customHeight="1" x14ac:dyDescent="0.25">
      <c r="A68" s="273">
        <v>46247</v>
      </c>
      <c r="B68" s="272" t="s">
        <v>256</v>
      </c>
      <c r="C68" s="272" t="s">
        <v>11</v>
      </c>
      <c r="D68" s="272" t="s">
        <v>12</v>
      </c>
      <c r="E68" s="272">
        <v>30</v>
      </c>
      <c r="F68" s="272">
        <v>6206</v>
      </c>
      <c r="G68" s="274">
        <v>13162</v>
      </c>
      <c r="H68" s="274">
        <v>12852</v>
      </c>
      <c r="I68" s="274">
        <v>310</v>
      </c>
      <c r="J68" s="275">
        <f t="shared" si="2"/>
        <v>2.3552651572709315E-2</v>
      </c>
      <c r="K68" s="272"/>
      <c r="L68" s="272"/>
      <c r="M68" s="272">
        <v>200</v>
      </c>
      <c r="N68" s="272"/>
      <c r="O68" s="272"/>
      <c r="P68" s="272"/>
      <c r="Q68" s="272"/>
      <c r="R68" s="272"/>
      <c r="S68" s="272"/>
    </row>
    <row r="69" spans="1:19" ht="15" customHeight="1" x14ac:dyDescent="0.25">
      <c r="A69" s="273">
        <v>46249</v>
      </c>
      <c r="B69" s="272" t="s">
        <v>252</v>
      </c>
      <c r="C69" s="272" t="s">
        <v>11</v>
      </c>
      <c r="D69" s="272" t="s">
        <v>12</v>
      </c>
      <c r="E69" s="272">
        <v>30</v>
      </c>
      <c r="F69" s="272">
        <v>6206</v>
      </c>
      <c r="G69" s="274">
        <v>0</v>
      </c>
      <c r="H69" s="274">
        <v>0</v>
      </c>
      <c r="I69" s="274">
        <v>0</v>
      </c>
      <c r="J69" s="275" t="str">
        <f t="shared" si="2"/>
        <v/>
      </c>
      <c r="K69" s="272"/>
      <c r="L69" s="272"/>
      <c r="M69" s="272">
        <v>480</v>
      </c>
      <c r="N69" s="272"/>
      <c r="O69" s="272"/>
      <c r="P69" s="272"/>
      <c r="Q69" s="272"/>
      <c r="R69" s="272"/>
      <c r="S69" s="272"/>
    </row>
    <row r="70" spans="1:19" ht="15" customHeight="1" x14ac:dyDescent="0.25">
      <c r="A70" s="273">
        <v>46249</v>
      </c>
      <c r="B70" s="272" t="s">
        <v>253</v>
      </c>
      <c r="C70" s="272" t="s">
        <v>11</v>
      </c>
      <c r="D70" s="272" t="s">
        <v>12</v>
      </c>
      <c r="E70" s="272">
        <v>30</v>
      </c>
      <c r="F70" s="272">
        <v>6206</v>
      </c>
      <c r="G70" s="274">
        <v>0</v>
      </c>
      <c r="H70" s="274">
        <v>0</v>
      </c>
      <c r="I70" s="274">
        <v>0</v>
      </c>
      <c r="J70" s="275" t="str">
        <f t="shared" si="2"/>
        <v/>
      </c>
      <c r="K70" s="272"/>
      <c r="L70" s="272"/>
      <c r="M70" s="272">
        <v>480</v>
      </c>
      <c r="N70" s="272"/>
      <c r="O70" s="272"/>
      <c r="P70" s="272"/>
      <c r="Q70" s="272"/>
      <c r="R70" s="272"/>
      <c r="S70" s="272"/>
    </row>
    <row r="71" spans="1:19" ht="15" customHeight="1" x14ac:dyDescent="0.25">
      <c r="A71" s="273">
        <v>46249</v>
      </c>
      <c r="B71" s="272" t="s">
        <v>254</v>
      </c>
      <c r="C71" s="272" t="s">
        <v>135</v>
      </c>
      <c r="D71" s="272" t="s">
        <v>178</v>
      </c>
      <c r="E71" s="272" t="s">
        <v>134</v>
      </c>
      <c r="F71" s="272">
        <v>8001</v>
      </c>
      <c r="G71" s="274">
        <v>0</v>
      </c>
      <c r="H71" s="274">
        <v>0</v>
      </c>
      <c r="I71" s="274">
        <v>0</v>
      </c>
      <c r="J71" s="275" t="str">
        <f t="shared" si="2"/>
        <v/>
      </c>
      <c r="K71" s="272">
        <v>960</v>
      </c>
      <c r="L71" s="272"/>
      <c r="M71" s="272"/>
      <c r="N71" s="272"/>
      <c r="O71" s="272"/>
      <c r="P71" s="272"/>
      <c r="Q71" s="272"/>
      <c r="R71" s="272"/>
      <c r="S71" s="272"/>
    </row>
    <row r="72" spans="1:19" ht="15" customHeight="1" x14ac:dyDescent="0.25">
      <c r="A72" s="273">
        <v>46249</v>
      </c>
      <c r="B72" s="272" t="s">
        <v>255</v>
      </c>
      <c r="C72" s="272" t="s">
        <v>11</v>
      </c>
      <c r="D72" s="272" t="s">
        <v>12</v>
      </c>
      <c r="E72" s="272">
        <v>30</v>
      </c>
      <c r="F72" s="272">
        <v>6206</v>
      </c>
      <c r="G72" s="274">
        <v>0</v>
      </c>
      <c r="H72" s="274">
        <v>0</v>
      </c>
      <c r="I72" s="274">
        <v>0</v>
      </c>
      <c r="J72" s="275" t="str">
        <f t="shared" si="2"/>
        <v/>
      </c>
      <c r="K72" s="272"/>
      <c r="L72" s="272"/>
      <c r="M72" s="272">
        <v>480</v>
      </c>
      <c r="N72" s="272"/>
      <c r="O72" s="272"/>
      <c r="P72" s="272"/>
      <c r="Q72" s="272"/>
      <c r="R72" s="272"/>
      <c r="S72" s="272"/>
    </row>
    <row r="73" spans="1:19" ht="15" customHeight="1" x14ac:dyDescent="0.25">
      <c r="A73" s="273">
        <v>46249</v>
      </c>
      <c r="B73" s="272" t="s">
        <v>256</v>
      </c>
      <c r="C73" s="272" t="s">
        <v>11</v>
      </c>
      <c r="D73" s="272" t="s">
        <v>12</v>
      </c>
      <c r="E73" s="272">
        <v>30</v>
      </c>
      <c r="F73" s="272">
        <v>6206</v>
      </c>
      <c r="G73" s="274">
        <v>0</v>
      </c>
      <c r="H73" s="274">
        <v>0</v>
      </c>
      <c r="I73" s="274">
        <v>0</v>
      </c>
      <c r="J73" s="275" t="str">
        <f t="shared" si="2"/>
        <v/>
      </c>
      <c r="K73" s="272"/>
      <c r="L73" s="272"/>
      <c r="M73" s="272">
        <v>480</v>
      </c>
      <c r="N73" s="272"/>
      <c r="O73" s="272"/>
      <c r="P73" s="272"/>
      <c r="Q73" s="272"/>
      <c r="R73" s="272"/>
      <c r="S73" s="272"/>
    </row>
    <row r="74" spans="1:19" ht="15" customHeight="1" x14ac:dyDescent="0.25">
      <c r="A74" s="273">
        <v>46251</v>
      </c>
      <c r="B74" s="272" t="s">
        <v>252</v>
      </c>
      <c r="C74" s="272" t="s">
        <v>11</v>
      </c>
      <c r="D74" s="272" t="s">
        <v>12</v>
      </c>
      <c r="E74" s="272">
        <v>30</v>
      </c>
      <c r="F74" s="272">
        <v>6206</v>
      </c>
      <c r="G74" s="274">
        <v>0</v>
      </c>
      <c r="H74" s="274">
        <v>0</v>
      </c>
      <c r="I74" s="274">
        <v>0</v>
      </c>
      <c r="J74" s="275" t="str">
        <f t="shared" si="2"/>
        <v/>
      </c>
      <c r="K74" s="272"/>
      <c r="L74" s="272"/>
      <c r="M74" s="272">
        <v>480</v>
      </c>
      <c r="N74" s="272"/>
      <c r="O74" s="272"/>
      <c r="P74" s="272"/>
      <c r="Q74" s="272"/>
      <c r="R74" s="272"/>
      <c r="S74" s="272"/>
    </row>
    <row r="75" spans="1:19" ht="15" customHeight="1" x14ac:dyDescent="0.25">
      <c r="A75" s="273">
        <v>46251</v>
      </c>
      <c r="B75" s="272" t="s">
        <v>253</v>
      </c>
      <c r="C75" s="272" t="s">
        <v>11</v>
      </c>
      <c r="D75" s="272" t="s">
        <v>12</v>
      </c>
      <c r="E75" s="272">
        <v>30</v>
      </c>
      <c r="F75" s="272">
        <v>6206</v>
      </c>
      <c r="G75" s="274">
        <v>0</v>
      </c>
      <c r="H75" s="274">
        <v>0</v>
      </c>
      <c r="I75" s="274">
        <v>0</v>
      </c>
      <c r="J75" s="275" t="str">
        <f t="shared" si="2"/>
        <v/>
      </c>
      <c r="K75" s="272"/>
      <c r="L75" s="272"/>
      <c r="M75" s="272">
        <v>480</v>
      </c>
      <c r="N75" s="272"/>
      <c r="O75" s="272"/>
      <c r="P75" s="272"/>
      <c r="Q75" s="272"/>
      <c r="R75" s="272"/>
      <c r="S75" s="272"/>
    </row>
    <row r="76" spans="1:19" ht="15" customHeight="1" x14ac:dyDescent="0.25">
      <c r="A76" s="273">
        <v>46251</v>
      </c>
      <c r="B76" s="272" t="s">
        <v>254</v>
      </c>
      <c r="C76" s="272" t="s">
        <v>135</v>
      </c>
      <c r="D76" s="272" t="s">
        <v>178</v>
      </c>
      <c r="E76" s="272" t="s">
        <v>134</v>
      </c>
      <c r="F76" s="272">
        <v>8001</v>
      </c>
      <c r="G76" s="274">
        <v>0</v>
      </c>
      <c r="H76" s="274">
        <v>0</v>
      </c>
      <c r="I76" s="274">
        <v>0</v>
      </c>
      <c r="J76" s="275" t="str">
        <f t="shared" si="2"/>
        <v/>
      </c>
      <c r="K76" s="272">
        <v>960</v>
      </c>
      <c r="L76" s="272"/>
      <c r="M76" s="272"/>
      <c r="N76" s="272"/>
      <c r="O76" s="272"/>
      <c r="P76" s="272"/>
      <c r="Q76" s="272"/>
      <c r="R76" s="272"/>
      <c r="S76" s="272"/>
    </row>
    <row r="77" spans="1:19" ht="15" customHeight="1" x14ac:dyDescent="0.25">
      <c r="A77" s="273">
        <v>46251</v>
      </c>
      <c r="B77" s="272" t="s">
        <v>255</v>
      </c>
      <c r="C77" s="272" t="s">
        <v>11</v>
      </c>
      <c r="D77" s="272" t="s">
        <v>12</v>
      </c>
      <c r="E77" s="272">
        <v>30</v>
      </c>
      <c r="F77" s="272">
        <v>6206</v>
      </c>
      <c r="G77" s="274">
        <v>0</v>
      </c>
      <c r="H77" s="274">
        <v>0</v>
      </c>
      <c r="I77" s="274">
        <v>0</v>
      </c>
      <c r="J77" s="275" t="str">
        <f t="shared" si="2"/>
        <v/>
      </c>
      <c r="K77" s="272"/>
      <c r="L77" s="272"/>
      <c r="M77" s="272">
        <v>480</v>
      </c>
      <c r="N77" s="272"/>
      <c r="O77" s="272"/>
      <c r="P77" s="272"/>
      <c r="Q77" s="272"/>
      <c r="R77" s="272"/>
      <c r="S77" s="272"/>
    </row>
    <row r="78" spans="1:19" ht="15" customHeight="1" x14ac:dyDescent="0.25">
      <c r="A78" s="273">
        <v>46251</v>
      </c>
      <c r="B78" s="272" t="s">
        <v>256</v>
      </c>
      <c r="C78" s="272" t="s">
        <v>11</v>
      </c>
      <c r="D78" s="272" t="s">
        <v>12</v>
      </c>
      <c r="E78" s="272">
        <v>30</v>
      </c>
      <c r="F78" s="272">
        <v>6206</v>
      </c>
      <c r="G78" s="274">
        <v>0</v>
      </c>
      <c r="H78" s="274">
        <v>0</v>
      </c>
      <c r="I78" s="274">
        <v>0</v>
      </c>
      <c r="J78" s="275" t="str">
        <f t="shared" si="2"/>
        <v/>
      </c>
      <c r="K78" s="272"/>
      <c r="L78" s="272"/>
      <c r="M78" s="272">
        <v>480</v>
      </c>
      <c r="N78" s="272"/>
      <c r="O78" s="272"/>
      <c r="P78" s="272"/>
      <c r="Q78" s="272"/>
      <c r="R78" s="272"/>
      <c r="S78" s="272"/>
    </row>
    <row r="79" spans="1:19" ht="15" customHeight="1" x14ac:dyDescent="0.25">
      <c r="A79" s="273">
        <v>46252</v>
      </c>
      <c r="B79" s="272" t="s">
        <v>252</v>
      </c>
      <c r="C79" s="272" t="s">
        <v>11</v>
      </c>
      <c r="D79" s="272" t="s">
        <v>12</v>
      </c>
      <c r="E79" s="272">
        <v>30</v>
      </c>
      <c r="F79" s="272">
        <v>6206</v>
      </c>
      <c r="G79" s="274">
        <v>0</v>
      </c>
      <c r="H79" s="274">
        <v>0</v>
      </c>
      <c r="I79" s="274">
        <v>0</v>
      </c>
      <c r="J79" s="275" t="str">
        <f t="shared" si="2"/>
        <v/>
      </c>
      <c r="K79" s="272"/>
      <c r="L79" s="272"/>
      <c r="M79" s="272">
        <v>480</v>
      </c>
      <c r="N79" s="272"/>
      <c r="O79" s="272"/>
      <c r="P79" s="272"/>
      <c r="Q79" s="272"/>
      <c r="R79" s="272"/>
      <c r="S79" s="272"/>
    </row>
    <row r="80" spans="1:19" ht="15" customHeight="1" x14ac:dyDescent="0.25">
      <c r="A80" s="273">
        <v>46252</v>
      </c>
      <c r="B80" s="272" t="s">
        <v>253</v>
      </c>
      <c r="C80" s="272" t="s">
        <v>11</v>
      </c>
      <c r="D80" s="272" t="s">
        <v>12</v>
      </c>
      <c r="E80" s="272">
        <v>30</v>
      </c>
      <c r="F80" s="272">
        <v>6206</v>
      </c>
      <c r="G80" s="274">
        <v>0</v>
      </c>
      <c r="H80" s="274">
        <v>0</v>
      </c>
      <c r="I80" s="274">
        <v>0</v>
      </c>
      <c r="J80" s="275" t="str">
        <f t="shared" si="2"/>
        <v/>
      </c>
      <c r="K80" s="272"/>
      <c r="L80" s="272"/>
      <c r="M80" s="272">
        <v>480</v>
      </c>
      <c r="N80" s="272"/>
      <c r="O80" s="272"/>
      <c r="P80" s="272"/>
      <c r="Q80" s="272"/>
      <c r="R80" s="272"/>
      <c r="S80" s="272"/>
    </row>
    <row r="81" spans="1:19" ht="15" customHeight="1" x14ac:dyDescent="0.25">
      <c r="A81" s="273">
        <v>46252</v>
      </c>
      <c r="B81" s="272" t="s">
        <v>254</v>
      </c>
      <c r="C81" s="272" t="s">
        <v>135</v>
      </c>
      <c r="D81" s="272" t="s">
        <v>178</v>
      </c>
      <c r="E81" s="272" t="s">
        <v>134</v>
      </c>
      <c r="F81" s="272">
        <v>8001</v>
      </c>
      <c r="G81" s="274">
        <v>0</v>
      </c>
      <c r="H81" s="274">
        <v>0</v>
      </c>
      <c r="I81" s="274">
        <v>0</v>
      </c>
      <c r="J81" s="275" t="str">
        <f t="shared" si="2"/>
        <v/>
      </c>
      <c r="K81" s="272">
        <v>960</v>
      </c>
      <c r="L81" s="272"/>
      <c r="M81" s="272"/>
      <c r="N81" s="272"/>
      <c r="O81" s="272"/>
      <c r="P81" s="272"/>
      <c r="Q81" s="272"/>
      <c r="R81" s="272"/>
      <c r="S81" s="272"/>
    </row>
    <row r="82" spans="1:19" ht="15" customHeight="1" x14ac:dyDescent="0.25">
      <c r="A82" s="273">
        <v>46252</v>
      </c>
      <c r="B82" s="272" t="s">
        <v>255</v>
      </c>
      <c r="C82" s="272" t="s">
        <v>11</v>
      </c>
      <c r="D82" s="272" t="s">
        <v>12</v>
      </c>
      <c r="E82" s="272">
        <v>30</v>
      </c>
      <c r="F82" s="272">
        <v>6206</v>
      </c>
      <c r="G82" s="274">
        <v>0</v>
      </c>
      <c r="H82" s="274">
        <v>0</v>
      </c>
      <c r="I82" s="274">
        <v>0</v>
      </c>
      <c r="J82" s="275" t="str">
        <f t="shared" si="2"/>
        <v/>
      </c>
      <c r="K82" s="272"/>
      <c r="L82" s="272"/>
      <c r="M82" s="272">
        <v>480</v>
      </c>
      <c r="N82" s="272"/>
      <c r="O82" s="272"/>
      <c r="P82" s="272"/>
      <c r="Q82" s="272"/>
      <c r="R82" s="272"/>
      <c r="S82" s="272"/>
    </row>
    <row r="83" spans="1:19" ht="15" customHeight="1" x14ac:dyDescent="0.25">
      <c r="A83" s="273">
        <v>46252</v>
      </c>
      <c r="B83" s="272" t="s">
        <v>256</v>
      </c>
      <c r="C83" s="272" t="s">
        <v>11</v>
      </c>
      <c r="D83" s="272" t="s">
        <v>12</v>
      </c>
      <c r="E83" s="272">
        <v>30</v>
      </c>
      <c r="F83" s="272">
        <v>6206</v>
      </c>
      <c r="G83" s="274">
        <v>0</v>
      </c>
      <c r="H83" s="274">
        <v>0</v>
      </c>
      <c r="I83" s="274">
        <v>0</v>
      </c>
      <c r="J83" s="275" t="str">
        <f t="shared" si="2"/>
        <v/>
      </c>
      <c r="K83" s="272"/>
      <c r="L83" s="272"/>
      <c r="M83" s="272">
        <v>480</v>
      </c>
      <c r="N83" s="272"/>
      <c r="O83" s="272"/>
      <c r="P83" s="272"/>
      <c r="Q83" s="272"/>
      <c r="R83" s="272"/>
      <c r="S83" s="272"/>
    </row>
    <row r="84" spans="1:19" ht="15" customHeight="1" x14ac:dyDescent="0.25">
      <c r="A84" s="273">
        <v>46253</v>
      </c>
      <c r="B84" s="272" t="s">
        <v>252</v>
      </c>
      <c r="C84" s="272" t="s">
        <v>11</v>
      </c>
      <c r="D84" s="272" t="s">
        <v>12</v>
      </c>
      <c r="E84" s="272">
        <v>30</v>
      </c>
      <c r="F84" s="272">
        <v>6206</v>
      </c>
      <c r="G84" s="274">
        <v>0</v>
      </c>
      <c r="H84" s="274">
        <v>0</v>
      </c>
      <c r="I84" s="274">
        <v>0</v>
      </c>
      <c r="J84" s="275" t="str">
        <f t="shared" si="2"/>
        <v/>
      </c>
      <c r="K84" s="272"/>
      <c r="L84" s="272"/>
      <c r="M84" s="272">
        <v>480</v>
      </c>
      <c r="N84" s="272"/>
      <c r="O84" s="272"/>
      <c r="P84" s="272"/>
      <c r="Q84" s="272"/>
      <c r="R84" s="272"/>
      <c r="S84" s="272"/>
    </row>
    <row r="85" spans="1:19" ht="15" customHeight="1" x14ac:dyDescent="0.25">
      <c r="A85" s="273">
        <v>46253</v>
      </c>
      <c r="B85" s="272" t="s">
        <v>253</v>
      </c>
      <c r="C85" s="272" t="s">
        <v>11</v>
      </c>
      <c r="D85" s="272" t="s">
        <v>12</v>
      </c>
      <c r="E85" s="272">
        <v>30</v>
      </c>
      <c r="F85" s="272">
        <v>6206</v>
      </c>
      <c r="G85" s="274">
        <v>0</v>
      </c>
      <c r="H85" s="274">
        <v>0</v>
      </c>
      <c r="I85" s="274">
        <v>0</v>
      </c>
      <c r="J85" s="275" t="str">
        <f t="shared" si="2"/>
        <v/>
      </c>
      <c r="K85" s="272"/>
      <c r="L85" s="272"/>
      <c r="M85" s="272"/>
      <c r="N85" s="272"/>
      <c r="O85" s="272">
        <v>480</v>
      </c>
      <c r="P85" s="272"/>
      <c r="Q85" s="272"/>
      <c r="R85" s="272"/>
      <c r="S85" s="272"/>
    </row>
    <row r="86" spans="1:19" ht="15" customHeight="1" x14ac:dyDescent="0.25">
      <c r="A86" s="273">
        <v>46253</v>
      </c>
      <c r="B86" s="272" t="s">
        <v>254</v>
      </c>
      <c r="C86" s="272" t="s">
        <v>135</v>
      </c>
      <c r="D86" s="272" t="s">
        <v>178</v>
      </c>
      <c r="E86" s="272" t="s">
        <v>134</v>
      </c>
      <c r="F86" s="272">
        <v>8001</v>
      </c>
      <c r="G86" s="274">
        <v>10805</v>
      </c>
      <c r="H86" s="274">
        <v>10005</v>
      </c>
      <c r="I86" s="274">
        <v>800</v>
      </c>
      <c r="J86" s="275">
        <f t="shared" si="2"/>
        <v>7.4039796390559923E-2</v>
      </c>
      <c r="K86" s="272">
        <v>240</v>
      </c>
      <c r="L86" s="272"/>
      <c r="M86" s="272"/>
      <c r="N86" s="272"/>
      <c r="O86" s="272"/>
      <c r="P86" s="272"/>
      <c r="Q86" s="272"/>
      <c r="R86" s="272"/>
      <c r="S86" s="272"/>
    </row>
    <row r="87" spans="1:19" ht="15" customHeight="1" x14ac:dyDescent="0.25">
      <c r="A87" s="273">
        <v>46253</v>
      </c>
      <c r="B87" s="272" t="s">
        <v>255</v>
      </c>
      <c r="C87" s="272" t="s">
        <v>11</v>
      </c>
      <c r="D87" s="272" t="s">
        <v>12</v>
      </c>
      <c r="E87" s="272">
        <v>30</v>
      </c>
      <c r="F87" s="272">
        <v>6206</v>
      </c>
      <c r="G87" s="274">
        <v>9000</v>
      </c>
      <c r="H87" s="274">
        <v>8890</v>
      </c>
      <c r="I87" s="274">
        <v>110</v>
      </c>
      <c r="J87" s="275">
        <f t="shared" si="2"/>
        <v>1.2222222222222223E-2</v>
      </c>
      <c r="K87" s="272"/>
      <c r="L87" s="272"/>
      <c r="M87" s="272"/>
      <c r="N87" s="272"/>
      <c r="O87" s="272">
        <v>240</v>
      </c>
      <c r="P87" s="272"/>
      <c r="Q87" s="272"/>
      <c r="R87" s="272"/>
      <c r="S87" s="272"/>
    </row>
    <row r="88" spans="1:19" ht="15" customHeight="1" x14ac:dyDescent="0.25">
      <c r="A88" s="273">
        <v>46253</v>
      </c>
      <c r="B88" s="272" t="s">
        <v>256</v>
      </c>
      <c r="C88" s="272" t="s">
        <v>11</v>
      </c>
      <c r="D88" s="272" t="s">
        <v>12</v>
      </c>
      <c r="E88" s="272">
        <v>30</v>
      </c>
      <c r="F88" s="272">
        <v>6206</v>
      </c>
      <c r="G88" s="274">
        <v>0</v>
      </c>
      <c r="H88" s="274">
        <v>0</v>
      </c>
      <c r="I88" s="274">
        <v>0</v>
      </c>
      <c r="J88" s="275" t="str">
        <f t="shared" si="2"/>
        <v/>
      </c>
      <c r="K88" s="272"/>
      <c r="L88" s="272"/>
      <c r="M88" s="272">
        <v>480</v>
      </c>
      <c r="N88" s="272"/>
      <c r="O88" s="272"/>
      <c r="P88" s="272"/>
      <c r="Q88" s="272"/>
      <c r="R88" s="272"/>
      <c r="S88" s="272"/>
    </row>
    <row r="89" spans="1:19" ht="15" customHeight="1" x14ac:dyDescent="0.25">
      <c r="A89" s="273">
        <v>46254</v>
      </c>
      <c r="B89" s="272" t="s">
        <v>252</v>
      </c>
      <c r="C89" s="272" t="s">
        <v>11</v>
      </c>
      <c r="D89" s="272" t="s">
        <v>12</v>
      </c>
      <c r="E89" s="272">
        <v>30</v>
      </c>
      <c r="F89" s="272">
        <v>6206</v>
      </c>
      <c r="G89" s="274">
        <v>12000</v>
      </c>
      <c r="H89" s="274">
        <v>11850</v>
      </c>
      <c r="I89" s="274">
        <v>150</v>
      </c>
      <c r="J89" s="275">
        <f t="shared" si="2"/>
        <v>1.2500000000000001E-2</v>
      </c>
      <c r="K89" s="272"/>
      <c r="L89" s="272"/>
      <c r="M89" s="272">
        <v>180</v>
      </c>
      <c r="N89" s="272"/>
      <c r="O89" s="272"/>
      <c r="P89" s="272"/>
      <c r="Q89" s="272"/>
      <c r="R89" s="272"/>
      <c r="S89" s="272"/>
    </row>
    <row r="90" spans="1:19" ht="15" customHeight="1" x14ac:dyDescent="0.25">
      <c r="A90" s="273">
        <v>46254</v>
      </c>
      <c r="B90" s="272" t="s">
        <v>253</v>
      </c>
      <c r="C90" s="272" t="s">
        <v>11</v>
      </c>
      <c r="D90" s="272" t="s">
        <v>12</v>
      </c>
      <c r="E90" s="272">
        <v>30</v>
      </c>
      <c r="F90" s="272">
        <v>6206</v>
      </c>
      <c r="G90" s="274">
        <v>0</v>
      </c>
      <c r="H90" s="274">
        <v>0</v>
      </c>
      <c r="I90" s="274">
        <v>0</v>
      </c>
      <c r="J90" s="275" t="str">
        <f t="shared" si="2"/>
        <v/>
      </c>
      <c r="K90" s="272"/>
      <c r="L90" s="272"/>
      <c r="M90" s="272"/>
      <c r="N90" s="272"/>
      <c r="O90" s="272">
        <v>480</v>
      </c>
      <c r="P90" s="272"/>
      <c r="Q90" s="272"/>
      <c r="R90" s="272"/>
      <c r="S90" s="272"/>
    </row>
    <row r="91" spans="1:19" ht="15" customHeight="1" x14ac:dyDescent="0.25">
      <c r="A91" s="273">
        <v>46254</v>
      </c>
      <c r="B91" s="272" t="s">
        <v>254</v>
      </c>
      <c r="C91" s="272" t="s">
        <v>135</v>
      </c>
      <c r="D91" s="272" t="s">
        <v>178</v>
      </c>
      <c r="E91" s="272" t="s">
        <v>134</v>
      </c>
      <c r="F91" s="272">
        <v>8001</v>
      </c>
      <c r="G91" s="274">
        <v>18370</v>
      </c>
      <c r="H91" s="274">
        <v>17020</v>
      </c>
      <c r="I91" s="274">
        <v>1350</v>
      </c>
      <c r="J91" s="275">
        <f t="shared" si="2"/>
        <v>7.348938486663037E-2</v>
      </c>
      <c r="K91" s="272">
        <v>300</v>
      </c>
      <c r="L91" s="272"/>
      <c r="M91" s="272"/>
      <c r="N91" s="272"/>
      <c r="O91" s="272"/>
      <c r="P91" s="272"/>
      <c r="Q91" s="272"/>
      <c r="R91" s="272"/>
      <c r="S91" s="272"/>
    </row>
    <row r="92" spans="1:19" ht="15" customHeight="1" x14ac:dyDescent="0.25">
      <c r="A92" s="273">
        <v>46254</v>
      </c>
      <c r="B92" s="272" t="s">
        <v>255</v>
      </c>
      <c r="C92" s="272" t="s">
        <v>11</v>
      </c>
      <c r="D92" s="272" t="s">
        <v>12</v>
      </c>
      <c r="E92" s="272">
        <v>30</v>
      </c>
      <c r="F92" s="272">
        <v>6206</v>
      </c>
      <c r="G92" s="274">
        <v>14000</v>
      </c>
      <c r="H92" s="274">
        <v>13880</v>
      </c>
      <c r="I92" s="274">
        <v>120</v>
      </c>
      <c r="J92" s="275">
        <f t="shared" si="2"/>
        <v>8.5714285714285719E-3</v>
      </c>
      <c r="K92" s="272">
        <v>120</v>
      </c>
      <c r="L92" s="272"/>
      <c r="M92" s="272"/>
      <c r="N92" s="272"/>
      <c r="O92" s="272"/>
      <c r="P92" s="272"/>
      <c r="Q92" s="272"/>
      <c r="R92" s="272"/>
      <c r="S92" s="272"/>
    </row>
    <row r="93" spans="1:19" ht="15" customHeight="1" x14ac:dyDescent="0.25">
      <c r="A93" s="273">
        <v>46254</v>
      </c>
      <c r="B93" s="272" t="s">
        <v>256</v>
      </c>
      <c r="C93" s="272" t="s">
        <v>11</v>
      </c>
      <c r="D93" s="272" t="s">
        <v>12</v>
      </c>
      <c r="E93" s="272">
        <v>30</v>
      </c>
      <c r="F93" s="272">
        <v>6206</v>
      </c>
      <c r="G93" s="274">
        <v>6902</v>
      </c>
      <c r="H93" s="274">
        <v>6722</v>
      </c>
      <c r="I93" s="274">
        <v>180</v>
      </c>
      <c r="J93" s="275">
        <f t="shared" si="2"/>
        <v>2.6079397276151842E-2</v>
      </c>
      <c r="K93" s="272"/>
      <c r="L93" s="272"/>
      <c r="M93" s="272"/>
      <c r="N93" s="272">
        <v>60</v>
      </c>
      <c r="O93" s="272">
        <v>240</v>
      </c>
      <c r="P93" s="272"/>
      <c r="Q93" s="272"/>
      <c r="R93" s="272"/>
      <c r="S93" s="272"/>
    </row>
    <row r="94" spans="1:19" ht="15" customHeight="1" x14ac:dyDescent="0.25">
      <c r="A94" s="273">
        <v>46255</v>
      </c>
      <c r="B94" s="272" t="s">
        <v>252</v>
      </c>
      <c r="C94" s="272" t="s">
        <v>11</v>
      </c>
      <c r="D94" s="272" t="s">
        <v>12</v>
      </c>
      <c r="E94" s="272">
        <v>30</v>
      </c>
      <c r="F94" s="272">
        <v>6206</v>
      </c>
      <c r="G94" s="274">
        <v>24000</v>
      </c>
      <c r="H94" s="274">
        <v>23590</v>
      </c>
      <c r="I94" s="274">
        <v>410</v>
      </c>
      <c r="J94" s="275">
        <f t="shared" si="2"/>
        <v>1.7083333333333332E-2</v>
      </c>
      <c r="K94" s="272"/>
      <c r="L94" s="272"/>
      <c r="M94" s="272"/>
      <c r="N94" s="272"/>
      <c r="O94" s="272"/>
      <c r="P94" s="272"/>
      <c r="Q94" s="272"/>
      <c r="R94" s="272"/>
      <c r="S94" s="272"/>
    </row>
    <row r="95" spans="1:19" ht="15" customHeight="1" x14ac:dyDescent="0.25">
      <c r="A95" s="273">
        <v>46255</v>
      </c>
      <c r="B95" s="272" t="s">
        <v>253</v>
      </c>
      <c r="C95" s="272" t="s">
        <v>11</v>
      </c>
      <c r="D95" s="272" t="s">
        <v>12</v>
      </c>
      <c r="E95" s="272">
        <v>30</v>
      </c>
      <c r="F95" s="272">
        <v>6206</v>
      </c>
      <c r="G95" s="274">
        <v>23086</v>
      </c>
      <c r="H95" s="274">
        <v>23066</v>
      </c>
      <c r="I95" s="274">
        <v>20</v>
      </c>
      <c r="J95" s="275">
        <f t="shared" si="2"/>
        <v>8.6632591180802214E-4</v>
      </c>
      <c r="K95" s="272"/>
      <c r="L95" s="272"/>
      <c r="M95" s="272"/>
      <c r="N95" s="272"/>
      <c r="O95" s="272"/>
      <c r="P95" s="272"/>
      <c r="Q95" s="272"/>
      <c r="R95" s="272"/>
      <c r="S95" s="272"/>
    </row>
    <row r="96" spans="1:19" ht="15" customHeight="1" x14ac:dyDescent="0.25">
      <c r="A96" s="273">
        <v>46255</v>
      </c>
      <c r="B96" s="272" t="s">
        <v>254</v>
      </c>
      <c r="C96" s="272" t="s">
        <v>135</v>
      </c>
      <c r="D96" s="272" t="s">
        <v>178</v>
      </c>
      <c r="E96" s="272" t="s">
        <v>134</v>
      </c>
      <c r="F96" s="272">
        <v>8001</v>
      </c>
      <c r="G96" s="274">
        <v>13780</v>
      </c>
      <c r="H96" s="274">
        <v>12075</v>
      </c>
      <c r="I96" s="274">
        <v>1705</v>
      </c>
      <c r="J96" s="275">
        <f t="shared" si="2"/>
        <v>0.1237300435413643</v>
      </c>
      <c r="K96" s="272">
        <v>500</v>
      </c>
      <c r="L96" s="272"/>
      <c r="M96" s="272"/>
      <c r="N96" s="272"/>
      <c r="O96" s="272"/>
      <c r="P96" s="272"/>
      <c r="Q96" s="272"/>
      <c r="R96" s="272"/>
      <c r="S96" s="272"/>
    </row>
    <row r="97" spans="1:19" ht="15" customHeight="1" x14ac:dyDescent="0.25">
      <c r="A97" s="273">
        <v>46255</v>
      </c>
      <c r="B97" s="272" t="s">
        <v>255</v>
      </c>
      <c r="C97" s="272" t="s">
        <v>11</v>
      </c>
      <c r="D97" s="272" t="s">
        <v>12</v>
      </c>
      <c r="E97" s="272">
        <v>30</v>
      </c>
      <c r="F97" s="272">
        <v>6206</v>
      </c>
      <c r="G97" s="274">
        <v>22500</v>
      </c>
      <c r="H97" s="274">
        <v>22375</v>
      </c>
      <c r="I97" s="274">
        <v>125</v>
      </c>
      <c r="J97" s="275">
        <f t="shared" si="2"/>
        <v>5.5555555555555558E-3</v>
      </c>
      <c r="K97" s="272"/>
      <c r="L97" s="272"/>
      <c r="M97" s="272"/>
      <c r="N97" s="272"/>
      <c r="O97" s="272"/>
      <c r="P97" s="272"/>
      <c r="Q97" s="272"/>
      <c r="R97" s="272"/>
      <c r="S97" s="272"/>
    </row>
    <row r="98" spans="1:19" ht="15" customHeight="1" x14ac:dyDescent="0.25">
      <c r="A98" s="273">
        <v>46255</v>
      </c>
      <c r="B98" s="272" t="s">
        <v>256</v>
      </c>
      <c r="C98" s="272" t="s">
        <v>11</v>
      </c>
      <c r="D98" s="272" t="s">
        <v>12</v>
      </c>
      <c r="E98" s="272">
        <v>30</v>
      </c>
      <c r="F98" s="272">
        <v>6206</v>
      </c>
      <c r="G98" s="274">
        <v>25370</v>
      </c>
      <c r="H98" s="274">
        <v>24990</v>
      </c>
      <c r="I98" s="274">
        <v>380</v>
      </c>
      <c r="J98" s="275">
        <f t="shared" si="2"/>
        <v>1.4978320851399291E-2</v>
      </c>
      <c r="K98" s="272"/>
      <c r="L98" s="272"/>
      <c r="M98" s="272"/>
      <c r="N98" s="272"/>
      <c r="O98" s="272"/>
      <c r="P98" s="272"/>
      <c r="Q98" s="272"/>
      <c r="R98" s="272"/>
      <c r="S98" s="272"/>
    </row>
    <row r="99" spans="1:19" ht="15" customHeight="1" x14ac:dyDescent="0.25">
      <c r="A99" s="273">
        <v>46256</v>
      </c>
      <c r="B99" s="272" t="s">
        <v>252</v>
      </c>
      <c r="C99" s="272" t="s">
        <v>11</v>
      </c>
      <c r="D99" s="272" t="s">
        <v>12</v>
      </c>
      <c r="E99" s="272">
        <v>30</v>
      </c>
      <c r="F99" s="272">
        <v>6206</v>
      </c>
      <c r="G99" s="274">
        <v>21000</v>
      </c>
      <c r="H99" s="274">
        <v>20620</v>
      </c>
      <c r="I99" s="274">
        <v>380</v>
      </c>
      <c r="J99" s="275">
        <f t="shared" ref="J99:J130" si="3">IFERROR(I99/(H99+I99),"")</f>
        <v>1.8095238095238095E-2</v>
      </c>
      <c r="K99" s="272"/>
      <c r="L99" s="272"/>
      <c r="M99" s="272"/>
      <c r="N99" s="272"/>
      <c r="O99" s="272"/>
      <c r="P99" s="272"/>
      <c r="Q99" s="272"/>
      <c r="R99" s="272"/>
      <c r="S99" s="272"/>
    </row>
    <row r="100" spans="1:19" ht="15" customHeight="1" x14ac:dyDescent="0.25">
      <c r="A100" s="273">
        <v>46256</v>
      </c>
      <c r="B100" s="272" t="s">
        <v>253</v>
      </c>
      <c r="C100" s="272" t="s">
        <v>11</v>
      </c>
      <c r="D100" s="272" t="s">
        <v>12</v>
      </c>
      <c r="E100" s="272">
        <v>30</v>
      </c>
      <c r="F100" s="272">
        <v>6206</v>
      </c>
      <c r="G100" s="274">
        <v>25000</v>
      </c>
      <c r="H100" s="274">
        <v>24975</v>
      </c>
      <c r="I100" s="274">
        <v>25</v>
      </c>
      <c r="J100" s="275">
        <f t="shared" si="3"/>
        <v>1E-3</v>
      </c>
      <c r="K100" s="272"/>
      <c r="L100" s="272"/>
      <c r="M100" s="272"/>
      <c r="N100" s="272"/>
      <c r="O100" s="272"/>
      <c r="P100" s="272"/>
      <c r="Q100" s="272"/>
      <c r="R100" s="272"/>
      <c r="S100" s="272"/>
    </row>
    <row r="101" spans="1:19" ht="15" customHeight="1" x14ac:dyDescent="0.25">
      <c r="A101" s="273">
        <v>46256</v>
      </c>
      <c r="B101" s="272" t="s">
        <v>254</v>
      </c>
      <c r="C101" s="272" t="s">
        <v>135</v>
      </c>
      <c r="D101" s="272" t="s">
        <v>178</v>
      </c>
      <c r="E101" s="272" t="s">
        <v>134</v>
      </c>
      <c r="F101" s="272">
        <v>8001</v>
      </c>
      <c r="G101" s="274">
        <v>0</v>
      </c>
      <c r="H101" s="274">
        <v>0</v>
      </c>
      <c r="I101" s="274">
        <v>0</v>
      </c>
      <c r="J101" s="275" t="str">
        <f t="shared" si="3"/>
        <v/>
      </c>
      <c r="K101" s="272">
        <v>960</v>
      </c>
      <c r="L101" s="272"/>
      <c r="M101" s="272"/>
      <c r="N101" s="272"/>
      <c r="O101" s="272"/>
      <c r="P101" s="272"/>
      <c r="Q101" s="272"/>
      <c r="R101" s="272"/>
      <c r="S101" s="272"/>
    </row>
    <row r="102" spans="1:19" ht="15" customHeight="1" x14ac:dyDescent="0.25">
      <c r="A102" s="273">
        <v>46256</v>
      </c>
      <c r="B102" s="272" t="s">
        <v>255</v>
      </c>
      <c r="C102" s="272" t="s">
        <v>11</v>
      </c>
      <c r="D102" s="272" t="s">
        <v>12</v>
      </c>
      <c r="E102" s="272">
        <v>30</v>
      </c>
      <c r="F102" s="272">
        <v>6206</v>
      </c>
      <c r="G102" s="274">
        <v>22000</v>
      </c>
      <c r="H102" s="274">
        <v>21885</v>
      </c>
      <c r="I102" s="274">
        <v>115</v>
      </c>
      <c r="J102" s="275">
        <f t="shared" si="3"/>
        <v>5.2272727272727271E-3</v>
      </c>
      <c r="K102" s="272"/>
      <c r="L102" s="272"/>
      <c r="M102" s="272"/>
      <c r="N102" s="272"/>
      <c r="O102" s="272"/>
      <c r="P102" s="272"/>
      <c r="Q102" s="272"/>
      <c r="R102" s="272"/>
      <c r="S102" s="272"/>
    </row>
    <row r="103" spans="1:19" ht="15" customHeight="1" x14ac:dyDescent="0.25">
      <c r="A103" s="273">
        <v>46256</v>
      </c>
      <c r="B103" s="272" t="s">
        <v>256</v>
      </c>
      <c r="C103" s="272" t="s">
        <v>11</v>
      </c>
      <c r="D103" s="272" t="s">
        <v>12</v>
      </c>
      <c r="E103" s="272">
        <v>30</v>
      </c>
      <c r="F103" s="272">
        <v>6206</v>
      </c>
      <c r="G103" s="274">
        <v>22584</v>
      </c>
      <c r="H103" s="274">
        <v>22134</v>
      </c>
      <c r="I103" s="274">
        <v>450</v>
      </c>
      <c r="J103" s="275">
        <f t="shared" si="3"/>
        <v>1.9925611052072262E-2</v>
      </c>
      <c r="K103" s="272"/>
      <c r="L103" s="272"/>
      <c r="M103" s="272"/>
      <c r="N103" s="272"/>
      <c r="O103" s="272"/>
      <c r="P103" s="272"/>
      <c r="Q103" s="272"/>
      <c r="R103" s="272"/>
      <c r="S103" s="272"/>
    </row>
    <row r="104" spans="1:19" ht="15" customHeight="1" x14ac:dyDescent="0.25">
      <c r="A104" s="273">
        <v>46258</v>
      </c>
      <c r="B104" s="272" t="s">
        <v>252</v>
      </c>
      <c r="C104" s="272" t="s">
        <v>11</v>
      </c>
      <c r="D104" s="272" t="s">
        <v>12</v>
      </c>
      <c r="E104" s="272">
        <v>30</v>
      </c>
      <c r="F104" s="272">
        <v>6206</v>
      </c>
      <c r="G104" s="274">
        <v>17000</v>
      </c>
      <c r="H104" s="274">
        <v>16865</v>
      </c>
      <c r="I104" s="274">
        <v>135</v>
      </c>
      <c r="J104" s="275">
        <f t="shared" si="3"/>
        <v>7.9411764705882345E-3</v>
      </c>
      <c r="K104" s="272"/>
      <c r="L104" s="272"/>
      <c r="M104" s="272">
        <v>60</v>
      </c>
      <c r="N104" s="272"/>
      <c r="O104" s="272"/>
      <c r="P104" s="272"/>
      <c r="Q104" s="272"/>
      <c r="R104" s="272"/>
      <c r="S104" s="272"/>
    </row>
    <row r="105" spans="1:19" ht="15" customHeight="1" x14ac:dyDescent="0.25">
      <c r="A105" s="273">
        <v>46258</v>
      </c>
      <c r="B105" s="272" t="s">
        <v>253</v>
      </c>
      <c r="C105" s="272" t="s">
        <v>11</v>
      </c>
      <c r="D105" s="272" t="s">
        <v>12</v>
      </c>
      <c r="E105" s="272">
        <v>30</v>
      </c>
      <c r="F105" s="272">
        <v>6206</v>
      </c>
      <c r="G105" s="274">
        <v>23070</v>
      </c>
      <c r="H105" s="274">
        <v>23055</v>
      </c>
      <c r="I105" s="274">
        <v>15</v>
      </c>
      <c r="J105" s="275">
        <f t="shared" si="3"/>
        <v>6.5019505851755528E-4</v>
      </c>
      <c r="K105" s="272"/>
      <c r="L105" s="272"/>
      <c r="M105" s="272"/>
      <c r="N105" s="272"/>
      <c r="O105" s="272"/>
      <c r="P105" s="272"/>
      <c r="Q105" s="272"/>
      <c r="R105" s="272"/>
      <c r="S105" s="272"/>
    </row>
    <row r="106" spans="1:19" ht="15" customHeight="1" x14ac:dyDescent="0.25">
      <c r="A106" s="273">
        <v>46258</v>
      </c>
      <c r="B106" s="272" t="s">
        <v>254</v>
      </c>
      <c r="C106" s="272" t="s">
        <v>13</v>
      </c>
      <c r="D106" s="272" t="s">
        <v>132</v>
      </c>
      <c r="E106" s="272" t="s">
        <v>131</v>
      </c>
      <c r="F106" s="272">
        <v>8015</v>
      </c>
      <c r="G106" s="274">
        <v>6250</v>
      </c>
      <c r="H106" s="274">
        <v>5520</v>
      </c>
      <c r="I106" s="274">
        <v>730</v>
      </c>
      <c r="J106" s="275">
        <f t="shared" si="3"/>
        <v>0.1168</v>
      </c>
      <c r="K106" s="272">
        <v>960</v>
      </c>
      <c r="L106" s="272"/>
      <c r="M106" s="272"/>
      <c r="N106" s="272"/>
      <c r="O106" s="272"/>
      <c r="P106" s="272"/>
      <c r="Q106" s="272"/>
      <c r="R106" s="272"/>
      <c r="S106" s="272"/>
    </row>
    <row r="107" spans="1:19" ht="15" customHeight="1" x14ac:dyDescent="0.25">
      <c r="A107" s="273">
        <v>46258</v>
      </c>
      <c r="B107" s="272" t="s">
        <v>255</v>
      </c>
      <c r="C107" s="272" t="s">
        <v>11</v>
      </c>
      <c r="D107" s="272" t="s">
        <v>12</v>
      </c>
      <c r="E107" s="272">
        <v>30</v>
      </c>
      <c r="F107" s="272">
        <v>6206</v>
      </c>
      <c r="G107" s="274">
        <v>12800</v>
      </c>
      <c r="H107" s="274">
        <v>12705</v>
      </c>
      <c r="I107" s="274">
        <v>95</v>
      </c>
      <c r="J107" s="275">
        <f t="shared" si="3"/>
        <v>7.4218749999999997E-3</v>
      </c>
      <c r="K107" s="272"/>
      <c r="L107" s="272"/>
      <c r="M107" s="272">
        <v>180</v>
      </c>
      <c r="N107" s="272"/>
      <c r="O107" s="272"/>
      <c r="P107" s="272"/>
      <c r="Q107" s="272"/>
      <c r="R107" s="272"/>
      <c r="S107" s="272"/>
    </row>
    <row r="108" spans="1:19" ht="15" customHeight="1" x14ac:dyDescent="0.25">
      <c r="A108" s="273">
        <v>46258</v>
      </c>
      <c r="B108" s="272" t="s">
        <v>256</v>
      </c>
      <c r="C108" s="272" t="s">
        <v>11</v>
      </c>
      <c r="D108" s="272" t="s">
        <v>12</v>
      </c>
      <c r="E108" s="272">
        <v>30</v>
      </c>
      <c r="F108" s="272">
        <v>6206</v>
      </c>
      <c r="G108" s="274">
        <v>17416</v>
      </c>
      <c r="H108" s="274">
        <v>17136</v>
      </c>
      <c r="I108" s="274">
        <v>280</v>
      </c>
      <c r="J108" s="275">
        <f t="shared" si="3"/>
        <v>1.607717041800643E-2</v>
      </c>
      <c r="K108" s="272"/>
      <c r="L108" s="272"/>
      <c r="M108" s="272">
        <v>90</v>
      </c>
      <c r="N108" s="272"/>
      <c r="O108" s="272"/>
      <c r="P108" s="272"/>
      <c r="Q108" s="272"/>
      <c r="R108" s="272"/>
      <c r="S108" s="272"/>
    </row>
    <row r="109" spans="1:19" ht="15" customHeight="1" x14ac:dyDescent="0.25">
      <c r="A109" s="273">
        <v>46259</v>
      </c>
      <c r="B109" s="272" t="s">
        <v>252</v>
      </c>
      <c r="C109" s="272" t="s">
        <v>11</v>
      </c>
      <c r="D109" s="272" t="s">
        <v>12</v>
      </c>
      <c r="E109" s="272">
        <v>30</v>
      </c>
      <c r="F109" s="272">
        <v>6206</v>
      </c>
      <c r="G109" s="274">
        <v>0</v>
      </c>
      <c r="H109" s="274">
        <v>0</v>
      </c>
      <c r="I109" s="274">
        <v>0</v>
      </c>
      <c r="J109" s="275" t="str">
        <f t="shared" si="3"/>
        <v/>
      </c>
      <c r="K109" s="272"/>
      <c r="L109" s="272"/>
      <c r="M109" s="272">
        <v>480</v>
      </c>
      <c r="N109" s="272"/>
      <c r="O109" s="272"/>
      <c r="P109" s="272"/>
      <c r="Q109" s="272"/>
      <c r="R109" s="272"/>
      <c r="S109" s="272"/>
    </row>
    <row r="110" spans="1:19" ht="15" customHeight="1" x14ac:dyDescent="0.25">
      <c r="A110" s="273">
        <v>46259</v>
      </c>
      <c r="B110" s="272" t="s">
        <v>253</v>
      </c>
      <c r="C110" s="272" t="s">
        <v>11</v>
      </c>
      <c r="D110" s="272" t="s">
        <v>12</v>
      </c>
      <c r="E110" s="272">
        <v>30</v>
      </c>
      <c r="F110" s="272">
        <v>6206</v>
      </c>
      <c r="G110" s="274">
        <v>0</v>
      </c>
      <c r="H110" s="274">
        <v>0</v>
      </c>
      <c r="I110" s="274">
        <v>0</v>
      </c>
      <c r="J110" s="275" t="str">
        <f t="shared" si="3"/>
        <v/>
      </c>
      <c r="K110" s="272"/>
      <c r="L110" s="272"/>
      <c r="M110" s="272">
        <v>480</v>
      </c>
      <c r="N110" s="272"/>
      <c r="O110" s="272"/>
      <c r="P110" s="272"/>
      <c r="Q110" s="272"/>
      <c r="R110" s="272"/>
      <c r="S110" s="272"/>
    </row>
    <row r="111" spans="1:19" ht="15" customHeight="1" x14ac:dyDescent="0.25">
      <c r="A111" s="273">
        <v>46259</v>
      </c>
      <c r="B111" s="272" t="s">
        <v>254</v>
      </c>
      <c r="C111" s="272" t="s">
        <v>13</v>
      </c>
      <c r="D111" s="272" t="s">
        <v>133</v>
      </c>
      <c r="E111" s="272" t="s">
        <v>131</v>
      </c>
      <c r="F111" s="272">
        <v>8010</v>
      </c>
      <c r="G111" s="274">
        <v>26370</v>
      </c>
      <c r="H111" s="274">
        <v>25070</v>
      </c>
      <c r="I111" s="274">
        <v>1300</v>
      </c>
      <c r="J111" s="275">
        <f t="shared" si="3"/>
        <v>4.9298445202882062E-2</v>
      </c>
      <c r="K111" s="272"/>
      <c r="L111" s="272"/>
      <c r="M111" s="272"/>
      <c r="N111" s="272">
        <v>360</v>
      </c>
      <c r="O111" s="272">
        <v>60</v>
      </c>
      <c r="P111" s="272"/>
      <c r="Q111" s="272"/>
      <c r="R111" s="272"/>
      <c r="S111" s="272"/>
    </row>
    <row r="112" spans="1:19" ht="15" customHeight="1" x14ac:dyDescent="0.25">
      <c r="A112" s="273">
        <v>46259</v>
      </c>
      <c r="B112" s="272" t="s">
        <v>255</v>
      </c>
      <c r="C112" s="272" t="s">
        <v>11</v>
      </c>
      <c r="D112" s="272" t="s">
        <v>12</v>
      </c>
      <c r="E112" s="272">
        <v>30</v>
      </c>
      <c r="F112" s="272">
        <v>6206</v>
      </c>
      <c r="G112" s="274">
        <v>0</v>
      </c>
      <c r="H112" s="274">
        <v>0</v>
      </c>
      <c r="I112" s="274">
        <v>0</v>
      </c>
      <c r="J112" s="275" t="str">
        <f t="shared" si="3"/>
        <v/>
      </c>
      <c r="K112" s="272"/>
      <c r="L112" s="272"/>
      <c r="M112" s="272">
        <v>480</v>
      </c>
      <c r="N112" s="272"/>
      <c r="O112" s="272"/>
      <c r="P112" s="272"/>
      <c r="Q112" s="272"/>
      <c r="R112" s="272"/>
      <c r="S112" s="272"/>
    </row>
    <row r="113" spans="1:19" ht="15" customHeight="1" x14ac:dyDescent="0.25">
      <c r="A113" s="273">
        <v>46259</v>
      </c>
      <c r="B113" s="272" t="s">
        <v>256</v>
      </c>
      <c r="C113" s="272" t="s">
        <v>11</v>
      </c>
      <c r="D113" s="272" t="s">
        <v>12</v>
      </c>
      <c r="E113" s="272">
        <v>30</v>
      </c>
      <c r="F113" s="272">
        <v>6206</v>
      </c>
      <c r="G113" s="274">
        <v>19308</v>
      </c>
      <c r="H113" s="274">
        <v>17808</v>
      </c>
      <c r="I113" s="274">
        <v>1500</v>
      </c>
      <c r="J113" s="275">
        <f t="shared" si="3"/>
        <v>7.7688004972032321E-2</v>
      </c>
      <c r="K113" s="272"/>
      <c r="L113" s="272"/>
      <c r="M113" s="272">
        <v>120</v>
      </c>
      <c r="N113" s="272"/>
      <c r="O113" s="272"/>
      <c r="P113" s="272"/>
      <c r="Q113" s="272"/>
      <c r="R113" s="272"/>
      <c r="S113" s="272"/>
    </row>
    <row r="114" spans="1:19" ht="15" customHeight="1" x14ac:dyDescent="0.25">
      <c r="A114" s="273">
        <v>46261</v>
      </c>
      <c r="B114" s="272" t="s">
        <v>252</v>
      </c>
      <c r="C114" s="272" t="s">
        <v>11</v>
      </c>
      <c r="D114" s="272" t="s">
        <v>12</v>
      </c>
      <c r="E114" s="272">
        <v>30</v>
      </c>
      <c r="F114" s="272">
        <v>6206</v>
      </c>
      <c r="G114" s="274">
        <v>9000</v>
      </c>
      <c r="H114" s="274">
        <v>8870</v>
      </c>
      <c r="I114" s="274">
        <v>130</v>
      </c>
      <c r="J114" s="275">
        <f t="shared" si="3"/>
        <v>1.4444444444444444E-2</v>
      </c>
      <c r="K114" s="272"/>
      <c r="L114" s="272"/>
      <c r="M114" s="272">
        <v>240</v>
      </c>
      <c r="N114" s="272"/>
      <c r="O114" s="272"/>
      <c r="P114" s="272"/>
      <c r="Q114" s="272"/>
      <c r="R114" s="272"/>
      <c r="S114" s="272"/>
    </row>
    <row r="115" spans="1:19" ht="15" customHeight="1" x14ac:dyDescent="0.25">
      <c r="A115" s="273">
        <v>46261</v>
      </c>
      <c r="B115" s="272" t="s">
        <v>253</v>
      </c>
      <c r="C115" s="272" t="s">
        <v>11</v>
      </c>
      <c r="D115" s="272" t="s">
        <v>12</v>
      </c>
      <c r="E115" s="272">
        <v>30</v>
      </c>
      <c r="F115" s="272">
        <v>6206</v>
      </c>
      <c r="G115" s="274">
        <v>10710</v>
      </c>
      <c r="H115" s="274">
        <v>10700</v>
      </c>
      <c r="I115" s="274">
        <v>10</v>
      </c>
      <c r="J115" s="275">
        <f t="shared" si="3"/>
        <v>9.3370681605975728E-4</v>
      </c>
      <c r="K115" s="272"/>
      <c r="L115" s="272"/>
      <c r="M115" s="272">
        <v>240</v>
      </c>
      <c r="N115" s="272"/>
      <c r="O115" s="272"/>
      <c r="P115" s="272"/>
      <c r="Q115" s="272"/>
      <c r="R115" s="272"/>
      <c r="S115" s="272"/>
    </row>
    <row r="116" spans="1:19" ht="15" customHeight="1" x14ac:dyDescent="0.25">
      <c r="A116" s="273">
        <v>46261</v>
      </c>
      <c r="B116" s="272" t="s">
        <v>254</v>
      </c>
      <c r="C116" s="272" t="s">
        <v>128</v>
      </c>
      <c r="D116" s="272" t="s">
        <v>129</v>
      </c>
      <c r="E116" s="272" t="s">
        <v>127</v>
      </c>
      <c r="F116" s="272">
        <v>8005</v>
      </c>
      <c r="G116" s="274">
        <v>14130</v>
      </c>
      <c r="H116" s="274">
        <v>12000</v>
      </c>
      <c r="I116" s="274">
        <v>2130</v>
      </c>
      <c r="J116" s="275">
        <f t="shared" si="3"/>
        <v>0.15074309978768577</v>
      </c>
      <c r="K116" s="272"/>
      <c r="L116" s="272">
        <v>960</v>
      </c>
      <c r="M116" s="272"/>
      <c r="N116" s="272"/>
      <c r="O116" s="272"/>
      <c r="P116" s="272"/>
      <c r="Q116" s="272"/>
      <c r="R116" s="272"/>
      <c r="S116" s="272"/>
    </row>
    <row r="117" spans="1:19" ht="15" customHeight="1" x14ac:dyDescent="0.25">
      <c r="A117" s="273">
        <v>46261</v>
      </c>
      <c r="B117" s="272" t="s">
        <v>255</v>
      </c>
      <c r="C117" s="272" t="s">
        <v>11</v>
      </c>
      <c r="D117" s="272" t="s">
        <v>12</v>
      </c>
      <c r="E117" s="272">
        <v>30</v>
      </c>
      <c r="F117" s="272">
        <v>6206</v>
      </c>
      <c r="G117" s="274">
        <v>9950</v>
      </c>
      <c r="H117" s="274">
        <v>9855</v>
      </c>
      <c r="I117" s="274">
        <v>95</v>
      </c>
      <c r="J117" s="275">
        <f t="shared" si="3"/>
        <v>9.5477386934673374E-3</v>
      </c>
      <c r="K117" s="272"/>
      <c r="L117" s="272"/>
      <c r="M117" s="272">
        <v>240</v>
      </c>
      <c r="N117" s="272"/>
      <c r="O117" s="272"/>
      <c r="P117" s="272"/>
      <c r="Q117" s="272"/>
      <c r="R117" s="272"/>
      <c r="S117" s="272"/>
    </row>
    <row r="118" spans="1:19" ht="15" customHeight="1" x14ac:dyDescent="0.25">
      <c r="A118" s="273">
        <v>46261</v>
      </c>
      <c r="B118" s="272" t="s">
        <v>256</v>
      </c>
      <c r="C118" s="272" t="s">
        <v>11</v>
      </c>
      <c r="D118" s="272" t="s">
        <v>12</v>
      </c>
      <c r="E118" s="272">
        <v>30</v>
      </c>
      <c r="F118" s="272">
        <v>6206</v>
      </c>
      <c r="G118" s="274">
        <v>10990</v>
      </c>
      <c r="H118" s="274">
        <v>10710</v>
      </c>
      <c r="I118" s="274">
        <v>280</v>
      </c>
      <c r="J118" s="275">
        <f t="shared" si="3"/>
        <v>2.5477707006369428E-2</v>
      </c>
      <c r="K118" s="272"/>
      <c r="L118" s="272"/>
      <c r="M118" s="272">
        <v>240</v>
      </c>
      <c r="N118" s="272"/>
      <c r="O118" s="272"/>
      <c r="P118" s="272"/>
      <c r="Q118" s="272"/>
      <c r="R118" s="272"/>
      <c r="S118" s="272"/>
    </row>
    <row r="119" spans="1:19" ht="15" customHeight="1" x14ac:dyDescent="0.25">
      <c r="A119" s="273">
        <v>46262</v>
      </c>
      <c r="B119" s="272" t="s">
        <v>252</v>
      </c>
      <c r="C119" s="272" t="s">
        <v>11</v>
      </c>
      <c r="D119" s="272" t="s">
        <v>12</v>
      </c>
      <c r="E119" s="272">
        <v>30</v>
      </c>
      <c r="F119" s="272">
        <v>6206</v>
      </c>
      <c r="G119" s="274">
        <v>1000</v>
      </c>
      <c r="H119" s="274">
        <v>985</v>
      </c>
      <c r="I119" s="274">
        <v>15</v>
      </c>
      <c r="J119" s="275">
        <f t="shared" si="3"/>
        <v>1.4999999999999999E-2</v>
      </c>
      <c r="K119" s="272"/>
      <c r="L119" s="272"/>
      <c r="M119" s="272">
        <v>450</v>
      </c>
      <c r="N119" s="272"/>
      <c r="O119" s="272"/>
      <c r="P119" s="272"/>
      <c r="Q119" s="272"/>
      <c r="R119" s="272"/>
      <c r="S119" s="272"/>
    </row>
    <row r="120" spans="1:19" ht="15" customHeight="1" x14ac:dyDescent="0.25">
      <c r="A120" s="273">
        <v>46262</v>
      </c>
      <c r="B120" s="272" t="s">
        <v>253</v>
      </c>
      <c r="C120" s="272" t="s">
        <v>11</v>
      </c>
      <c r="D120" s="272" t="s">
        <v>12</v>
      </c>
      <c r="E120" s="272">
        <v>30</v>
      </c>
      <c r="F120" s="272">
        <v>6206</v>
      </c>
      <c r="G120" s="274">
        <v>0</v>
      </c>
      <c r="H120" s="274">
        <v>0</v>
      </c>
      <c r="I120" s="274">
        <v>0</v>
      </c>
      <c r="J120" s="275" t="str">
        <f t="shared" si="3"/>
        <v/>
      </c>
      <c r="K120" s="272"/>
      <c r="L120" s="272"/>
      <c r="M120" s="272">
        <v>480</v>
      </c>
      <c r="N120" s="272"/>
      <c r="O120" s="272"/>
      <c r="P120" s="272"/>
      <c r="Q120" s="272"/>
      <c r="R120" s="272"/>
      <c r="S120" s="272"/>
    </row>
    <row r="121" spans="1:19" ht="15" customHeight="1" x14ac:dyDescent="0.25">
      <c r="A121" s="273">
        <v>46262</v>
      </c>
      <c r="B121" s="272" t="s">
        <v>254</v>
      </c>
      <c r="C121" s="272" t="s">
        <v>128</v>
      </c>
      <c r="D121" s="272" t="s">
        <v>129</v>
      </c>
      <c r="E121" s="272" t="s">
        <v>127</v>
      </c>
      <c r="F121" s="272">
        <v>8005</v>
      </c>
      <c r="G121" s="274">
        <v>0</v>
      </c>
      <c r="H121" s="274">
        <v>0</v>
      </c>
      <c r="I121" s="274">
        <v>0</v>
      </c>
      <c r="J121" s="275" t="str">
        <f t="shared" si="3"/>
        <v/>
      </c>
      <c r="K121" s="272"/>
      <c r="L121" s="272">
        <v>960</v>
      </c>
      <c r="M121" s="272"/>
      <c r="N121" s="272"/>
      <c r="O121" s="272"/>
      <c r="P121" s="272"/>
      <c r="Q121" s="272"/>
      <c r="R121" s="272"/>
      <c r="S121" s="272"/>
    </row>
    <row r="122" spans="1:19" ht="15" customHeight="1" x14ac:dyDescent="0.25">
      <c r="A122" s="273">
        <v>46262</v>
      </c>
      <c r="B122" s="272" t="s">
        <v>255</v>
      </c>
      <c r="C122" s="272" t="s">
        <v>11</v>
      </c>
      <c r="D122" s="272" t="s">
        <v>12</v>
      </c>
      <c r="E122" s="272">
        <v>30</v>
      </c>
      <c r="F122" s="272">
        <v>6206</v>
      </c>
      <c r="G122" s="274">
        <v>6300</v>
      </c>
      <c r="H122" s="274">
        <v>6275</v>
      </c>
      <c r="I122" s="274">
        <v>25</v>
      </c>
      <c r="J122" s="275">
        <f t="shared" si="3"/>
        <v>3.968253968253968E-3</v>
      </c>
      <c r="K122" s="272"/>
      <c r="L122" s="272"/>
      <c r="M122" s="272">
        <v>360</v>
      </c>
      <c r="N122" s="272"/>
      <c r="O122" s="272"/>
      <c r="P122" s="272"/>
      <c r="Q122" s="272"/>
      <c r="R122" s="272"/>
      <c r="S122" s="272"/>
    </row>
    <row r="123" spans="1:19" ht="15" customHeight="1" x14ac:dyDescent="0.25">
      <c r="A123" s="273">
        <v>46262</v>
      </c>
      <c r="B123" s="272" t="s">
        <v>256</v>
      </c>
      <c r="C123" s="272" t="s">
        <v>11</v>
      </c>
      <c r="D123" s="272" t="s">
        <v>12</v>
      </c>
      <c r="E123" s="272">
        <v>30</v>
      </c>
      <c r="F123" s="272">
        <v>6206</v>
      </c>
      <c r="G123" s="274">
        <v>0</v>
      </c>
      <c r="H123" s="274">
        <v>0</v>
      </c>
      <c r="I123" s="274">
        <v>0</v>
      </c>
      <c r="J123" s="275" t="str">
        <f t="shared" si="3"/>
        <v/>
      </c>
      <c r="K123" s="272"/>
      <c r="L123" s="272"/>
      <c r="M123" s="272">
        <v>480</v>
      </c>
      <c r="N123" s="272"/>
      <c r="O123" s="272"/>
      <c r="P123" s="272"/>
      <c r="Q123" s="272"/>
      <c r="R123" s="272"/>
      <c r="S123" s="272"/>
    </row>
    <row r="124" spans="1:19" ht="15" customHeight="1" x14ac:dyDescent="0.25">
      <c r="A124" s="273">
        <v>46263</v>
      </c>
      <c r="B124" s="272" t="s">
        <v>252</v>
      </c>
      <c r="C124" s="272" t="s">
        <v>11</v>
      </c>
      <c r="D124" s="272" t="s">
        <v>12</v>
      </c>
      <c r="E124" s="272">
        <v>30</v>
      </c>
      <c r="F124" s="272">
        <v>6206</v>
      </c>
      <c r="G124" s="274">
        <v>21000</v>
      </c>
      <c r="H124" s="274">
        <v>20740</v>
      </c>
      <c r="I124" s="274">
        <v>260</v>
      </c>
      <c r="J124" s="275">
        <f t="shared" si="3"/>
        <v>1.2380952380952381E-2</v>
      </c>
      <c r="K124" s="272"/>
      <c r="L124" s="272"/>
      <c r="M124" s="272"/>
      <c r="N124" s="272"/>
      <c r="O124" s="272"/>
      <c r="P124" s="272"/>
      <c r="Q124" s="272"/>
      <c r="R124" s="272"/>
      <c r="S124" s="272"/>
    </row>
    <row r="125" spans="1:19" ht="15" customHeight="1" x14ac:dyDescent="0.25">
      <c r="A125" s="273">
        <v>46263</v>
      </c>
      <c r="B125" s="272" t="s">
        <v>253</v>
      </c>
      <c r="C125" s="272" t="s">
        <v>11</v>
      </c>
      <c r="D125" s="272" t="s">
        <v>12</v>
      </c>
      <c r="E125" s="272">
        <v>30</v>
      </c>
      <c r="F125" s="272">
        <v>6206</v>
      </c>
      <c r="G125" s="274">
        <v>16000</v>
      </c>
      <c r="H125" s="274">
        <v>15990</v>
      </c>
      <c r="I125" s="274">
        <v>10</v>
      </c>
      <c r="J125" s="275">
        <f t="shared" si="3"/>
        <v>6.2500000000000001E-4</v>
      </c>
      <c r="K125" s="272"/>
      <c r="L125" s="272"/>
      <c r="M125" s="272"/>
      <c r="N125" s="272"/>
      <c r="O125" s="272">
        <v>120</v>
      </c>
      <c r="P125" s="272"/>
      <c r="Q125" s="272"/>
      <c r="R125" s="272"/>
      <c r="S125" s="272"/>
    </row>
    <row r="126" spans="1:19" ht="15" customHeight="1" x14ac:dyDescent="0.25">
      <c r="A126" s="273">
        <v>46263</v>
      </c>
      <c r="B126" s="272" t="s">
        <v>254</v>
      </c>
      <c r="C126" s="272" t="s">
        <v>128</v>
      </c>
      <c r="D126" s="272" t="s">
        <v>129</v>
      </c>
      <c r="E126" s="272" t="s">
        <v>127</v>
      </c>
      <c r="F126" s="272">
        <v>8005</v>
      </c>
      <c r="G126" s="274">
        <v>0</v>
      </c>
      <c r="H126" s="274">
        <v>0</v>
      </c>
      <c r="I126" s="274">
        <v>0</v>
      </c>
      <c r="J126" s="275" t="str">
        <f t="shared" si="3"/>
        <v/>
      </c>
      <c r="K126" s="272"/>
      <c r="L126" s="272">
        <v>960</v>
      </c>
      <c r="M126" s="272"/>
      <c r="N126" s="272"/>
      <c r="O126" s="272"/>
      <c r="P126" s="272"/>
      <c r="Q126" s="272"/>
      <c r="R126" s="272"/>
      <c r="S126" s="272"/>
    </row>
    <row r="127" spans="1:19" ht="15" customHeight="1" x14ac:dyDescent="0.25">
      <c r="A127" s="273">
        <v>46263</v>
      </c>
      <c r="B127" s="272" t="s">
        <v>255</v>
      </c>
      <c r="C127" s="272" t="s">
        <v>11</v>
      </c>
      <c r="D127" s="272" t="s">
        <v>12</v>
      </c>
      <c r="E127" s="272">
        <v>30</v>
      </c>
      <c r="F127" s="272">
        <v>6206</v>
      </c>
      <c r="G127" s="274">
        <v>21000</v>
      </c>
      <c r="H127" s="274">
        <v>20865</v>
      </c>
      <c r="I127" s="274">
        <v>135</v>
      </c>
      <c r="J127" s="275">
        <f t="shared" si="3"/>
        <v>6.4285714285714285E-3</v>
      </c>
      <c r="K127" s="272"/>
      <c r="L127" s="272"/>
      <c r="M127" s="272"/>
      <c r="N127" s="272"/>
      <c r="O127" s="272"/>
      <c r="P127" s="272"/>
      <c r="Q127" s="272"/>
      <c r="R127" s="272"/>
      <c r="S127" s="272"/>
    </row>
    <row r="128" spans="1:19" ht="15" customHeight="1" x14ac:dyDescent="0.25">
      <c r="A128" s="273">
        <v>46263</v>
      </c>
      <c r="B128" s="272" t="s">
        <v>256</v>
      </c>
      <c r="C128" s="272" t="s">
        <v>11</v>
      </c>
      <c r="D128" s="272" t="s">
        <v>12</v>
      </c>
      <c r="E128" s="272">
        <v>30</v>
      </c>
      <c r="F128" s="272">
        <v>6206</v>
      </c>
      <c r="G128" s="274">
        <v>20387</v>
      </c>
      <c r="H128" s="274">
        <v>19992</v>
      </c>
      <c r="I128" s="274">
        <v>395</v>
      </c>
      <c r="J128" s="275">
        <f t="shared" si="3"/>
        <v>1.9375091970373279E-2</v>
      </c>
      <c r="K128" s="272"/>
      <c r="L128" s="272"/>
      <c r="M128" s="272"/>
      <c r="N128" s="272"/>
      <c r="O128" s="272"/>
      <c r="P128" s="272"/>
      <c r="Q128" s="272"/>
      <c r="R128" s="272"/>
      <c r="S128" s="272"/>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260</v>
      </c>
      <c r="B1" s="343"/>
      <c r="C1" s="344"/>
      <c r="D1" s="344"/>
      <c r="E1" s="343"/>
      <c r="F1" s="343"/>
      <c r="G1" s="343"/>
      <c r="H1" s="344"/>
      <c r="I1" s="343"/>
      <c r="J1" s="345"/>
      <c r="K1" s="344"/>
      <c r="L1" s="346"/>
      <c r="M1" s="37"/>
      <c r="N1" s="2"/>
      <c r="O1" s="2"/>
    </row>
    <row r="2" spans="1:17" s="43" customFormat="1" ht="32.25" customHeight="1" x14ac:dyDescent="0.25">
      <c r="A2" s="38" t="s">
        <v>5</v>
      </c>
      <c r="B2" s="38" t="s">
        <v>261</v>
      </c>
      <c r="C2" s="39" t="s">
        <v>3</v>
      </c>
      <c r="D2" s="39" t="s">
        <v>4</v>
      </c>
      <c r="E2" s="38" t="s">
        <v>2</v>
      </c>
      <c r="F2" s="38" t="s">
        <v>262</v>
      </c>
      <c r="G2" s="38" t="s">
        <v>18</v>
      </c>
      <c r="H2" s="39" t="s">
        <v>20</v>
      </c>
      <c r="I2" s="38" t="s">
        <v>21</v>
      </c>
      <c r="J2" s="38" t="s">
        <v>263</v>
      </c>
      <c r="K2" s="39" t="s">
        <v>264</v>
      </c>
      <c r="L2" s="40" t="s">
        <v>265</v>
      </c>
      <c r="M2" s="41" t="s">
        <v>266</v>
      </c>
      <c r="N2" s="42"/>
      <c r="O2" s="42"/>
    </row>
    <row r="3" spans="1:17" ht="15" customHeight="1" x14ac:dyDescent="0.25">
      <c r="A3" s="212">
        <v>6561</v>
      </c>
      <c r="B3" s="212">
        <v>190</v>
      </c>
      <c r="C3" s="213" t="s">
        <v>183</v>
      </c>
      <c r="D3" s="213" t="s">
        <v>184</v>
      </c>
      <c r="E3" s="213">
        <v>16</v>
      </c>
      <c r="F3" s="213" t="s">
        <v>27</v>
      </c>
      <c r="G3" s="212">
        <v>2799</v>
      </c>
      <c r="H3" s="213" t="s">
        <v>31</v>
      </c>
      <c r="I3" s="214" t="s">
        <v>29</v>
      </c>
      <c r="J3" s="215">
        <v>2.5188899999999999</v>
      </c>
      <c r="K3" s="216" t="s">
        <v>267</v>
      </c>
      <c r="L3" s="217">
        <v>0.1</v>
      </c>
      <c r="M3" s="48"/>
      <c r="N3" s="48"/>
      <c r="O3" s="48"/>
      <c r="P3" s="48"/>
      <c r="Q3" s="49"/>
    </row>
    <row r="4" spans="1:17" ht="15" customHeight="1" x14ac:dyDescent="0.25">
      <c r="A4" s="212">
        <v>6561</v>
      </c>
      <c r="B4" s="212">
        <v>190</v>
      </c>
      <c r="C4" s="213" t="s">
        <v>183</v>
      </c>
      <c r="D4" s="213" t="s">
        <v>184</v>
      </c>
      <c r="E4" s="213">
        <v>16</v>
      </c>
      <c r="F4" s="213" t="s">
        <v>50</v>
      </c>
      <c r="G4" s="212">
        <v>3595</v>
      </c>
      <c r="H4" s="213" t="s">
        <v>268</v>
      </c>
      <c r="I4" s="214" t="s">
        <v>29</v>
      </c>
      <c r="J4" s="215">
        <v>0.28999999999999998</v>
      </c>
      <c r="K4" s="216" t="s">
        <v>269</v>
      </c>
      <c r="L4" s="217">
        <v>0.1</v>
      </c>
      <c r="M4" s="50"/>
      <c r="N4" s="48"/>
      <c r="O4" s="48"/>
      <c r="P4" s="48"/>
      <c r="Q4" s="49"/>
    </row>
    <row r="5" spans="1:17" ht="15" customHeight="1" x14ac:dyDescent="0.25">
      <c r="A5" s="212">
        <v>6561</v>
      </c>
      <c r="B5" s="212">
        <v>190</v>
      </c>
      <c r="C5" s="213" t="s">
        <v>183</v>
      </c>
      <c r="D5" s="213" t="s">
        <v>184</v>
      </c>
      <c r="E5" s="213">
        <v>16</v>
      </c>
      <c r="F5" s="213" t="s">
        <v>64</v>
      </c>
      <c r="G5" s="212">
        <v>69</v>
      </c>
      <c r="H5" s="213" t="s">
        <v>65</v>
      </c>
      <c r="I5" s="214" t="s">
        <v>66</v>
      </c>
      <c r="J5" s="215">
        <v>1000</v>
      </c>
      <c r="K5" s="216" t="s">
        <v>270</v>
      </c>
      <c r="L5" s="217">
        <v>0.02</v>
      </c>
      <c r="M5" s="50"/>
      <c r="N5" s="48"/>
      <c r="O5" s="48"/>
      <c r="P5" s="48"/>
      <c r="Q5" s="49"/>
    </row>
    <row r="6" spans="1:17" ht="15" customHeight="1" x14ac:dyDescent="0.25">
      <c r="A6" s="212">
        <v>6561</v>
      </c>
      <c r="B6" s="212">
        <v>190</v>
      </c>
      <c r="C6" s="213" t="s">
        <v>183</v>
      </c>
      <c r="D6" s="213" t="s">
        <v>184</v>
      </c>
      <c r="E6" s="213">
        <v>16</v>
      </c>
      <c r="F6" s="213" t="s">
        <v>88</v>
      </c>
      <c r="G6" s="212">
        <v>36</v>
      </c>
      <c r="H6" s="213" t="s">
        <v>90</v>
      </c>
      <c r="I6" s="214" t="s">
        <v>66</v>
      </c>
      <c r="J6" s="215">
        <v>5</v>
      </c>
      <c r="K6" s="216" t="s">
        <v>271</v>
      </c>
      <c r="L6" s="217">
        <v>0.1</v>
      </c>
      <c r="M6" s="50"/>
      <c r="N6" s="48"/>
      <c r="O6" s="48"/>
      <c r="P6" s="48"/>
      <c r="Q6" s="49"/>
    </row>
    <row r="7" spans="1:17" ht="15" customHeight="1" x14ac:dyDescent="0.25">
      <c r="A7" s="212">
        <v>6561</v>
      </c>
      <c r="B7" s="212">
        <v>190</v>
      </c>
      <c r="C7" s="213" t="s">
        <v>183</v>
      </c>
      <c r="D7" s="213" t="s">
        <v>184</v>
      </c>
      <c r="E7" s="213">
        <v>16</v>
      </c>
      <c r="F7" s="213" t="s">
        <v>98</v>
      </c>
      <c r="G7" s="212">
        <v>194</v>
      </c>
      <c r="H7" s="213" t="s">
        <v>99</v>
      </c>
      <c r="I7" s="214" t="s">
        <v>29</v>
      </c>
      <c r="J7" s="215">
        <v>2.6196399999999999E-3</v>
      </c>
      <c r="K7" s="216" t="s">
        <v>272</v>
      </c>
      <c r="L7" s="217">
        <v>0.1</v>
      </c>
      <c r="M7" s="48"/>
      <c r="N7" s="48"/>
      <c r="O7" s="48"/>
      <c r="P7" s="48"/>
      <c r="Q7" s="49"/>
    </row>
    <row r="8" spans="1:17" ht="15" customHeight="1" x14ac:dyDescent="0.25">
      <c r="A8" s="212">
        <v>6561</v>
      </c>
      <c r="B8" s="212">
        <v>190</v>
      </c>
      <c r="C8" s="213" t="s">
        <v>183</v>
      </c>
      <c r="D8" s="213" t="s">
        <v>184</v>
      </c>
      <c r="E8" s="213">
        <v>16</v>
      </c>
      <c r="F8" s="213" t="s">
        <v>43</v>
      </c>
      <c r="G8" s="212">
        <v>4155</v>
      </c>
      <c r="H8" s="213" t="s">
        <v>49</v>
      </c>
      <c r="I8" s="214" t="s">
        <v>46</v>
      </c>
      <c r="J8" s="215">
        <v>0.17</v>
      </c>
      <c r="K8" s="216" t="s">
        <v>273</v>
      </c>
      <c r="L8" s="217">
        <v>0.1</v>
      </c>
      <c r="M8" s="48"/>
      <c r="N8" s="48"/>
      <c r="O8" s="48"/>
      <c r="P8" s="48"/>
      <c r="Q8" s="49"/>
    </row>
    <row r="9" spans="1:17" ht="15" customHeight="1" x14ac:dyDescent="0.25">
      <c r="A9" s="212">
        <v>6561</v>
      </c>
      <c r="B9" s="212">
        <v>190</v>
      </c>
      <c r="C9" s="213" t="s">
        <v>183</v>
      </c>
      <c r="D9" s="213" t="s">
        <v>184</v>
      </c>
      <c r="E9" s="213">
        <v>16</v>
      </c>
      <c r="F9" s="213" t="s">
        <v>103</v>
      </c>
      <c r="G9" s="212">
        <v>190</v>
      </c>
      <c r="H9" s="213" t="s">
        <v>104</v>
      </c>
      <c r="I9" s="214" t="s">
        <v>46</v>
      </c>
      <c r="J9" s="215">
        <v>0.06</v>
      </c>
      <c r="K9" s="216" t="s">
        <v>274</v>
      </c>
      <c r="L9" s="217">
        <v>0.1</v>
      </c>
      <c r="M9" s="48"/>
      <c r="N9" s="48"/>
      <c r="O9" s="48"/>
      <c r="P9" s="48"/>
      <c r="Q9" s="49"/>
    </row>
    <row r="10" spans="1:17" ht="15" customHeight="1" x14ac:dyDescent="0.25">
      <c r="A10" s="212">
        <v>6561</v>
      </c>
      <c r="B10" s="212">
        <v>190</v>
      </c>
      <c r="C10" s="213" t="s">
        <v>183</v>
      </c>
      <c r="D10" s="213" t="s">
        <v>184</v>
      </c>
      <c r="E10" s="213">
        <v>16</v>
      </c>
      <c r="F10" s="213" t="s">
        <v>101</v>
      </c>
      <c r="G10" s="212">
        <v>3635</v>
      </c>
      <c r="H10" s="213" t="s">
        <v>102</v>
      </c>
      <c r="I10" s="214" t="s">
        <v>66</v>
      </c>
      <c r="J10" s="215">
        <v>0.11899999999999999</v>
      </c>
      <c r="K10" s="216" t="s">
        <v>275</v>
      </c>
      <c r="L10" s="217">
        <v>0.1</v>
      </c>
      <c r="M10" s="48"/>
      <c r="N10" s="48"/>
      <c r="O10" s="48"/>
      <c r="P10" s="48"/>
      <c r="Q10" s="49"/>
    </row>
    <row r="11" spans="1:17" ht="15" customHeight="1" x14ac:dyDescent="0.25">
      <c r="A11" s="212">
        <v>6561</v>
      </c>
      <c r="B11" s="212">
        <v>190</v>
      </c>
      <c r="C11" s="213" t="s">
        <v>183</v>
      </c>
      <c r="D11" s="213" t="s">
        <v>184</v>
      </c>
      <c r="E11" s="213">
        <v>16</v>
      </c>
      <c r="F11" s="213" t="s">
        <v>88</v>
      </c>
      <c r="G11" s="212">
        <v>200</v>
      </c>
      <c r="H11" s="213" t="s">
        <v>91</v>
      </c>
      <c r="I11" s="214" t="s">
        <v>66</v>
      </c>
      <c r="J11" s="215">
        <v>0.55000000000000004</v>
      </c>
      <c r="K11" s="216" t="s">
        <v>271</v>
      </c>
      <c r="L11" s="217">
        <v>0.1</v>
      </c>
      <c r="M11" s="48"/>
      <c r="N11" s="48"/>
      <c r="O11" s="48"/>
      <c r="P11" s="48"/>
      <c r="Q11" s="49"/>
    </row>
    <row r="12" spans="1:17" ht="15" customHeight="1" x14ac:dyDescent="0.25">
      <c r="A12" s="212">
        <v>1085</v>
      </c>
      <c r="B12" s="212">
        <v>187</v>
      </c>
      <c r="C12" s="213" t="s">
        <v>183</v>
      </c>
      <c r="D12" s="213" t="s">
        <v>187</v>
      </c>
      <c r="E12" s="213">
        <v>19</v>
      </c>
      <c r="F12" s="213" t="s">
        <v>276</v>
      </c>
      <c r="G12" s="212">
        <v>19</v>
      </c>
      <c r="H12" s="213" t="s">
        <v>34</v>
      </c>
      <c r="I12" s="214" t="s">
        <v>29</v>
      </c>
      <c r="J12" s="215">
        <v>3.367</v>
      </c>
      <c r="K12" s="216" t="s">
        <v>267</v>
      </c>
      <c r="L12" s="217">
        <v>0.1</v>
      </c>
      <c r="M12" s="50"/>
      <c r="N12" s="48"/>
      <c r="O12" s="48"/>
      <c r="P12" s="48"/>
      <c r="Q12" s="49"/>
    </row>
    <row r="13" spans="1:17" ht="15" customHeight="1" x14ac:dyDescent="0.25">
      <c r="A13" s="212">
        <v>1085</v>
      </c>
      <c r="B13" s="212">
        <v>187</v>
      </c>
      <c r="C13" s="213" t="s">
        <v>183</v>
      </c>
      <c r="D13" s="213" t="s">
        <v>187</v>
      </c>
      <c r="E13" s="213">
        <v>19</v>
      </c>
      <c r="F13" s="213" t="s">
        <v>50</v>
      </c>
      <c r="G13" s="212">
        <v>3595</v>
      </c>
      <c r="H13" s="213" t="s">
        <v>268</v>
      </c>
      <c r="I13" s="214" t="s">
        <v>29</v>
      </c>
      <c r="J13" s="215">
        <v>0.31</v>
      </c>
      <c r="K13" s="216" t="s">
        <v>269</v>
      </c>
      <c r="L13" s="217">
        <v>0.1</v>
      </c>
      <c r="M13" s="48"/>
      <c r="N13" s="48"/>
      <c r="O13" s="48"/>
      <c r="P13" s="48"/>
      <c r="Q13" s="49"/>
    </row>
    <row r="14" spans="1:17" ht="15" customHeight="1" x14ac:dyDescent="0.25">
      <c r="A14" s="212">
        <v>1085</v>
      </c>
      <c r="B14" s="212">
        <v>187</v>
      </c>
      <c r="C14" s="213" t="s">
        <v>183</v>
      </c>
      <c r="D14" s="213" t="s">
        <v>187</v>
      </c>
      <c r="E14" s="213">
        <v>19</v>
      </c>
      <c r="F14" s="213" t="s">
        <v>64</v>
      </c>
      <c r="G14" s="212">
        <v>81</v>
      </c>
      <c r="H14" s="213" t="s">
        <v>71</v>
      </c>
      <c r="I14" s="214" t="s">
        <v>66</v>
      </c>
      <c r="J14" s="215">
        <v>1000</v>
      </c>
      <c r="K14" s="216" t="s">
        <v>270</v>
      </c>
      <c r="L14" s="217">
        <v>0.02</v>
      </c>
      <c r="M14" s="50"/>
      <c r="N14" s="48"/>
      <c r="O14" s="48"/>
      <c r="P14" s="48"/>
      <c r="Q14" s="49"/>
    </row>
    <row r="15" spans="1:17" ht="15" customHeight="1" x14ac:dyDescent="0.25">
      <c r="A15" s="212">
        <v>1085</v>
      </c>
      <c r="B15" s="212">
        <v>187</v>
      </c>
      <c r="C15" s="213" t="s">
        <v>183</v>
      </c>
      <c r="D15" s="213" t="s">
        <v>187</v>
      </c>
      <c r="E15" s="213">
        <v>19</v>
      </c>
      <c r="F15" s="213" t="s">
        <v>88</v>
      </c>
      <c r="G15" s="212">
        <v>39</v>
      </c>
      <c r="H15" s="213" t="s">
        <v>92</v>
      </c>
      <c r="I15" s="214" t="s">
        <v>66</v>
      </c>
      <c r="J15" s="215">
        <v>5</v>
      </c>
      <c r="K15" s="216" t="s">
        <v>271</v>
      </c>
      <c r="L15" s="217">
        <v>0.1</v>
      </c>
      <c r="M15" s="50"/>
      <c r="N15" s="48"/>
      <c r="O15" s="48"/>
      <c r="P15" s="48"/>
      <c r="Q15" s="49"/>
    </row>
    <row r="16" spans="1:17" ht="15" customHeight="1" x14ac:dyDescent="0.25">
      <c r="A16" s="212">
        <v>1085</v>
      </c>
      <c r="B16" s="212">
        <v>187</v>
      </c>
      <c r="C16" s="213" t="s">
        <v>183</v>
      </c>
      <c r="D16" s="213" t="s">
        <v>187</v>
      </c>
      <c r="E16" s="213">
        <v>19</v>
      </c>
      <c r="F16" s="213" t="s">
        <v>98</v>
      </c>
      <c r="G16" s="212">
        <v>194</v>
      </c>
      <c r="H16" s="213" t="s">
        <v>99</v>
      </c>
      <c r="I16" s="214" t="s">
        <v>29</v>
      </c>
      <c r="J16" s="215">
        <v>3.3999999999999998E-3</v>
      </c>
      <c r="K16" s="216" t="s">
        <v>272</v>
      </c>
      <c r="L16" s="217">
        <v>0.1</v>
      </c>
      <c r="M16" s="50"/>
      <c r="N16" s="48"/>
      <c r="O16" s="48"/>
      <c r="P16" s="48"/>
      <c r="Q16" s="49"/>
    </row>
    <row r="17" spans="1:17" ht="15" customHeight="1" x14ac:dyDescent="0.25">
      <c r="A17" s="212">
        <v>1085</v>
      </c>
      <c r="B17" s="212">
        <v>187</v>
      </c>
      <c r="C17" s="213" t="s">
        <v>183</v>
      </c>
      <c r="D17" s="213" t="s">
        <v>187</v>
      </c>
      <c r="E17" s="213">
        <v>19</v>
      </c>
      <c r="F17" s="213" t="s">
        <v>101</v>
      </c>
      <c r="G17" s="212">
        <v>3635</v>
      </c>
      <c r="H17" s="213" t="s">
        <v>102</v>
      </c>
      <c r="I17" s="214" t="s">
        <v>66</v>
      </c>
      <c r="J17" s="215">
        <v>0.13800000000000001</v>
      </c>
      <c r="K17" s="216" t="s">
        <v>275</v>
      </c>
      <c r="L17" s="217">
        <v>0.1</v>
      </c>
      <c r="M17" s="48"/>
      <c r="N17" s="48"/>
      <c r="O17" s="48"/>
      <c r="P17" s="48"/>
      <c r="Q17" s="49"/>
    </row>
    <row r="18" spans="1:17" ht="15" customHeight="1" x14ac:dyDescent="0.25">
      <c r="A18" s="212">
        <v>1085</v>
      </c>
      <c r="B18" s="212">
        <v>187</v>
      </c>
      <c r="C18" s="213" t="s">
        <v>183</v>
      </c>
      <c r="D18" s="213" t="s">
        <v>187</v>
      </c>
      <c r="E18" s="213">
        <v>19</v>
      </c>
      <c r="F18" s="213" t="s">
        <v>43</v>
      </c>
      <c r="G18" s="212">
        <v>4155</v>
      </c>
      <c r="H18" s="213" t="s">
        <v>49</v>
      </c>
      <c r="I18" s="214" t="s">
        <v>46</v>
      </c>
      <c r="J18" s="215">
        <v>0.1449</v>
      </c>
      <c r="K18" s="216" t="s">
        <v>273</v>
      </c>
      <c r="L18" s="217">
        <v>0.1</v>
      </c>
      <c r="M18" s="48"/>
      <c r="N18" s="48"/>
      <c r="O18" s="48"/>
      <c r="P18" s="48"/>
      <c r="Q18" s="49"/>
    </row>
    <row r="19" spans="1:17" ht="15" customHeight="1" x14ac:dyDescent="0.25">
      <c r="A19" s="212">
        <v>6559</v>
      </c>
      <c r="B19" s="212">
        <v>188</v>
      </c>
      <c r="C19" s="213" t="s">
        <v>183</v>
      </c>
      <c r="D19" s="213" t="s">
        <v>277</v>
      </c>
      <c r="E19" s="213">
        <v>19</v>
      </c>
      <c r="F19" s="213" t="s">
        <v>276</v>
      </c>
      <c r="G19" s="212">
        <v>19</v>
      </c>
      <c r="H19" s="213" t="s">
        <v>34</v>
      </c>
      <c r="I19" s="214" t="s">
        <v>29</v>
      </c>
      <c r="J19" s="215">
        <v>3.367</v>
      </c>
      <c r="K19" s="216" t="s">
        <v>267</v>
      </c>
      <c r="L19" s="217">
        <v>0.1</v>
      </c>
      <c r="M19" s="48"/>
      <c r="N19" s="48"/>
      <c r="O19" s="48"/>
      <c r="P19" s="48"/>
      <c r="Q19" s="49"/>
    </row>
    <row r="20" spans="1:17" ht="15" customHeight="1" x14ac:dyDescent="0.25">
      <c r="A20" s="212">
        <v>6559</v>
      </c>
      <c r="B20" s="212">
        <v>188</v>
      </c>
      <c r="C20" s="213" t="s">
        <v>183</v>
      </c>
      <c r="D20" s="213" t="s">
        <v>277</v>
      </c>
      <c r="E20" s="213">
        <v>19</v>
      </c>
      <c r="F20" s="213" t="s">
        <v>50</v>
      </c>
      <c r="G20" s="212">
        <v>3595</v>
      </c>
      <c r="H20" s="213" t="s">
        <v>268</v>
      </c>
      <c r="I20" s="214" t="s">
        <v>29</v>
      </c>
      <c r="J20" s="215">
        <v>0.31</v>
      </c>
      <c r="K20" s="216" t="s">
        <v>269</v>
      </c>
      <c r="L20" s="217">
        <v>0.1</v>
      </c>
      <c r="M20" s="50"/>
      <c r="N20" s="48"/>
      <c r="O20" s="48"/>
      <c r="P20" s="48"/>
      <c r="Q20" s="49"/>
    </row>
    <row r="21" spans="1:17" ht="15" customHeight="1" x14ac:dyDescent="0.25">
      <c r="A21" s="212">
        <v>6559</v>
      </c>
      <c r="B21" s="212">
        <v>188</v>
      </c>
      <c r="C21" s="213" t="s">
        <v>183</v>
      </c>
      <c r="D21" s="213" t="s">
        <v>277</v>
      </c>
      <c r="E21" s="213">
        <v>19</v>
      </c>
      <c r="F21" s="213" t="s">
        <v>64</v>
      </c>
      <c r="G21" s="212">
        <v>81</v>
      </c>
      <c r="H21" s="213" t="s">
        <v>71</v>
      </c>
      <c r="I21" s="214" t="s">
        <v>66</v>
      </c>
      <c r="J21" s="215">
        <v>1000</v>
      </c>
      <c r="K21" s="216" t="s">
        <v>270</v>
      </c>
      <c r="L21" s="217">
        <v>0.02</v>
      </c>
      <c r="M21" s="50"/>
      <c r="N21" s="48"/>
      <c r="O21" s="48"/>
      <c r="P21" s="48"/>
      <c r="Q21" s="49"/>
    </row>
    <row r="22" spans="1:17" ht="15" customHeight="1" x14ac:dyDescent="0.25">
      <c r="A22" s="212">
        <v>6559</v>
      </c>
      <c r="B22" s="212">
        <v>188</v>
      </c>
      <c r="C22" s="213" t="s">
        <v>183</v>
      </c>
      <c r="D22" s="213" t="s">
        <v>277</v>
      </c>
      <c r="E22" s="213">
        <v>19</v>
      </c>
      <c r="F22" s="213" t="s">
        <v>88</v>
      </c>
      <c r="G22" s="212">
        <v>39</v>
      </c>
      <c r="H22" s="213" t="s">
        <v>92</v>
      </c>
      <c r="I22" s="214" t="s">
        <v>66</v>
      </c>
      <c r="J22" s="215">
        <v>5</v>
      </c>
      <c r="K22" s="216" t="s">
        <v>271</v>
      </c>
      <c r="L22" s="217">
        <v>0.1</v>
      </c>
      <c r="M22" s="48"/>
      <c r="N22" s="48"/>
      <c r="O22" s="48"/>
      <c r="P22" s="48"/>
      <c r="Q22" s="49"/>
    </row>
    <row r="23" spans="1:17" ht="15" customHeight="1" x14ac:dyDescent="0.25">
      <c r="A23" s="212">
        <v>6559</v>
      </c>
      <c r="B23" s="212">
        <v>188</v>
      </c>
      <c r="C23" s="213" t="s">
        <v>183</v>
      </c>
      <c r="D23" s="213" t="s">
        <v>277</v>
      </c>
      <c r="E23" s="213">
        <v>19</v>
      </c>
      <c r="F23" s="213" t="s">
        <v>98</v>
      </c>
      <c r="G23" s="212">
        <v>194</v>
      </c>
      <c r="H23" s="213" t="s">
        <v>99</v>
      </c>
      <c r="I23" s="214" t="s">
        <v>29</v>
      </c>
      <c r="J23" s="215">
        <v>3.3999999999999998E-3</v>
      </c>
      <c r="K23" s="216" t="s">
        <v>272</v>
      </c>
      <c r="L23" s="217">
        <v>0.1</v>
      </c>
      <c r="M23" s="50"/>
      <c r="N23" s="48"/>
      <c r="O23" s="48"/>
      <c r="P23" s="48"/>
      <c r="Q23" s="49"/>
    </row>
    <row r="24" spans="1:17" ht="15" customHeight="1" x14ac:dyDescent="0.25">
      <c r="A24" s="212">
        <v>6559</v>
      </c>
      <c r="B24" s="212">
        <v>188</v>
      </c>
      <c r="C24" s="213" t="s">
        <v>183</v>
      </c>
      <c r="D24" s="213" t="s">
        <v>277</v>
      </c>
      <c r="E24" s="213">
        <v>19</v>
      </c>
      <c r="F24" s="213" t="s">
        <v>101</v>
      </c>
      <c r="G24" s="212">
        <v>3635</v>
      </c>
      <c r="H24" s="213" t="s">
        <v>102</v>
      </c>
      <c r="I24" s="214" t="s">
        <v>66</v>
      </c>
      <c r="J24" s="215">
        <v>0.13800000000000001</v>
      </c>
      <c r="K24" s="216" t="s">
        <v>275</v>
      </c>
      <c r="L24" s="217">
        <v>0.1</v>
      </c>
      <c r="M24" s="50"/>
      <c r="N24" s="48"/>
      <c r="O24" s="48"/>
      <c r="P24" s="48"/>
      <c r="Q24" s="49"/>
    </row>
    <row r="25" spans="1:17" ht="15" customHeight="1" x14ac:dyDescent="0.25">
      <c r="A25" s="212">
        <v>6559</v>
      </c>
      <c r="B25" s="212">
        <v>188</v>
      </c>
      <c r="C25" s="213" t="s">
        <v>183</v>
      </c>
      <c r="D25" s="213" t="s">
        <v>277</v>
      </c>
      <c r="E25" s="213">
        <v>19</v>
      </c>
      <c r="F25" s="213" t="s">
        <v>43</v>
      </c>
      <c r="G25" s="212">
        <v>4155</v>
      </c>
      <c r="H25" s="213" t="s">
        <v>49</v>
      </c>
      <c r="I25" s="214" t="s">
        <v>46</v>
      </c>
      <c r="J25" s="215">
        <v>0.1449</v>
      </c>
      <c r="K25" s="216" t="s">
        <v>273</v>
      </c>
      <c r="L25" s="217">
        <v>0.1</v>
      </c>
      <c r="M25" s="50"/>
      <c r="N25" s="48"/>
      <c r="O25" s="48"/>
      <c r="P25" s="48"/>
      <c r="Q25" s="49"/>
    </row>
    <row r="26" spans="1:17" ht="15" customHeight="1" x14ac:dyDescent="0.25">
      <c r="A26" s="212">
        <v>6560</v>
      </c>
      <c r="B26" s="212">
        <v>189</v>
      </c>
      <c r="C26" s="213" t="s">
        <v>183</v>
      </c>
      <c r="D26" s="213" t="s">
        <v>188</v>
      </c>
      <c r="E26" s="213">
        <v>19</v>
      </c>
      <c r="F26" s="213" t="s">
        <v>276</v>
      </c>
      <c r="G26" s="212">
        <v>19</v>
      </c>
      <c r="H26" s="213" t="s">
        <v>34</v>
      </c>
      <c r="I26" s="214" t="s">
        <v>29</v>
      </c>
      <c r="J26" s="215">
        <v>3.367</v>
      </c>
      <c r="K26" s="216" t="s">
        <v>267</v>
      </c>
      <c r="L26" s="217">
        <v>0.1</v>
      </c>
      <c r="M26" s="48"/>
      <c r="N26" s="48"/>
      <c r="O26" s="48"/>
      <c r="P26" s="48"/>
      <c r="Q26" s="49"/>
    </row>
    <row r="27" spans="1:17" ht="15" customHeight="1" x14ac:dyDescent="0.25">
      <c r="A27" s="212">
        <v>6560</v>
      </c>
      <c r="B27" s="212">
        <v>189</v>
      </c>
      <c r="C27" s="213" t="s">
        <v>183</v>
      </c>
      <c r="D27" s="213" t="s">
        <v>188</v>
      </c>
      <c r="E27" s="213">
        <v>19</v>
      </c>
      <c r="F27" s="213" t="s">
        <v>50</v>
      </c>
      <c r="G27" s="212">
        <v>3595</v>
      </c>
      <c r="H27" s="213" t="s">
        <v>268</v>
      </c>
      <c r="I27" s="214" t="s">
        <v>29</v>
      </c>
      <c r="J27" s="215">
        <v>0.31</v>
      </c>
      <c r="K27" s="216" t="s">
        <v>269</v>
      </c>
      <c r="L27" s="217">
        <v>0.1</v>
      </c>
      <c r="M27" s="48"/>
      <c r="N27" s="48"/>
      <c r="O27" s="48"/>
      <c r="P27" s="48"/>
      <c r="Q27" s="49"/>
    </row>
    <row r="28" spans="1:17" ht="15" customHeight="1" x14ac:dyDescent="0.25">
      <c r="A28" s="212">
        <v>6560</v>
      </c>
      <c r="B28" s="212">
        <v>189</v>
      </c>
      <c r="C28" s="213" t="s">
        <v>183</v>
      </c>
      <c r="D28" s="213" t="s">
        <v>188</v>
      </c>
      <c r="E28" s="213">
        <v>19</v>
      </c>
      <c r="F28" s="213" t="s">
        <v>64</v>
      </c>
      <c r="G28" s="212">
        <v>81</v>
      </c>
      <c r="H28" s="213" t="s">
        <v>71</v>
      </c>
      <c r="I28" s="214" t="s">
        <v>66</v>
      </c>
      <c r="J28" s="215">
        <v>1000</v>
      </c>
      <c r="K28" s="216" t="s">
        <v>270</v>
      </c>
      <c r="L28" s="217">
        <v>0.02</v>
      </c>
      <c r="M28" s="48"/>
      <c r="N28" s="48"/>
      <c r="O28" s="48"/>
      <c r="P28" s="48"/>
      <c r="Q28" s="49"/>
    </row>
    <row r="29" spans="1:17" ht="15" customHeight="1" x14ac:dyDescent="0.25">
      <c r="A29" s="212">
        <v>6560</v>
      </c>
      <c r="B29" s="212">
        <v>189</v>
      </c>
      <c r="C29" s="213" t="s">
        <v>183</v>
      </c>
      <c r="D29" s="213" t="s">
        <v>188</v>
      </c>
      <c r="E29" s="213">
        <v>19</v>
      </c>
      <c r="F29" s="213" t="s">
        <v>88</v>
      </c>
      <c r="G29" s="212">
        <v>39</v>
      </c>
      <c r="H29" s="213" t="s">
        <v>92</v>
      </c>
      <c r="I29" s="214" t="s">
        <v>66</v>
      </c>
      <c r="J29" s="215">
        <v>5</v>
      </c>
      <c r="K29" s="216" t="s">
        <v>271</v>
      </c>
      <c r="L29" s="217">
        <v>0.1</v>
      </c>
      <c r="M29" s="50"/>
      <c r="N29" s="48"/>
      <c r="O29" s="48"/>
      <c r="P29" s="48"/>
      <c r="Q29" s="49"/>
    </row>
    <row r="30" spans="1:17" ht="15" customHeight="1" x14ac:dyDescent="0.25">
      <c r="A30" s="212">
        <v>6560</v>
      </c>
      <c r="B30" s="212">
        <v>189</v>
      </c>
      <c r="C30" s="213" t="s">
        <v>183</v>
      </c>
      <c r="D30" s="213" t="s">
        <v>188</v>
      </c>
      <c r="E30" s="213">
        <v>19</v>
      </c>
      <c r="F30" s="213" t="s">
        <v>98</v>
      </c>
      <c r="G30" s="212">
        <v>194</v>
      </c>
      <c r="H30" s="213" t="s">
        <v>99</v>
      </c>
      <c r="I30" s="214" t="s">
        <v>29</v>
      </c>
      <c r="J30" s="215">
        <v>3.3999999999999998E-3</v>
      </c>
      <c r="K30" s="216" t="s">
        <v>272</v>
      </c>
      <c r="L30" s="217">
        <v>0.1</v>
      </c>
      <c r="M30" s="50"/>
      <c r="N30" s="48"/>
      <c r="O30" s="48"/>
      <c r="P30" s="48"/>
      <c r="Q30" s="49"/>
    </row>
    <row r="31" spans="1:17" ht="15" customHeight="1" x14ac:dyDescent="0.25">
      <c r="A31" s="212">
        <v>6560</v>
      </c>
      <c r="B31" s="212">
        <v>189</v>
      </c>
      <c r="C31" s="213" t="s">
        <v>183</v>
      </c>
      <c r="D31" s="213" t="s">
        <v>188</v>
      </c>
      <c r="E31" s="213">
        <v>19</v>
      </c>
      <c r="F31" s="213" t="s">
        <v>101</v>
      </c>
      <c r="G31" s="212">
        <v>3635</v>
      </c>
      <c r="H31" s="213" t="s">
        <v>102</v>
      </c>
      <c r="I31" s="214" t="s">
        <v>66</v>
      </c>
      <c r="J31" s="215">
        <v>0.13800000000000001</v>
      </c>
      <c r="K31" s="216" t="s">
        <v>275</v>
      </c>
      <c r="L31" s="217">
        <v>0.1</v>
      </c>
      <c r="M31" s="48"/>
      <c r="N31" s="48"/>
      <c r="O31" s="48"/>
      <c r="P31" s="48"/>
      <c r="Q31" s="49"/>
    </row>
    <row r="32" spans="1:17" ht="15" customHeight="1" x14ac:dyDescent="0.25">
      <c r="A32" s="212">
        <v>6560</v>
      </c>
      <c r="B32" s="212">
        <v>189</v>
      </c>
      <c r="C32" s="213" t="s">
        <v>183</v>
      </c>
      <c r="D32" s="213" t="s">
        <v>188</v>
      </c>
      <c r="E32" s="213">
        <v>19</v>
      </c>
      <c r="F32" s="213" t="s">
        <v>43</v>
      </c>
      <c r="G32" s="212">
        <v>4155</v>
      </c>
      <c r="H32" s="213" t="s">
        <v>49</v>
      </c>
      <c r="I32" s="214" t="s">
        <v>46</v>
      </c>
      <c r="J32" s="215">
        <v>0.1449</v>
      </c>
      <c r="K32" s="216" t="s">
        <v>273</v>
      </c>
      <c r="L32" s="217">
        <v>0.1</v>
      </c>
      <c r="M32" s="50"/>
      <c r="N32" s="48"/>
      <c r="O32" s="48"/>
      <c r="P32" s="48"/>
      <c r="Q32" s="49"/>
    </row>
    <row r="33" spans="1:17" ht="15" customHeight="1" x14ac:dyDescent="0.25">
      <c r="A33" s="212">
        <v>6077</v>
      </c>
      <c r="B33" s="212">
        <v>138</v>
      </c>
      <c r="C33" s="213" t="s">
        <v>13</v>
      </c>
      <c r="D33" s="213" t="s">
        <v>190</v>
      </c>
      <c r="E33" s="213">
        <v>20.5</v>
      </c>
      <c r="F33" s="213" t="s">
        <v>27</v>
      </c>
      <c r="G33" s="212">
        <v>4179</v>
      </c>
      <c r="H33" s="213" t="s">
        <v>35</v>
      </c>
      <c r="I33" s="214" t="s">
        <v>29</v>
      </c>
      <c r="J33" s="215">
        <v>3.9369999999999998</v>
      </c>
      <c r="K33" s="216" t="s">
        <v>267</v>
      </c>
      <c r="L33" s="217">
        <v>0.1</v>
      </c>
      <c r="M33" s="50"/>
      <c r="N33" s="48"/>
      <c r="O33" s="48"/>
      <c r="P33" s="48"/>
      <c r="Q33" s="49"/>
    </row>
    <row r="34" spans="1:17" ht="15" customHeight="1" x14ac:dyDescent="0.25">
      <c r="A34" s="212">
        <v>6077</v>
      </c>
      <c r="B34" s="212">
        <v>138</v>
      </c>
      <c r="C34" s="213" t="s">
        <v>13</v>
      </c>
      <c r="D34" s="213" t="s">
        <v>190</v>
      </c>
      <c r="E34" s="213">
        <v>20.5</v>
      </c>
      <c r="F34" s="213" t="s">
        <v>50</v>
      </c>
      <c r="G34" s="212">
        <v>3595</v>
      </c>
      <c r="H34" s="213" t="s">
        <v>268</v>
      </c>
      <c r="I34" s="214" t="s">
        <v>29</v>
      </c>
      <c r="J34" s="215">
        <v>0.31</v>
      </c>
      <c r="K34" s="216" t="s">
        <v>269</v>
      </c>
      <c r="L34" s="217">
        <v>0.1</v>
      </c>
      <c r="M34" s="50"/>
      <c r="N34" s="48"/>
      <c r="O34" s="48"/>
      <c r="P34" s="48"/>
      <c r="Q34" s="49"/>
    </row>
    <row r="35" spans="1:17" ht="15" customHeight="1" x14ac:dyDescent="0.25">
      <c r="A35" s="212">
        <v>6077</v>
      </c>
      <c r="B35" s="212">
        <v>138</v>
      </c>
      <c r="C35" s="213" t="s">
        <v>13</v>
      </c>
      <c r="D35" s="213" t="s">
        <v>190</v>
      </c>
      <c r="E35" s="213">
        <v>20.5</v>
      </c>
      <c r="F35" s="213" t="s">
        <v>64</v>
      </c>
      <c r="G35" s="212">
        <v>7370</v>
      </c>
      <c r="H35" s="213" t="s">
        <v>79</v>
      </c>
      <c r="I35" s="214" t="s">
        <v>66</v>
      </c>
      <c r="J35" s="215">
        <v>1000</v>
      </c>
      <c r="K35" s="216" t="s">
        <v>270</v>
      </c>
      <c r="L35" s="217">
        <v>0.02</v>
      </c>
      <c r="M35" s="48"/>
      <c r="N35" s="48"/>
      <c r="O35" s="48"/>
      <c r="P35" s="48"/>
      <c r="Q35" s="49"/>
    </row>
    <row r="36" spans="1:17" ht="15" customHeight="1" x14ac:dyDescent="0.25">
      <c r="A36" s="212">
        <v>6077</v>
      </c>
      <c r="B36" s="212">
        <v>138</v>
      </c>
      <c r="C36" s="213" t="s">
        <v>13</v>
      </c>
      <c r="D36" s="213" t="s">
        <v>190</v>
      </c>
      <c r="E36" s="213">
        <v>20.5</v>
      </c>
      <c r="F36" s="213" t="s">
        <v>88</v>
      </c>
      <c r="G36" s="212">
        <v>3619</v>
      </c>
      <c r="H36" s="213" t="s">
        <v>93</v>
      </c>
      <c r="I36" s="214" t="s">
        <v>66</v>
      </c>
      <c r="J36" s="215">
        <v>1.7</v>
      </c>
      <c r="K36" s="216" t="s">
        <v>271</v>
      </c>
      <c r="L36" s="217">
        <v>0.1</v>
      </c>
      <c r="M36" s="48"/>
      <c r="N36" s="48"/>
      <c r="O36" s="48"/>
      <c r="P36" s="48"/>
      <c r="Q36" s="49"/>
    </row>
    <row r="37" spans="1:17" ht="15" customHeight="1" x14ac:dyDescent="0.25">
      <c r="A37" s="212">
        <v>6077</v>
      </c>
      <c r="B37" s="212">
        <v>138</v>
      </c>
      <c r="C37" s="213" t="s">
        <v>13</v>
      </c>
      <c r="D37" s="213" t="s">
        <v>190</v>
      </c>
      <c r="E37" s="213">
        <v>20.5</v>
      </c>
      <c r="F37" s="213" t="s">
        <v>98</v>
      </c>
      <c r="G37" s="212">
        <v>194</v>
      </c>
      <c r="H37" s="213" t="s">
        <v>99</v>
      </c>
      <c r="I37" s="214" t="s">
        <v>29</v>
      </c>
      <c r="J37" s="215">
        <v>3.3999999999999998E-3</v>
      </c>
      <c r="K37" s="216" t="s">
        <v>278</v>
      </c>
      <c r="L37" s="217">
        <v>0.1</v>
      </c>
      <c r="M37" s="48"/>
      <c r="N37" s="48"/>
      <c r="O37" s="48"/>
      <c r="P37" s="48"/>
      <c r="Q37" s="49"/>
    </row>
    <row r="38" spans="1:17" ht="15" customHeight="1" x14ac:dyDescent="0.25">
      <c r="A38" s="212">
        <v>6077</v>
      </c>
      <c r="B38" s="212">
        <v>138</v>
      </c>
      <c r="C38" s="213" t="s">
        <v>13</v>
      </c>
      <c r="D38" s="213" t="s">
        <v>190</v>
      </c>
      <c r="E38" s="213">
        <v>20.5</v>
      </c>
      <c r="F38" s="213" t="s">
        <v>43</v>
      </c>
      <c r="G38" s="212">
        <v>4155</v>
      </c>
      <c r="H38" s="213" t="s">
        <v>49</v>
      </c>
      <c r="I38" s="214" t="s">
        <v>29</v>
      </c>
      <c r="J38" s="215">
        <v>0.1449</v>
      </c>
      <c r="K38" s="216" t="s">
        <v>273</v>
      </c>
      <c r="L38" s="217">
        <v>0.1</v>
      </c>
      <c r="M38" s="50"/>
      <c r="N38" s="48"/>
      <c r="O38" s="48"/>
      <c r="P38" s="48"/>
      <c r="Q38" s="49"/>
    </row>
    <row r="39" spans="1:17" ht="15" customHeight="1" x14ac:dyDescent="0.25">
      <c r="A39" s="212">
        <v>6077</v>
      </c>
      <c r="B39" s="212">
        <v>138</v>
      </c>
      <c r="C39" s="213" t="s">
        <v>13</v>
      </c>
      <c r="D39" s="213" t="s">
        <v>190</v>
      </c>
      <c r="E39" s="213">
        <v>20.5</v>
      </c>
      <c r="F39" s="213" t="s">
        <v>101</v>
      </c>
      <c r="G39" s="212">
        <v>3635</v>
      </c>
      <c r="H39" s="213" t="s">
        <v>102</v>
      </c>
      <c r="I39" s="214" t="s">
        <v>66</v>
      </c>
      <c r="J39" s="215">
        <v>5.8999999999999997E-2</v>
      </c>
      <c r="K39" s="216" t="s">
        <v>279</v>
      </c>
      <c r="L39" s="217">
        <v>0.1</v>
      </c>
      <c r="M39" s="50"/>
      <c r="N39" s="48"/>
      <c r="O39" s="48"/>
      <c r="P39" s="48"/>
      <c r="Q39" s="49"/>
    </row>
    <row r="40" spans="1:17" ht="15" customHeight="1" x14ac:dyDescent="0.25">
      <c r="A40" s="212">
        <v>5698</v>
      </c>
      <c r="B40" s="212">
        <v>22</v>
      </c>
      <c r="C40" s="213" t="s">
        <v>128</v>
      </c>
      <c r="D40" s="213" t="s">
        <v>192</v>
      </c>
      <c r="E40" s="213">
        <v>20.5</v>
      </c>
      <c r="F40" s="213" t="s">
        <v>27</v>
      </c>
      <c r="G40" s="212">
        <v>4179</v>
      </c>
      <c r="H40" s="213" t="s">
        <v>35</v>
      </c>
      <c r="I40" s="214" t="s">
        <v>29</v>
      </c>
      <c r="J40" s="215">
        <v>3.9369999999999998</v>
      </c>
      <c r="K40" s="216" t="s">
        <v>267</v>
      </c>
      <c r="L40" s="217">
        <v>0.1</v>
      </c>
      <c r="M40" s="48"/>
      <c r="N40" s="48"/>
      <c r="O40" s="48"/>
      <c r="P40" s="48"/>
      <c r="Q40" s="49"/>
    </row>
    <row r="41" spans="1:17" ht="15" customHeight="1" x14ac:dyDescent="0.25">
      <c r="A41" s="212">
        <v>5698</v>
      </c>
      <c r="B41" s="212">
        <v>22</v>
      </c>
      <c r="C41" s="213" t="s">
        <v>128</v>
      </c>
      <c r="D41" s="213" t="s">
        <v>192</v>
      </c>
      <c r="E41" s="213">
        <v>20.5</v>
      </c>
      <c r="F41" s="213" t="s">
        <v>50</v>
      </c>
      <c r="G41" s="212">
        <v>3595</v>
      </c>
      <c r="H41" s="213" t="s">
        <v>268</v>
      </c>
      <c r="I41" s="214" t="s">
        <v>29</v>
      </c>
      <c r="J41" s="215">
        <v>0.38500000000000001</v>
      </c>
      <c r="K41" s="216" t="s">
        <v>269</v>
      </c>
      <c r="L41" s="217">
        <v>0.1</v>
      </c>
      <c r="M41" s="50"/>
      <c r="N41" s="48"/>
      <c r="O41" s="48"/>
      <c r="P41" s="48"/>
      <c r="Q41" s="49"/>
    </row>
    <row r="42" spans="1:17" ht="15" customHeight="1" x14ac:dyDescent="0.25">
      <c r="A42" s="212">
        <v>5698</v>
      </c>
      <c r="B42" s="212">
        <v>22</v>
      </c>
      <c r="C42" s="213" t="s">
        <v>128</v>
      </c>
      <c r="D42" s="213" t="s">
        <v>192</v>
      </c>
      <c r="E42" s="213">
        <v>20.5</v>
      </c>
      <c r="F42" s="213" t="s">
        <v>64</v>
      </c>
      <c r="G42" s="212">
        <v>6971</v>
      </c>
      <c r="H42" s="213" t="s">
        <v>78</v>
      </c>
      <c r="I42" s="214" t="s">
        <v>66</v>
      </c>
      <c r="J42" s="215">
        <v>1000</v>
      </c>
      <c r="K42" s="216" t="s">
        <v>270</v>
      </c>
      <c r="L42" s="217">
        <v>0.02</v>
      </c>
      <c r="M42" s="50"/>
      <c r="N42" s="48"/>
      <c r="O42" s="48"/>
      <c r="P42" s="48"/>
      <c r="Q42" s="49"/>
    </row>
    <row r="43" spans="1:17" ht="15" customHeight="1" x14ac:dyDescent="0.25">
      <c r="A43" s="212">
        <v>5698</v>
      </c>
      <c r="B43" s="212">
        <v>22</v>
      </c>
      <c r="C43" s="213" t="s">
        <v>128</v>
      </c>
      <c r="D43" s="213" t="s">
        <v>192</v>
      </c>
      <c r="E43" s="213">
        <v>20.5</v>
      </c>
      <c r="F43" s="213" t="s">
        <v>88</v>
      </c>
      <c r="G43" s="212">
        <v>3619</v>
      </c>
      <c r="H43" s="213" t="s">
        <v>93</v>
      </c>
      <c r="I43" s="214" t="s">
        <v>66</v>
      </c>
      <c r="J43" s="215">
        <v>2.976</v>
      </c>
      <c r="K43" s="216" t="s">
        <v>271</v>
      </c>
      <c r="L43" s="217">
        <v>0.1</v>
      </c>
      <c r="M43" s="48"/>
      <c r="N43" s="48"/>
      <c r="O43" s="48"/>
      <c r="P43" s="48"/>
      <c r="Q43" s="49"/>
    </row>
    <row r="44" spans="1:17" ht="15" customHeight="1" x14ac:dyDescent="0.25">
      <c r="A44" s="212">
        <v>5698</v>
      </c>
      <c r="B44" s="212">
        <v>22</v>
      </c>
      <c r="C44" s="213" t="s">
        <v>128</v>
      </c>
      <c r="D44" s="213" t="s">
        <v>192</v>
      </c>
      <c r="E44" s="213">
        <v>20.5</v>
      </c>
      <c r="F44" s="213" t="s">
        <v>98</v>
      </c>
      <c r="G44" s="212">
        <v>194</v>
      </c>
      <c r="H44" s="213" t="s">
        <v>99</v>
      </c>
      <c r="I44" s="214" t="s">
        <v>29</v>
      </c>
      <c r="J44" s="215">
        <v>4.0899999999999999E-3</v>
      </c>
      <c r="K44" s="216" t="s">
        <v>272</v>
      </c>
      <c r="L44" s="217">
        <v>0.1</v>
      </c>
      <c r="M44" s="48"/>
      <c r="N44" s="48"/>
      <c r="O44" s="48"/>
      <c r="P44" s="48"/>
      <c r="Q44" s="49"/>
    </row>
    <row r="45" spans="1:17" ht="15" customHeight="1" x14ac:dyDescent="0.25">
      <c r="A45" s="212">
        <v>5698</v>
      </c>
      <c r="B45" s="212">
        <v>22</v>
      </c>
      <c r="C45" s="213" t="s">
        <v>128</v>
      </c>
      <c r="D45" s="213" t="s">
        <v>192</v>
      </c>
      <c r="E45" s="213">
        <v>20.5</v>
      </c>
      <c r="F45" s="213" t="s">
        <v>43</v>
      </c>
      <c r="G45" s="212">
        <v>4155</v>
      </c>
      <c r="H45" s="213" t="s">
        <v>49</v>
      </c>
      <c r="I45" s="214" t="s">
        <v>46</v>
      </c>
      <c r="J45" s="215">
        <v>0.24</v>
      </c>
      <c r="K45" s="216" t="s">
        <v>273</v>
      </c>
      <c r="L45" s="217">
        <v>0.1</v>
      </c>
      <c r="M45" s="48"/>
      <c r="N45" s="48"/>
      <c r="O45" s="48"/>
      <c r="P45" s="48"/>
      <c r="Q45" s="49"/>
    </row>
    <row r="46" spans="1:17" ht="15" customHeight="1" x14ac:dyDescent="0.25">
      <c r="A46" s="212">
        <v>5698</v>
      </c>
      <c r="B46" s="212">
        <v>22</v>
      </c>
      <c r="C46" s="213" t="s">
        <v>128</v>
      </c>
      <c r="D46" s="213" t="s">
        <v>192</v>
      </c>
      <c r="E46" s="213">
        <v>20.5</v>
      </c>
      <c r="F46" s="213" t="s">
        <v>101</v>
      </c>
      <c r="G46" s="212">
        <v>3635</v>
      </c>
      <c r="H46" s="213" t="s">
        <v>102</v>
      </c>
      <c r="I46" s="214" t="s">
        <v>66</v>
      </c>
      <c r="J46" s="215">
        <v>5.8999999999999997E-2</v>
      </c>
      <c r="K46" s="216" t="s">
        <v>275</v>
      </c>
      <c r="L46" s="217">
        <v>0.1</v>
      </c>
      <c r="M46" s="50"/>
      <c r="N46" s="48"/>
      <c r="O46" s="48"/>
      <c r="P46" s="48"/>
      <c r="Q46" s="49"/>
    </row>
    <row r="47" spans="1:17" ht="15" customHeight="1" x14ac:dyDescent="0.25">
      <c r="A47" s="212">
        <v>5699</v>
      </c>
      <c r="B47" s="212">
        <v>21</v>
      </c>
      <c r="C47" s="213" t="s">
        <v>128</v>
      </c>
      <c r="D47" s="213" t="s">
        <v>189</v>
      </c>
      <c r="E47" s="213">
        <v>20.5</v>
      </c>
      <c r="F47" s="213" t="s">
        <v>27</v>
      </c>
      <c r="G47" s="212">
        <v>4179</v>
      </c>
      <c r="H47" s="213" t="s">
        <v>35</v>
      </c>
      <c r="I47" s="214" t="s">
        <v>29</v>
      </c>
      <c r="J47" s="215">
        <v>3.9369999999999998</v>
      </c>
      <c r="K47" s="216" t="s">
        <v>267</v>
      </c>
      <c r="L47" s="217">
        <v>0.1</v>
      </c>
      <c r="M47" s="48"/>
      <c r="N47" s="48"/>
      <c r="O47" s="48"/>
      <c r="P47" s="48"/>
      <c r="Q47" s="49"/>
    </row>
    <row r="48" spans="1:17" ht="15" customHeight="1" x14ac:dyDescent="0.25">
      <c r="A48" s="212">
        <v>5699</v>
      </c>
      <c r="B48" s="212">
        <v>21</v>
      </c>
      <c r="C48" s="213" t="s">
        <v>128</v>
      </c>
      <c r="D48" s="213" t="s">
        <v>189</v>
      </c>
      <c r="E48" s="213">
        <v>20.5</v>
      </c>
      <c r="F48" s="213" t="s">
        <v>50</v>
      </c>
      <c r="G48" s="212">
        <v>3595</v>
      </c>
      <c r="H48" s="213" t="s">
        <v>268</v>
      </c>
      <c r="I48" s="214" t="s">
        <v>29</v>
      </c>
      <c r="J48" s="215">
        <v>0.38500000000000001</v>
      </c>
      <c r="K48" s="216" t="s">
        <v>269</v>
      </c>
      <c r="L48" s="217">
        <v>0.1</v>
      </c>
      <c r="M48" s="50"/>
      <c r="N48" s="48"/>
      <c r="O48" s="48"/>
      <c r="P48" s="48"/>
      <c r="Q48" s="49"/>
    </row>
    <row r="49" spans="1:17" ht="15" customHeight="1" x14ac:dyDescent="0.25">
      <c r="A49" s="212">
        <v>5699</v>
      </c>
      <c r="B49" s="212">
        <v>21</v>
      </c>
      <c r="C49" s="213" t="s">
        <v>128</v>
      </c>
      <c r="D49" s="213" t="s">
        <v>189</v>
      </c>
      <c r="E49" s="213">
        <v>20.5</v>
      </c>
      <c r="F49" s="213" t="s">
        <v>64</v>
      </c>
      <c r="G49" s="212">
        <v>6971</v>
      </c>
      <c r="H49" s="213" t="s">
        <v>78</v>
      </c>
      <c r="I49" s="214" t="s">
        <v>66</v>
      </c>
      <c r="J49" s="215">
        <v>1000</v>
      </c>
      <c r="K49" s="216" t="s">
        <v>270</v>
      </c>
      <c r="L49" s="217">
        <v>0.02</v>
      </c>
      <c r="M49" s="50"/>
      <c r="N49" s="48"/>
      <c r="O49" s="48"/>
      <c r="P49" s="48"/>
      <c r="Q49" s="49"/>
    </row>
    <row r="50" spans="1:17" ht="15" customHeight="1" x14ac:dyDescent="0.25">
      <c r="A50" s="212">
        <v>5699</v>
      </c>
      <c r="B50" s="212">
        <v>21</v>
      </c>
      <c r="C50" s="213" t="s">
        <v>128</v>
      </c>
      <c r="D50" s="213" t="s">
        <v>189</v>
      </c>
      <c r="E50" s="213">
        <v>20.5</v>
      </c>
      <c r="F50" s="213" t="s">
        <v>88</v>
      </c>
      <c r="G50" s="212">
        <v>3619</v>
      </c>
      <c r="H50" s="213" t="s">
        <v>93</v>
      </c>
      <c r="I50" s="214" t="s">
        <v>66</v>
      </c>
      <c r="J50" s="215">
        <v>1.9607000000000001</v>
      </c>
      <c r="K50" s="216" t="s">
        <v>271</v>
      </c>
      <c r="L50" s="217">
        <v>0.1</v>
      </c>
      <c r="M50" s="48"/>
      <c r="N50" s="48"/>
      <c r="O50" s="48"/>
      <c r="P50" s="48"/>
      <c r="Q50" s="49"/>
    </row>
    <row r="51" spans="1:17" ht="15" customHeight="1" x14ac:dyDescent="0.25">
      <c r="A51" s="212">
        <v>5699</v>
      </c>
      <c r="B51" s="212">
        <v>21</v>
      </c>
      <c r="C51" s="213" t="s">
        <v>128</v>
      </c>
      <c r="D51" s="213" t="s">
        <v>189</v>
      </c>
      <c r="E51" s="213">
        <v>20.5</v>
      </c>
      <c r="F51" s="213" t="s">
        <v>98</v>
      </c>
      <c r="G51" s="212">
        <v>194</v>
      </c>
      <c r="H51" s="213" t="s">
        <v>99</v>
      </c>
      <c r="I51" s="214" t="s">
        <v>29</v>
      </c>
      <c r="J51" s="215">
        <v>4.0899999999999999E-3</v>
      </c>
      <c r="K51" s="216" t="s">
        <v>272</v>
      </c>
      <c r="L51" s="217">
        <v>0.1</v>
      </c>
      <c r="M51" s="48"/>
      <c r="N51" s="48"/>
      <c r="O51" s="48"/>
      <c r="P51" s="48"/>
      <c r="Q51" s="49"/>
    </row>
    <row r="52" spans="1:17" ht="15" customHeight="1" x14ac:dyDescent="0.25">
      <c r="A52" s="212">
        <v>5699</v>
      </c>
      <c r="B52" s="212">
        <v>21</v>
      </c>
      <c r="C52" s="213" t="s">
        <v>128</v>
      </c>
      <c r="D52" s="213" t="s">
        <v>189</v>
      </c>
      <c r="E52" s="213">
        <v>20.5</v>
      </c>
      <c r="F52" s="213" t="s">
        <v>43</v>
      </c>
      <c r="G52" s="212">
        <v>4155</v>
      </c>
      <c r="H52" s="213" t="s">
        <v>49</v>
      </c>
      <c r="I52" s="214" t="s">
        <v>46</v>
      </c>
      <c r="J52" s="215">
        <v>0.24</v>
      </c>
      <c r="K52" s="216" t="s">
        <v>273</v>
      </c>
      <c r="L52" s="217">
        <v>0.1</v>
      </c>
      <c r="M52" s="48"/>
      <c r="N52" s="48"/>
      <c r="O52" s="48"/>
      <c r="P52" s="48"/>
      <c r="Q52" s="49"/>
    </row>
    <row r="53" spans="1:17" ht="15" customHeight="1" x14ac:dyDescent="0.25">
      <c r="A53" s="212">
        <v>5699</v>
      </c>
      <c r="B53" s="212">
        <v>21</v>
      </c>
      <c r="C53" s="213" t="s">
        <v>128</v>
      </c>
      <c r="D53" s="213" t="s">
        <v>189</v>
      </c>
      <c r="E53" s="213">
        <v>20.5</v>
      </c>
      <c r="F53" s="213" t="s">
        <v>101</v>
      </c>
      <c r="G53" s="212">
        <v>3635</v>
      </c>
      <c r="H53" s="213" t="s">
        <v>102</v>
      </c>
      <c r="I53" s="214" t="s">
        <v>66</v>
      </c>
      <c r="J53" s="215">
        <v>5.8999999999999997E-2</v>
      </c>
      <c r="K53" s="216" t="s">
        <v>275</v>
      </c>
      <c r="L53" s="217">
        <v>0.1</v>
      </c>
      <c r="M53" s="50"/>
      <c r="N53" s="48"/>
      <c r="O53" s="48"/>
      <c r="P53" s="48"/>
      <c r="Q53" s="49"/>
    </row>
    <row r="54" spans="1:17" ht="15" customHeight="1" x14ac:dyDescent="0.25">
      <c r="A54" s="212">
        <v>5731</v>
      </c>
      <c r="B54" s="212">
        <v>32</v>
      </c>
      <c r="C54" s="213" t="s">
        <v>128</v>
      </c>
      <c r="D54" s="213" t="s">
        <v>191</v>
      </c>
      <c r="E54" s="213">
        <v>20.5</v>
      </c>
      <c r="F54" s="213" t="s">
        <v>27</v>
      </c>
      <c r="G54" s="212">
        <v>4179</v>
      </c>
      <c r="H54" s="213" t="s">
        <v>35</v>
      </c>
      <c r="I54" s="214" t="s">
        <v>29</v>
      </c>
      <c r="J54" s="215">
        <v>3.9369999999999998</v>
      </c>
      <c r="K54" s="216" t="s">
        <v>267</v>
      </c>
      <c r="L54" s="217">
        <v>0.1</v>
      </c>
      <c r="M54" s="48"/>
      <c r="N54" s="48"/>
      <c r="O54" s="48"/>
      <c r="P54" s="48"/>
      <c r="Q54" s="49"/>
    </row>
    <row r="55" spans="1:17" ht="15" customHeight="1" x14ac:dyDescent="0.25">
      <c r="A55" s="212">
        <v>5731</v>
      </c>
      <c r="B55" s="212">
        <v>32</v>
      </c>
      <c r="C55" s="213" t="s">
        <v>128</v>
      </c>
      <c r="D55" s="213" t="s">
        <v>191</v>
      </c>
      <c r="E55" s="213">
        <v>20.5</v>
      </c>
      <c r="F55" s="213" t="s">
        <v>50</v>
      </c>
      <c r="G55" s="212">
        <v>3595</v>
      </c>
      <c r="H55" s="213" t="s">
        <v>268</v>
      </c>
      <c r="I55" s="214" t="s">
        <v>29</v>
      </c>
      <c r="J55" s="215">
        <v>0.38500000000000001</v>
      </c>
      <c r="K55" s="216" t="s">
        <v>269</v>
      </c>
      <c r="L55" s="217">
        <v>0.1</v>
      </c>
      <c r="M55" s="50"/>
      <c r="N55" s="48"/>
      <c r="O55" s="48"/>
      <c r="P55" s="48"/>
      <c r="Q55" s="49"/>
    </row>
    <row r="56" spans="1:17" ht="15" customHeight="1" x14ac:dyDescent="0.25">
      <c r="A56" s="212">
        <v>5731</v>
      </c>
      <c r="B56" s="212">
        <v>32</v>
      </c>
      <c r="C56" s="213" t="s">
        <v>128</v>
      </c>
      <c r="D56" s="213" t="s">
        <v>191</v>
      </c>
      <c r="E56" s="213">
        <v>20.5</v>
      </c>
      <c r="F56" s="213" t="s">
        <v>64</v>
      </c>
      <c r="G56" s="212">
        <v>6971</v>
      </c>
      <c r="H56" s="213" t="s">
        <v>78</v>
      </c>
      <c r="I56" s="214" t="s">
        <v>66</v>
      </c>
      <c r="J56" s="215">
        <v>1000</v>
      </c>
      <c r="K56" s="216" t="s">
        <v>270</v>
      </c>
      <c r="L56" s="217">
        <v>0.02</v>
      </c>
      <c r="M56" s="50"/>
      <c r="N56" s="48"/>
      <c r="O56" s="48"/>
      <c r="P56" s="48"/>
      <c r="Q56" s="49"/>
    </row>
    <row r="57" spans="1:17" ht="15" customHeight="1" x14ac:dyDescent="0.25">
      <c r="A57" s="212">
        <v>5731</v>
      </c>
      <c r="B57" s="212">
        <v>32</v>
      </c>
      <c r="C57" s="213" t="s">
        <v>128</v>
      </c>
      <c r="D57" s="213" t="s">
        <v>191</v>
      </c>
      <c r="E57" s="213">
        <v>20.5</v>
      </c>
      <c r="F57" s="213" t="s">
        <v>88</v>
      </c>
      <c r="G57" s="212">
        <v>3619</v>
      </c>
      <c r="H57" s="213" t="s">
        <v>93</v>
      </c>
      <c r="I57" s="214" t="s">
        <v>66</v>
      </c>
      <c r="J57" s="215">
        <v>1.96</v>
      </c>
      <c r="K57" s="216" t="s">
        <v>271</v>
      </c>
      <c r="L57" s="217">
        <v>0.1</v>
      </c>
      <c r="M57" s="48"/>
      <c r="N57" s="48"/>
      <c r="O57" s="48"/>
      <c r="P57" s="48"/>
      <c r="Q57" s="49"/>
    </row>
    <row r="58" spans="1:17" ht="15" customHeight="1" x14ac:dyDescent="0.25">
      <c r="A58" s="212">
        <v>5731</v>
      </c>
      <c r="B58" s="212">
        <v>32</v>
      </c>
      <c r="C58" s="213" t="s">
        <v>128</v>
      </c>
      <c r="D58" s="213" t="s">
        <v>191</v>
      </c>
      <c r="E58" s="213">
        <v>20.5</v>
      </c>
      <c r="F58" s="213" t="s">
        <v>98</v>
      </c>
      <c r="G58" s="212">
        <v>194</v>
      </c>
      <c r="H58" s="213" t="s">
        <v>99</v>
      </c>
      <c r="I58" s="214" t="s">
        <v>29</v>
      </c>
      <c r="J58" s="215">
        <v>4.0940000000000004E-3</v>
      </c>
      <c r="K58" s="216" t="s">
        <v>272</v>
      </c>
      <c r="L58" s="217">
        <v>0.1</v>
      </c>
      <c r="M58" s="48"/>
      <c r="N58" s="48"/>
      <c r="O58" s="48"/>
      <c r="P58" s="48"/>
      <c r="Q58" s="49"/>
    </row>
    <row r="59" spans="1:17" ht="15" customHeight="1" x14ac:dyDescent="0.25">
      <c r="A59" s="212">
        <v>5731</v>
      </c>
      <c r="B59" s="212">
        <v>32</v>
      </c>
      <c r="C59" s="213" t="s">
        <v>128</v>
      </c>
      <c r="D59" s="213" t="s">
        <v>191</v>
      </c>
      <c r="E59" s="213">
        <v>20.5</v>
      </c>
      <c r="F59" s="213" t="s">
        <v>43</v>
      </c>
      <c r="G59" s="212">
        <v>4155</v>
      </c>
      <c r="H59" s="213" t="s">
        <v>49</v>
      </c>
      <c r="I59" s="214" t="s">
        <v>46</v>
      </c>
      <c r="J59" s="215">
        <v>0.24</v>
      </c>
      <c r="K59" s="216" t="s">
        <v>273</v>
      </c>
      <c r="L59" s="217">
        <v>0.1</v>
      </c>
      <c r="M59" s="48"/>
      <c r="N59" s="48"/>
      <c r="O59" s="48"/>
      <c r="P59" s="48"/>
      <c r="Q59" s="49"/>
    </row>
    <row r="60" spans="1:17" ht="15" customHeight="1" x14ac:dyDescent="0.25">
      <c r="A60" s="212">
        <v>5731</v>
      </c>
      <c r="B60" s="212">
        <v>32</v>
      </c>
      <c r="C60" s="213" t="s">
        <v>128</v>
      </c>
      <c r="D60" s="213" t="s">
        <v>191</v>
      </c>
      <c r="E60" s="213">
        <v>20.5</v>
      </c>
      <c r="F60" s="213" t="s">
        <v>101</v>
      </c>
      <c r="G60" s="212">
        <v>3635</v>
      </c>
      <c r="H60" s="213" t="s">
        <v>102</v>
      </c>
      <c r="I60" s="214" t="s">
        <v>66</v>
      </c>
      <c r="J60" s="215">
        <v>2.996</v>
      </c>
      <c r="K60" s="216" t="s">
        <v>275</v>
      </c>
      <c r="L60" s="217">
        <v>0.1</v>
      </c>
      <c r="M60" s="50"/>
      <c r="N60" s="48"/>
      <c r="O60" s="48"/>
      <c r="P60" s="48"/>
      <c r="Q60" s="49"/>
    </row>
    <row r="61" spans="1:17" ht="15" customHeight="1" x14ac:dyDescent="0.25">
      <c r="A61" s="212">
        <v>5732</v>
      </c>
      <c r="B61" s="212">
        <v>33</v>
      </c>
      <c r="C61" s="213" t="s">
        <v>128</v>
      </c>
      <c r="D61" s="213" t="s">
        <v>193</v>
      </c>
      <c r="E61" s="213">
        <v>20.5</v>
      </c>
      <c r="F61" s="213" t="s">
        <v>27</v>
      </c>
      <c r="G61" s="212">
        <v>4179</v>
      </c>
      <c r="H61" s="213" t="s">
        <v>35</v>
      </c>
      <c r="I61" s="214" t="s">
        <v>29</v>
      </c>
      <c r="J61" s="215">
        <v>3.9369999999999998</v>
      </c>
      <c r="K61" s="216" t="s">
        <v>267</v>
      </c>
      <c r="L61" s="217">
        <v>0.1</v>
      </c>
      <c r="M61" s="50"/>
      <c r="N61" s="48"/>
      <c r="O61" s="48"/>
      <c r="P61" s="48"/>
      <c r="Q61" s="49"/>
    </row>
    <row r="62" spans="1:17" ht="15" customHeight="1" x14ac:dyDescent="0.25">
      <c r="A62" s="212">
        <v>5732</v>
      </c>
      <c r="B62" s="212">
        <v>33</v>
      </c>
      <c r="C62" s="213" t="s">
        <v>128</v>
      </c>
      <c r="D62" s="213" t="s">
        <v>193</v>
      </c>
      <c r="E62" s="213">
        <v>20.5</v>
      </c>
      <c r="F62" s="213" t="s">
        <v>50</v>
      </c>
      <c r="G62" s="212">
        <v>3595</v>
      </c>
      <c r="H62" s="213" t="s">
        <v>268</v>
      </c>
      <c r="I62" s="214" t="s">
        <v>29</v>
      </c>
      <c r="J62" s="215">
        <v>0.38500000000000001</v>
      </c>
      <c r="K62" s="216" t="s">
        <v>269</v>
      </c>
      <c r="L62" s="217">
        <v>0.1</v>
      </c>
      <c r="M62" s="50"/>
      <c r="N62" s="48"/>
      <c r="O62" s="48"/>
      <c r="P62" s="48"/>
      <c r="Q62" s="49"/>
    </row>
    <row r="63" spans="1:17" ht="15" customHeight="1" x14ac:dyDescent="0.25">
      <c r="A63" s="212">
        <v>5732</v>
      </c>
      <c r="B63" s="212">
        <v>33</v>
      </c>
      <c r="C63" s="213" t="s">
        <v>128</v>
      </c>
      <c r="D63" s="213" t="s">
        <v>193</v>
      </c>
      <c r="E63" s="213">
        <v>20.5</v>
      </c>
      <c r="F63" s="213" t="s">
        <v>64</v>
      </c>
      <c r="G63" s="212">
        <v>6971</v>
      </c>
      <c r="H63" s="213" t="s">
        <v>78</v>
      </c>
      <c r="I63" s="214" t="s">
        <v>66</v>
      </c>
      <c r="J63" s="215">
        <v>1000</v>
      </c>
      <c r="K63" s="216" t="s">
        <v>270</v>
      </c>
      <c r="L63" s="217">
        <v>0.02</v>
      </c>
      <c r="M63" s="50"/>
      <c r="N63" s="48"/>
      <c r="O63" s="48"/>
      <c r="P63" s="48"/>
      <c r="Q63" s="49"/>
    </row>
    <row r="64" spans="1:17" ht="15" customHeight="1" x14ac:dyDescent="0.25">
      <c r="A64" s="212">
        <v>5732</v>
      </c>
      <c r="B64" s="212">
        <v>33</v>
      </c>
      <c r="C64" s="213" t="s">
        <v>128</v>
      </c>
      <c r="D64" s="213" t="s">
        <v>193</v>
      </c>
      <c r="E64" s="213">
        <v>20.5</v>
      </c>
      <c r="F64" s="213" t="s">
        <v>88</v>
      </c>
      <c r="G64" s="212">
        <v>3619</v>
      </c>
      <c r="H64" s="213" t="s">
        <v>93</v>
      </c>
      <c r="I64" s="214" t="s">
        <v>66</v>
      </c>
      <c r="J64" s="215">
        <v>1.96</v>
      </c>
      <c r="K64" s="216" t="s">
        <v>271</v>
      </c>
      <c r="L64" s="217">
        <v>0.1</v>
      </c>
      <c r="M64" s="50"/>
      <c r="N64" s="48"/>
      <c r="O64" s="48"/>
      <c r="P64" s="48"/>
      <c r="Q64" s="49"/>
    </row>
    <row r="65" spans="1:17" ht="15" customHeight="1" x14ac:dyDescent="0.25">
      <c r="A65" s="212">
        <v>5732</v>
      </c>
      <c r="B65" s="212">
        <v>33</v>
      </c>
      <c r="C65" s="213" t="s">
        <v>128</v>
      </c>
      <c r="D65" s="213" t="s">
        <v>193</v>
      </c>
      <c r="E65" s="213">
        <v>20.5</v>
      </c>
      <c r="F65" s="213" t="s">
        <v>98</v>
      </c>
      <c r="G65" s="212">
        <v>194</v>
      </c>
      <c r="H65" s="213" t="s">
        <v>99</v>
      </c>
      <c r="I65" s="214" t="s">
        <v>29</v>
      </c>
      <c r="J65" s="215">
        <v>4.0899999999999999E-3</v>
      </c>
      <c r="K65" s="216" t="s">
        <v>278</v>
      </c>
      <c r="L65" s="217">
        <v>0.1</v>
      </c>
      <c r="M65" s="48"/>
      <c r="N65" s="48"/>
      <c r="O65" s="48"/>
      <c r="P65" s="48"/>
      <c r="Q65" s="49"/>
    </row>
    <row r="66" spans="1:17" ht="15" customHeight="1" x14ac:dyDescent="0.25">
      <c r="A66" s="212">
        <v>5732</v>
      </c>
      <c r="B66" s="212">
        <v>33</v>
      </c>
      <c r="C66" s="213" t="s">
        <v>128</v>
      </c>
      <c r="D66" s="213" t="s">
        <v>193</v>
      </c>
      <c r="E66" s="213">
        <v>20.5</v>
      </c>
      <c r="F66" s="213" t="s">
        <v>43</v>
      </c>
      <c r="G66" s="212">
        <v>4155</v>
      </c>
      <c r="H66" s="213" t="s">
        <v>49</v>
      </c>
      <c r="I66" s="214" t="s">
        <v>46</v>
      </c>
      <c r="J66" s="215">
        <v>0.24</v>
      </c>
      <c r="K66" s="216" t="s">
        <v>273</v>
      </c>
      <c r="L66" s="217">
        <v>0.1</v>
      </c>
      <c r="M66" s="50"/>
      <c r="N66" s="48"/>
      <c r="O66" s="48"/>
      <c r="P66" s="48"/>
      <c r="Q66" s="49"/>
    </row>
    <row r="67" spans="1:17" ht="15" customHeight="1" x14ac:dyDescent="0.25">
      <c r="A67" s="212">
        <v>5732</v>
      </c>
      <c r="B67" s="212">
        <v>33</v>
      </c>
      <c r="C67" s="213" t="s">
        <v>128</v>
      </c>
      <c r="D67" s="213" t="s">
        <v>193</v>
      </c>
      <c r="E67" s="213">
        <v>20.5</v>
      </c>
      <c r="F67" s="213" t="s">
        <v>101</v>
      </c>
      <c r="G67" s="212">
        <v>3635</v>
      </c>
      <c r="H67" s="213" t="s">
        <v>102</v>
      </c>
      <c r="I67" s="214" t="s">
        <v>66</v>
      </c>
      <c r="J67" s="215">
        <v>2.996</v>
      </c>
      <c r="K67" s="216" t="s">
        <v>279</v>
      </c>
      <c r="L67" s="217">
        <v>0.1</v>
      </c>
      <c r="M67" s="50"/>
      <c r="N67" s="48"/>
      <c r="O67" s="48"/>
      <c r="P67" s="48"/>
      <c r="Q67" s="49"/>
    </row>
    <row r="68" spans="1:17" ht="15" customHeight="1" x14ac:dyDescent="0.25">
      <c r="A68" s="212">
        <v>6556</v>
      </c>
      <c r="B68" s="212">
        <v>186</v>
      </c>
      <c r="C68" s="213" t="s">
        <v>128</v>
      </c>
      <c r="D68" s="213" t="s">
        <v>194</v>
      </c>
      <c r="E68" s="213">
        <v>20.5</v>
      </c>
      <c r="F68" s="213" t="s">
        <v>27</v>
      </c>
      <c r="G68" s="212">
        <v>4179</v>
      </c>
      <c r="H68" s="213" t="s">
        <v>35</v>
      </c>
      <c r="I68" s="214" t="s">
        <v>29</v>
      </c>
      <c r="J68" s="215">
        <v>3.9369999999999998</v>
      </c>
      <c r="K68" s="216" t="s">
        <v>267</v>
      </c>
      <c r="L68" s="217">
        <v>0.1</v>
      </c>
      <c r="M68" s="50"/>
      <c r="N68" s="48"/>
      <c r="O68" s="48"/>
      <c r="P68" s="48"/>
      <c r="Q68" s="49"/>
    </row>
    <row r="69" spans="1:17" ht="15" customHeight="1" x14ac:dyDescent="0.25">
      <c r="A69" s="212">
        <v>6556</v>
      </c>
      <c r="B69" s="212">
        <v>186</v>
      </c>
      <c r="C69" s="213" t="s">
        <v>128</v>
      </c>
      <c r="D69" s="213" t="s">
        <v>194</v>
      </c>
      <c r="E69" s="213">
        <v>20.5</v>
      </c>
      <c r="F69" s="213" t="s">
        <v>50</v>
      </c>
      <c r="G69" s="212">
        <v>3595</v>
      </c>
      <c r="H69" s="213" t="s">
        <v>268</v>
      </c>
      <c r="I69" s="214" t="s">
        <v>29</v>
      </c>
      <c r="J69" s="215">
        <v>0.38500000000000001</v>
      </c>
      <c r="K69" s="216" t="s">
        <v>269</v>
      </c>
      <c r="L69" s="217">
        <v>0.1</v>
      </c>
      <c r="M69" s="50"/>
      <c r="N69" s="48"/>
      <c r="O69" s="48"/>
      <c r="P69" s="48"/>
      <c r="Q69" s="49"/>
    </row>
    <row r="70" spans="1:17" ht="15" customHeight="1" x14ac:dyDescent="0.25">
      <c r="A70" s="212">
        <v>6556</v>
      </c>
      <c r="B70" s="212">
        <v>186</v>
      </c>
      <c r="C70" s="213" t="s">
        <v>128</v>
      </c>
      <c r="D70" s="213" t="s">
        <v>194</v>
      </c>
      <c r="E70" s="213">
        <v>20.5</v>
      </c>
      <c r="F70" s="213" t="s">
        <v>64</v>
      </c>
      <c r="G70" s="212">
        <v>6971</v>
      </c>
      <c r="H70" s="213" t="s">
        <v>78</v>
      </c>
      <c r="I70" s="214" t="s">
        <v>66</v>
      </c>
      <c r="J70" s="215">
        <v>1000</v>
      </c>
      <c r="K70" s="216" t="s">
        <v>270</v>
      </c>
      <c r="L70" s="217">
        <v>0.02</v>
      </c>
      <c r="M70" s="50"/>
      <c r="N70" s="48"/>
      <c r="O70" s="48"/>
      <c r="P70" s="48"/>
      <c r="Q70" s="49"/>
    </row>
    <row r="71" spans="1:17" ht="15" customHeight="1" x14ac:dyDescent="0.25">
      <c r="A71" s="212">
        <v>6556</v>
      </c>
      <c r="B71" s="212">
        <v>186</v>
      </c>
      <c r="C71" s="213" t="s">
        <v>128</v>
      </c>
      <c r="D71" s="213" t="s">
        <v>194</v>
      </c>
      <c r="E71" s="213">
        <v>20.5</v>
      </c>
      <c r="F71" s="213" t="s">
        <v>88</v>
      </c>
      <c r="G71" s="212">
        <v>3619</v>
      </c>
      <c r="H71" s="213" t="s">
        <v>93</v>
      </c>
      <c r="I71" s="214" t="s">
        <v>66</v>
      </c>
      <c r="J71" s="215">
        <v>1.9607000000000001</v>
      </c>
      <c r="K71" s="216" t="s">
        <v>271</v>
      </c>
      <c r="L71" s="217">
        <v>0.1</v>
      </c>
      <c r="M71" s="50"/>
      <c r="N71" s="48"/>
      <c r="O71" s="48"/>
      <c r="P71" s="48"/>
      <c r="Q71" s="49"/>
    </row>
    <row r="72" spans="1:17" ht="15" customHeight="1" x14ac:dyDescent="0.25">
      <c r="A72" s="212">
        <v>6556</v>
      </c>
      <c r="B72" s="212">
        <v>186</v>
      </c>
      <c r="C72" s="213" t="s">
        <v>128</v>
      </c>
      <c r="D72" s="213" t="s">
        <v>194</v>
      </c>
      <c r="E72" s="213">
        <v>20.5</v>
      </c>
      <c r="F72" s="213" t="s">
        <v>98</v>
      </c>
      <c r="G72" s="212">
        <v>194</v>
      </c>
      <c r="H72" s="213" t="s">
        <v>99</v>
      </c>
      <c r="I72" s="214" t="s">
        <v>29</v>
      </c>
      <c r="J72" s="215">
        <v>4.0899999999999999E-3</v>
      </c>
      <c r="K72" s="216" t="s">
        <v>272</v>
      </c>
      <c r="L72" s="217">
        <v>0.1</v>
      </c>
      <c r="M72" s="48"/>
      <c r="N72" s="48"/>
      <c r="O72" s="48"/>
      <c r="P72" s="48"/>
      <c r="Q72" s="49"/>
    </row>
    <row r="73" spans="1:17" ht="15" customHeight="1" x14ac:dyDescent="0.25">
      <c r="A73" s="212">
        <v>6556</v>
      </c>
      <c r="B73" s="212">
        <v>186</v>
      </c>
      <c r="C73" s="213" t="s">
        <v>128</v>
      </c>
      <c r="D73" s="213" t="s">
        <v>194</v>
      </c>
      <c r="E73" s="213">
        <v>20.5</v>
      </c>
      <c r="F73" s="213" t="s">
        <v>43</v>
      </c>
      <c r="G73" s="212">
        <v>4155</v>
      </c>
      <c r="H73" s="213" t="s">
        <v>49</v>
      </c>
      <c r="I73" s="214" t="s">
        <v>46</v>
      </c>
      <c r="J73" s="215">
        <v>0.24</v>
      </c>
      <c r="K73" s="216" t="s">
        <v>273</v>
      </c>
      <c r="L73" s="217">
        <v>0.1</v>
      </c>
      <c r="M73" s="50"/>
      <c r="N73" s="48"/>
      <c r="O73" s="48"/>
      <c r="P73" s="48"/>
      <c r="Q73" s="49"/>
    </row>
    <row r="74" spans="1:17" ht="15" customHeight="1" x14ac:dyDescent="0.25">
      <c r="A74" s="212">
        <v>6556</v>
      </c>
      <c r="B74" s="212">
        <v>186</v>
      </c>
      <c r="C74" s="213" t="s">
        <v>128</v>
      </c>
      <c r="D74" s="213" t="s">
        <v>194</v>
      </c>
      <c r="E74" s="213">
        <v>20.5</v>
      </c>
      <c r="F74" s="213" t="s">
        <v>101</v>
      </c>
      <c r="G74" s="212">
        <v>3635</v>
      </c>
      <c r="H74" s="213" t="s">
        <v>102</v>
      </c>
      <c r="I74" s="214" t="s">
        <v>66</v>
      </c>
      <c r="J74" s="215">
        <v>5.8999999999999997E-2</v>
      </c>
      <c r="K74" s="216" t="s">
        <v>275</v>
      </c>
      <c r="L74" s="217">
        <v>0.1</v>
      </c>
      <c r="M74" s="50"/>
      <c r="N74" s="48"/>
      <c r="O74" s="48"/>
      <c r="P74" s="48"/>
      <c r="Q74" s="49"/>
    </row>
    <row r="75" spans="1:17" ht="15" customHeight="1" x14ac:dyDescent="0.25">
      <c r="A75" s="212">
        <v>6557</v>
      </c>
      <c r="B75" s="212">
        <v>185</v>
      </c>
      <c r="C75" s="213" t="s">
        <v>128</v>
      </c>
      <c r="D75" s="213" t="s">
        <v>195</v>
      </c>
      <c r="E75" s="213">
        <v>20.5</v>
      </c>
      <c r="F75" s="213" t="s">
        <v>27</v>
      </c>
      <c r="G75" s="212">
        <v>4179</v>
      </c>
      <c r="H75" s="213" t="s">
        <v>35</v>
      </c>
      <c r="I75" s="214" t="s">
        <v>29</v>
      </c>
      <c r="J75" s="215">
        <v>3.9369999999999998</v>
      </c>
      <c r="K75" s="216" t="s">
        <v>267</v>
      </c>
      <c r="L75" s="217">
        <v>0.1</v>
      </c>
      <c r="M75" s="48"/>
      <c r="N75" s="48"/>
      <c r="O75" s="48"/>
      <c r="P75" s="48"/>
      <c r="Q75" s="49"/>
    </row>
    <row r="76" spans="1:17" ht="15" customHeight="1" x14ac:dyDescent="0.25">
      <c r="A76" s="212">
        <v>6557</v>
      </c>
      <c r="B76" s="212">
        <v>185</v>
      </c>
      <c r="C76" s="213" t="s">
        <v>128</v>
      </c>
      <c r="D76" s="213" t="s">
        <v>195</v>
      </c>
      <c r="E76" s="213">
        <v>20.5</v>
      </c>
      <c r="F76" s="213" t="s">
        <v>50</v>
      </c>
      <c r="G76" s="212">
        <v>3595</v>
      </c>
      <c r="H76" s="213" t="s">
        <v>268</v>
      </c>
      <c r="I76" s="214" t="s">
        <v>29</v>
      </c>
      <c r="J76" s="215">
        <v>0.38500000000000001</v>
      </c>
      <c r="K76" s="216" t="s">
        <v>269</v>
      </c>
      <c r="L76" s="217">
        <v>0.1</v>
      </c>
      <c r="M76" s="50"/>
      <c r="N76" s="48"/>
      <c r="O76" s="48"/>
      <c r="P76" s="48"/>
      <c r="Q76" s="49"/>
    </row>
    <row r="77" spans="1:17" ht="15" customHeight="1" x14ac:dyDescent="0.25">
      <c r="A77" s="212">
        <v>6557</v>
      </c>
      <c r="B77" s="212">
        <v>185</v>
      </c>
      <c r="C77" s="213" t="s">
        <v>128</v>
      </c>
      <c r="D77" s="213" t="s">
        <v>195</v>
      </c>
      <c r="E77" s="213">
        <v>20.5</v>
      </c>
      <c r="F77" s="213" t="s">
        <v>64</v>
      </c>
      <c r="G77" s="212">
        <v>6971</v>
      </c>
      <c r="H77" s="213" t="s">
        <v>78</v>
      </c>
      <c r="I77" s="214" t="s">
        <v>66</v>
      </c>
      <c r="J77" s="215">
        <v>1000</v>
      </c>
      <c r="K77" s="216" t="s">
        <v>270</v>
      </c>
      <c r="L77" s="217">
        <v>0.02</v>
      </c>
      <c r="M77" s="50"/>
      <c r="N77" s="48"/>
      <c r="O77" s="48"/>
      <c r="P77" s="48"/>
      <c r="Q77" s="49"/>
    </row>
    <row r="78" spans="1:17" ht="15" customHeight="1" x14ac:dyDescent="0.25">
      <c r="A78" s="212">
        <v>6557</v>
      </c>
      <c r="B78" s="212">
        <v>185</v>
      </c>
      <c r="C78" s="213" t="s">
        <v>128</v>
      </c>
      <c r="D78" s="213" t="s">
        <v>195</v>
      </c>
      <c r="E78" s="213">
        <v>20.5</v>
      </c>
      <c r="F78" s="213" t="s">
        <v>88</v>
      </c>
      <c r="G78" s="212">
        <v>3619</v>
      </c>
      <c r="H78" s="213" t="s">
        <v>93</v>
      </c>
      <c r="I78" s="214" t="s">
        <v>66</v>
      </c>
      <c r="J78" s="215">
        <v>1.9607000000000001</v>
      </c>
      <c r="K78" s="216" t="s">
        <v>271</v>
      </c>
      <c r="L78" s="217">
        <v>0.1</v>
      </c>
      <c r="M78" s="48"/>
      <c r="N78" s="48"/>
      <c r="O78" s="48"/>
      <c r="P78" s="48"/>
      <c r="Q78" s="49"/>
    </row>
    <row r="79" spans="1:17" ht="15" customHeight="1" x14ac:dyDescent="0.25">
      <c r="A79" s="212">
        <v>6557</v>
      </c>
      <c r="B79" s="212">
        <v>185</v>
      </c>
      <c r="C79" s="213" t="s">
        <v>128</v>
      </c>
      <c r="D79" s="213" t="s">
        <v>195</v>
      </c>
      <c r="E79" s="213">
        <v>20.5</v>
      </c>
      <c r="F79" s="213" t="s">
        <v>98</v>
      </c>
      <c r="G79" s="212">
        <v>194</v>
      </c>
      <c r="H79" s="213" t="s">
        <v>99</v>
      </c>
      <c r="I79" s="214" t="s">
        <v>29</v>
      </c>
      <c r="J79" s="215">
        <v>4.0899999999999999E-3</v>
      </c>
      <c r="K79" s="216" t="s">
        <v>272</v>
      </c>
      <c r="L79" s="217">
        <v>0.1</v>
      </c>
      <c r="M79" s="48"/>
      <c r="N79" s="48"/>
      <c r="O79" s="48"/>
      <c r="P79" s="48"/>
      <c r="Q79" s="49"/>
    </row>
    <row r="80" spans="1:17" ht="15" customHeight="1" x14ac:dyDescent="0.25">
      <c r="A80" s="212">
        <v>6557</v>
      </c>
      <c r="B80" s="212">
        <v>185</v>
      </c>
      <c r="C80" s="213" t="s">
        <v>128</v>
      </c>
      <c r="D80" s="213" t="s">
        <v>195</v>
      </c>
      <c r="E80" s="213">
        <v>20.5</v>
      </c>
      <c r="F80" s="213" t="s">
        <v>43</v>
      </c>
      <c r="G80" s="212">
        <v>4155</v>
      </c>
      <c r="H80" s="213" t="s">
        <v>49</v>
      </c>
      <c r="I80" s="214" t="s">
        <v>46</v>
      </c>
      <c r="J80" s="215">
        <v>0.24</v>
      </c>
      <c r="K80" s="216" t="s">
        <v>273</v>
      </c>
      <c r="L80" s="217">
        <v>0.1</v>
      </c>
      <c r="M80" s="48"/>
      <c r="N80" s="48"/>
      <c r="O80" s="48"/>
      <c r="P80" s="48"/>
      <c r="Q80" s="49"/>
    </row>
    <row r="81" spans="1:17" ht="15" customHeight="1" x14ac:dyDescent="0.25">
      <c r="A81" s="212">
        <v>6557</v>
      </c>
      <c r="B81" s="212">
        <v>185</v>
      </c>
      <c r="C81" s="213" t="s">
        <v>128</v>
      </c>
      <c r="D81" s="213" t="s">
        <v>195</v>
      </c>
      <c r="E81" s="213">
        <v>20.5</v>
      </c>
      <c r="F81" s="213" t="s">
        <v>101</v>
      </c>
      <c r="G81" s="212">
        <v>3635</v>
      </c>
      <c r="H81" s="213" t="s">
        <v>102</v>
      </c>
      <c r="I81" s="214" t="s">
        <v>66</v>
      </c>
      <c r="J81" s="215">
        <v>5.8999999999999997E-2</v>
      </c>
      <c r="K81" s="216" t="s">
        <v>275</v>
      </c>
      <c r="L81" s="217">
        <v>0.1</v>
      </c>
      <c r="M81" s="50"/>
      <c r="N81" s="48"/>
      <c r="O81" s="48"/>
      <c r="P81" s="48"/>
      <c r="Q81" s="49"/>
    </row>
    <row r="82" spans="1:17" ht="15" customHeight="1" x14ac:dyDescent="0.25">
      <c r="A82" s="212">
        <v>6228</v>
      </c>
      <c r="B82" s="212">
        <v>150</v>
      </c>
      <c r="C82" s="213" t="s">
        <v>13</v>
      </c>
      <c r="D82" s="213" t="s">
        <v>200</v>
      </c>
      <c r="E82" s="213">
        <v>25</v>
      </c>
      <c r="F82" s="213" t="s">
        <v>27</v>
      </c>
      <c r="G82" s="212">
        <v>6</v>
      </c>
      <c r="H82" s="213" t="s">
        <v>36</v>
      </c>
      <c r="I82" s="214" t="s">
        <v>29</v>
      </c>
      <c r="J82" s="215">
        <v>5.97</v>
      </c>
      <c r="K82" s="216" t="s">
        <v>267</v>
      </c>
      <c r="L82" s="217">
        <v>0.1</v>
      </c>
      <c r="M82" s="48"/>
      <c r="N82" s="48"/>
      <c r="O82" s="48"/>
      <c r="P82" s="48"/>
      <c r="Q82" s="49"/>
    </row>
    <row r="83" spans="1:17" ht="15" customHeight="1" x14ac:dyDescent="0.25">
      <c r="A83" s="212">
        <v>6228</v>
      </c>
      <c r="B83" s="212">
        <v>150</v>
      </c>
      <c r="C83" s="213" t="s">
        <v>13</v>
      </c>
      <c r="D83" s="213" t="s">
        <v>200</v>
      </c>
      <c r="E83" s="213">
        <v>25</v>
      </c>
      <c r="F83" s="213" t="s">
        <v>50</v>
      </c>
      <c r="G83" s="212">
        <v>3595</v>
      </c>
      <c r="H83" s="213" t="s">
        <v>268</v>
      </c>
      <c r="I83" s="214" t="s">
        <v>29</v>
      </c>
      <c r="J83" s="215">
        <v>0.61199999999999999</v>
      </c>
      <c r="K83" s="216" t="s">
        <v>269</v>
      </c>
      <c r="L83" s="217">
        <v>0.1</v>
      </c>
      <c r="M83" s="50"/>
      <c r="N83" s="48"/>
      <c r="O83" s="48"/>
      <c r="P83" s="48"/>
      <c r="Q83" s="49"/>
    </row>
    <row r="84" spans="1:17" ht="15" customHeight="1" x14ac:dyDescent="0.25">
      <c r="A84" s="212">
        <v>6228</v>
      </c>
      <c r="B84" s="212">
        <v>150</v>
      </c>
      <c r="C84" s="213" t="s">
        <v>13</v>
      </c>
      <c r="D84" s="213" t="s">
        <v>200</v>
      </c>
      <c r="E84" s="213">
        <v>25</v>
      </c>
      <c r="F84" s="213" t="s">
        <v>62</v>
      </c>
      <c r="G84" s="212">
        <v>186</v>
      </c>
      <c r="H84" s="213" t="s">
        <v>63</v>
      </c>
      <c r="I84" s="214" t="s">
        <v>29</v>
      </c>
      <c r="J84" s="215">
        <v>0.25</v>
      </c>
      <c r="K84" s="216" t="s">
        <v>280</v>
      </c>
      <c r="L84" s="217">
        <v>0.1</v>
      </c>
      <c r="M84" s="50"/>
      <c r="N84" s="48"/>
      <c r="O84" s="48"/>
      <c r="P84" s="48"/>
      <c r="Q84" s="49"/>
    </row>
    <row r="85" spans="1:17" ht="15" customHeight="1" x14ac:dyDescent="0.25">
      <c r="A85" s="212">
        <v>6228</v>
      </c>
      <c r="B85" s="212">
        <v>150</v>
      </c>
      <c r="C85" s="213" t="s">
        <v>13</v>
      </c>
      <c r="D85" s="213" t="s">
        <v>200</v>
      </c>
      <c r="E85" s="213">
        <v>25</v>
      </c>
      <c r="F85" s="213" t="s">
        <v>64</v>
      </c>
      <c r="G85" s="212">
        <v>68</v>
      </c>
      <c r="H85" s="213" t="s">
        <v>80</v>
      </c>
      <c r="I85" s="214" t="s">
        <v>66</v>
      </c>
      <c r="J85" s="215">
        <v>1000</v>
      </c>
      <c r="K85" s="216" t="s">
        <v>270</v>
      </c>
      <c r="L85" s="217">
        <v>0.02</v>
      </c>
      <c r="M85" s="48"/>
      <c r="N85" s="48"/>
      <c r="O85" s="48"/>
      <c r="P85" s="48"/>
      <c r="Q85" s="49"/>
    </row>
    <row r="86" spans="1:17" ht="15" customHeight="1" x14ac:dyDescent="0.25">
      <c r="A86" s="212">
        <v>6228</v>
      </c>
      <c r="B86" s="212">
        <v>150</v>
      </c>
      <c r="C86" s="213" t="s">
        <v>13</v>
      </c>
      <c r="D86" s="213" t="s">
        <v>200</v>
      </c>
      <c r="E86" s="213">
        <v>25</v>
      </c>
      <c r="F86" s="213" t="s">
        <v>88</v>
      </c>
      <c r="G86" s="212">
        <v>3598</v>
      </c>
      <c r="H86" s="213" t="s">
        <v>94</v>
      </c>
      <c r="I86" s="214" t="s">
        <v>66</v>
      </c>
      <c r="J86" s="215">
        <v>2.976</v>
      </c>
      <c r="K86" s="216" t="s">
        <v>271</v>
      </c>
      <c r="L86" s="217">
        <v>0.1</v>
      </c>
      <c r="M86" s="48"/>
      <c r="N86" s="48"/>
      <c r="O86" s="48"/>
      <c r="P86" s="48"/>
      <c r="Q86" s="49"/>
    </row>
    <row r="87" spans="1:17" ht="15" customHeight="1" x14ac:dyDescent="0.25">
      <c r="A87" s="212">
        <v>6228</v>
      </c>
      <c r="B87" s="212">
        <v>150</v>
      </c>
      <c r="C87" s="213" t="s">
        <v>13</v>
      </c>
      <c r="D87" s="213" t="s">
        <v>200</v>
      </c>
      <c r="E87" s="213">
        <v>25</v>
      </c>
      <c r="F87" s="213" t="s">
        <v>98</v>
      </c>
      <c r="G87" s="212">
        <v>194</v>
      </c>
      <c r="H87" s="213" t="s">
        <v>99</v>
      </c>
      <c r="I87" s="214" t="s">
        <v>29</v>
      </c>
      <c r="J87" s="215">
        <v>6.1538499999999998E-3</v>
      </c>
      <c r="K87" s="216" t="s">
        <v>272</v>
      </c>
      <c r="L87" s="217">
        <v>0.1</v>
      </c>
      <c r="M87" s="48"/>
      <c r="N87" s="48"/>
      <c r="O87" s="48"/>
      <c r="P87" s="48"/>
      <c r="Q87" s="49"/>
    </row>
    <row r="88" spans="1:17" ht="15" customHeight="1" x14ac:dyDescent="0.25">
      <c r="A88" s="212">
        <v>6228</v>
      </c>
      <c r="B88" s="212">
        <v>150</v>
      </c>
      <c r="C88" s="213" t="s">
        <v>13</v>
      </c>
      <c r="D88" s="213" t="s">
        <v>200</v>
      </c>
      <c r="E88" s="213">
        <v>25</v>
      </c>
      <c r="F88" s="213" t="s">
        <v>43</v>
      </c>
      <c r="G88" s="212">
        <v>4155</v>
      </c>
      <c r="H88" s="213" t="s">
        <v>49</v>
      </c>
      <c r="I88" s="214" t="s">
        <v>29</v>
      </c>
      <c r="J88" s="215">
        <v>0.29199999999999998</v>
      </c>
      <c r="K88" s="216" t="s">
        <v>273</v>
      </c>
      <c r="L88" s="217">
        <v>0.1</v>
      </c>
      <c r="M88" s="50"/>
      <c r="N88" s="48"/>
      <c r="O88" s="48"/>
      <c r="P88" s="48"/>
      <c r="Q88" s="49"/>
    </row>
    <row r="89" spans="1:17" ht="15" customHeight="1" x14ac:dyDescent="0.25">
      <c r="A89" s="212">
        <v>6228</v>
      </c>
      <c r="B89" s="212">
        <v>150</v>
      </c>
      <c r="C89" s="213" t="s">
        <v>13</v>
      </c>
      <c r="D89" s="213" t="s">
        <v>200</v>
      </c>
      <c r="E89" s="213">
        <v>25</v>
      </c>
      <c r="F89" s="213" t="s">
        <v>101</v>
      </c>
      <c r="G89" s="212">
        <v>3635</v>
      </c>
      <c r="H89" s="213" t="s">
        <v>102</v>
      </c>
      <c r="I89" s="214" t="s">
        <v>66</v>
      </c>
      <c r="J89" s="215">
        <v>7.9000000000000001E-2</v>
      </c>
      <c r="K89" s="216" t="s">
        <v>275</v>
      </c>
      <c r="L89" s="217">
        <v>0.1</v>
      </c>
      <c r="M89" s="48"/>
      <c r="N89" s="48"/>
      <c r="O89" s="48"/>
      <c r="P89" s="48"/>
      <c r="Q89" s="49"/>
    </row>
    <row r="90" spans="1:17" ht="15" customHeight="1" x14ac:dyDescent="0.25">
      <c r="A90" s="212">
        <v>3447</v>
      </c>
      <c r="B90" s="212">
        <v>34</v>
      </c>
      <c r="C90" s="213" t="s">
        <v>128</v>
      </c>
      <c r="D90" s="213" t="s">
        <v>196</v>
      </c>
      <c r="E90" s="213">
        <v>25</v>
      </c>
      <c r="F90" s="213" t="s">
        <v>27</v>
      </c>
      <c r="G90" s="212">
        <v>6</v>
      </c>
      <c r="H90" s="213" t="s">
        <v>36</v>
      </c>
      <c r="I90" s="214" t="s">
        <v>29</v>
      </c>
      <c r="J90" s="215">
        <v>5.9169999999999998</v>
      </c>
      <c r="K90" s="216" t="s">
        <v>267</v>
      </c>
      <c r="L90" s="217">
        <v>0.1</v>
      </c>
      <c r="M90" s="50"/>
      <c r="N90" s="48"/>
      <c r="O90" s="48"/>
      <c r="P90" s="48"/>
      <c r="Q90" s="49"/>
    </row>
    <row r="91" spans="1:17" ht="15" customHeight="1" x14ac:dyDescent="0.25">
      <c r="A91" s="212">
        <v>3447</v>
      </c>
      <c r="B91" s="212">
        <v>34</v>
      </c>
      <c r="C91" s="213" t="s">
        <v>128</v>
      </c>
      <c r="D91" s="213" t="s">
        <v>196</v>
      </c>
      <c r="E91" s="213">
        <v>25</v>
      </c>
      <c r="F91" s="213" t="s">
        <v>50</v>
      </c>
      <c r="G91" s="212">
        <v>3595</v>
      </c>
      <c r="H91" s="213" t="s">
        <v>268</v>
      </c>
      <c r="I91" s="214" t="s">
        <v>29</v>
      </c>
      <c r="J91" s="215">
        <v>0.61</v>
      </c>
      <c r="K91" s="216" t="s">
        <v>269</v>
      </c>
      <c r="L91" s="217">
        <v>0.1</v>
      </c>
      <c r="M91" s="48"/>
      <c r="N91" s="48"/>
      <c r="O91" s="48"/>
      <c r="P91" s="48"/>
      <c r="Q91" s="49"/>
    </row>
    <row r="92" spans="1:17" ht="15" customHeight="1" x14ac:dyDescent="0.25">
      <c r="A92" s="212">
        <v>3447</v>
      </c>
      <c r="B92" s="212">
        <v>34</v>
      </c>
      <c r="C92" s="213" t="s">
        <v>128</v>
      </c>
      <c r="D92" s="213" t="s">
        <v>196</v>
      </c>
      <c r="E92" s="213">
        <v>25</v>
      </c>
      <c r="F92" s="213" t="s">
        <v>64</v>
      </c>
      <c r="G92" s="212">
        <v>68</v>
      </c>
      <c r="H92" s="213" t="s">
        <v>80</v>
      </c>
      <c r="I92" s="214" t="s">
        <v>66</v>
      </c>
      <c r="J92" s="215">
        <v>1000</v>
      </c>
      <c r="K92" s="216" t="s">
        <v>270</v>
      </c>
      <c r="L92" s="217">
        <v>0.02</v>
      </c>
      <c r="M92" s="50"/>
      <c r="N92" s="48"/>
      <c r="O92" s="48"/>
      <c r="P92" s="48"/>
      <c r="Q92" s="49"/>
    </row>
    <row r="93" spans="1:17" ht="15" customHeight="1" x14ac:dyDescent="0.25">
      <c r="A93" s="212">
        <v>3447</v>
      </c>
      <c r="B93" s="212">
        <v>34</v>
      </c>
      <c r="C93" s="213" t="s">
        <v>128</v>
      </c>
      <c r="D93" s="213" t="s">
        <v>196</v>
      </c>
      <c r="E93" s="213">
        <v>25</v>
      </c>
      <c r="F93" s="213" t="s">
        <v>88</v>
      </c>
      <c r="G93" s="212">
        <v>3598</v>
      </c>
      <c r="H93" s="213" t="s">
        <v>94</v>
      </c>
      <c r="I93" s="214" t="s">
        <v>66</v>
      </c>
      <c r="J93" s="215">
        <v>2.976</v>
      </c>
      <c r="K93" s="216" t="s">
        <v>271</v>
      </c>
      <c r="L93" s="217">
        <v>0.1</v>
      </c>
      <c r="M93" s="48"/>
      <c r="N93" s="48"/>
      <c r="O93" s="48"/>
      <c r="P93" s="48"/>
      <c r="Q93" s="49"/>
    </row>
    <row r="94" spans="1:17" ht="15" customHeight="1" x14ac:dyDescent="0.25">
      <c r="A94" s="212">
        <v>3447</v>
      </c>
      <c r="B94" s="212">
        <v>34</v>
      </c>
      <c r="C94" s="213" t="s">
        <v>128</v>
      </c>
      <c r="D94" s="213" t="s">
        <v>196</v>
      </c>
      <c r="E94" s="213">
        <v>25</v>
      </c>
      <c r="F94" s="213" t="s">
        <v>98</v>
      </c>
      <c r="G94" s="212">
        <v>194</v>
      </c>
      <c r="H94" s="213" t="s">
        <v>99</v>
      </c>
      <c r="I94" s="214" t="s">
        <v>29</v>
      </c>
      <c r="J94" s="215">
        <v>6.1500000000000001E-3</v>
      </c>
      <c r="K94" s="216" t="s">
        <v>272</v>
      </c>
      <c r="L94" s="217">
        <v>0.1</v>
      </c>
      <c r="M94" s="48"/>
      <c r="N94" s="48"/>
      <c r="O94" s="48"/>
      <c r="P94" s="48"/>
      <c r="Q94" s="49"/>
    </row>
    <row r="95" spans="1:17" ht="15" customHeight="1" x14ac:dyDescent="0.25">
      <c r="A95" s="212">
        <v>3447</v>
      </c>
      <c r="B95" s="212">
        <v>34</v>
      </c>
      <c r="C95" s="213" t="s">
        <v>128</v>
      </c>
      <c r="D95" s="213" t="s">
        <v>196</v>
      </c>
      <c r="E95" s="213">
        <v>25</v>
      </c>
      <c r="F95" s="213" t="s">
        <v>43</v>
      </c>
      <c r="G95" s="212">
        <v>4155</v>
      </c>
      <c r="H95" s="213" t="s">
        <v>49</v>
      </c>
      <c r="I95" s="214" t="s">
        <v>46</v>
      </c>
      <c r="J95" s="215">
        <v>0.37369999999999998</v>
      </c>
      <c r="K95" s="216" t="s">
        <v>273</v>
      </c>
      <c r="L95" s="217">
        <v>0.1</v>
      </c>
      <c r="M95" s="48"/>
      <c r="N95" s="48"/>
      <c r="O95" s="48"/>
      <c r="P95" s="48"/>
      <c r="Q95" s="49"/>
    </row>
    <row r="96" spans="1:17" ht="15" customHeight="1" x14ac:dyDescent="0.25">
      <c r="A96" s="212">
        <v>3447</v>
      </c>
      <c r="B96" s="212">
        <v>34</v>
      </c>
      <c r="C96" s="213" t="s">
        <v>128</v>
      </c>
      <c r="D96" s="213" t="s">
        <v>196</v>
      </c>
      <c r="E96" s="213">
        <v>25</v>
      </c>
      <c r="F96" s="213" t="s">
        <v>101</v>
      </c>
      <c r="G96" s="212">
        <v>3635</v>
      </c>
      <c r="H96" s="213" t="s">
        <v>102</v>
      </c>
      <c r="I96" s="214" t="s">
        <v>66</v>
      </c>
      <c r="J96" s="215">
        <v>4.7119999999999997</v>
      </c>
      <c r="K96" s="216" t="s">
        <v>275</v>
      </c>
      <c r="L96" s="217">
        <v>0.1</v>
      </c>
      <c r="M96" s="48"/>
      <c r="N96" s="48"/>
      <c r="O96" s="48"/>
      <c r="P96" s="48"/>
      <c r="Q96" s="49"/>
    </row>
    <row r="97" spans="1:17" ht="15" customHeight="1" x14ac:dyDescent="0.25">
      <c r="A97" s="212">
        <v>3726</v>
      </c>
      <c r="B97" s="212">
        <v>9</v>
      </c>
      <c r="C97" s="213" t="s">
        <v>128</v>
      </c>
      <c r="D97" s="213" t="s">
        <v>197</v>
      </c>
      <c r="E97" s="213">
        <v>25</v>
      </c>
      <c r="F97" s="213" t="s">
        <v>27</v>
      </c>
      <c r="G97" s="212">
        <v>6</v>
      </c>
      <c r="H97" s="213" t="s">
        <v>36</v>
      </c>
      <c r="I97" s="214" t="s">
        <v>29</v>
      </c>
      <c r="J97" s="215">
        <v>5.9169999999999998</v>
      </c>
      <c r="K97" s="216" t="s">
        <v>267</v>
      </c>
      <c r="L97" s="217">
        <v>0.1</v>
      </c>
      <c r="M97" s="50"/>
      <c r="N97" s="48"/>
      <c r="O97" s="48"/>
      <c r="P97" s="48"/>
      <c r="Q97" s="49"/>
    </row>
    <row r="98" spans="1:17" ht="15" customHeight="1" x14ac:dyDescent="0.25">
      <c r="A98" s="212">
        <v>3726</v>
      </c>
      <c r="B98" s="212">
        <v>9</v>
      </c>
      <c r="C98" s="213" t="s">
        <v>128</v>
      </c>
      <c r="D98" s="213" t="s">
        <v>197</v>
      </c>
      <c r="E98" s="213">
        <v>25</v>
      </c>
      <c r="F98" s="213" t="s">
        <v>50</v>
      </c>
      <c r="G98" s="212">
        <v>3595</v>
      </c>
      <c r="H98" s="213" t="s">
        <v>268</v>
      </c>
      <c r="I98" s="214" t="s">
        <v>29</v>
      </c>
      <c r="J98" s="215">
        <v>0.61199999999999999</v>
      </c>
      <c r="K98" s="216" t="s">
        <v>269</v>
      </c>
      <c r="L98" s="217">
        <v>0.1</v>
      </c>
      <c r="M98" s="50"/>
      <c r="N98" s="48"/>
      <c r="O98" s="48"/>
      <c r="P98" s="48"/>
      <c r="Q98" s="49"/>
    </row>
    <row r="99" spans="1:17" ht="15" customHeight="1" x14ac:dyDescent="0.25">
      <c r="A99" s="212">
        <v>3726</v>
      </c>
      <c r="B99" s="212">
        <v>9</v>
      </c>
      <c r="C99" s="213" t="s">
        <v>128</v>
      </c>
      <c r="D99" s="213" t="s">
        <v>197</v>
      </c>
      <c r="E99" s="213">
        <v>25</v>
      </c>
      <c r="F99" s="213" t="s">
        <v>64</v>
      </c>
      <c r="G99" s="212">
        <v>68</v>
      </c>
      <c r="H99" s="213" t="s">
        <v>80</v>
      </c>
      <c r="I99" s="214" t="s">
        <v>66</v>
      </c>
      <c r="J99" s="215">
        <v>1000</v>
      </c>
      <c r="K99" s="216" t="s">
        <v>270</v>
      </c>
      <c r="L99" s="217">
        <v>0.02</v>
      </c>
      <c r="M99" s="50"/>
      <c r="N99" s="48"/>
      <c r="O99" s="48"/>
      <c r="P99" s="48"/>
      <c r="Q99" s="49"/>
    </row>
    <row r="100" spans="1:17" ht="15" customHeight="1" x14ac:dyDescent="0.25">
      <c r="A100" s="212">
        <v>3726</v>
      </c>
      <c r="B100" s="212">
        <v>9</v>
      </c>
      <c r="C100" s="213" t="s">
        <v>128</v>
      </c>
      <c r="D100" s="213" t="s">
        <v>197</v>
      </c>
      <c r="E100" s="213">
        <v>25</v>
      </c>
      <c r="F100" s="213" t="s">
        <v>88</v>
      </c>
      <c r="G100" s="212">
        <v>3598</v>
      </c>
      <c r="H100" s="213" t="s">
        <v>94</v>
      </c>
      <c r="I100" s="214" t="s">
        <v>66</v>
      </c>
      <c r="J100" s="215">
        <v>2.976</v>
      </c>
      <c r="K100" s="216" t="s">
        <v>271</v>
      </c>
      <c r="L100" s="217">
        <v>0.1</v>
      </c>
      <c r="M100" s="50"/>
      <c r="N100" s="48"/>
      <c r="O100" s="48"/>
      <c r="P100" s="48"/>
      <c r="Q100" s="49"/>
    </row>
    <row r="101" spans="1:17" ht="15" customHeight="1" x14ac:dyDescent="0.25">
      <c r="A101" s="212">
        <v>3726</v>
      </c>
      <c r="B101" s="212">
        <v>9</v>
      </c>
      <c r="C101" s="213" t="s">
        <v>128</v>
      </c>
      <c r="D101" s="213" t="s">
        <v>197</v>
      </c>
      <c r="E101" s="213">
        <v>25</v>
      </c>
      <c r="F101" s="213" t="s">
        <v>98</v>
      </c>
      <c r="G101" s="212">
        <v>194</v>
      </c>
      <c r="H101" s="213" t="s">
        <v>99</v>
      </c>
      <c r="I101" s="214" t="s">
        <v>29</v>
      </c>
      <c r="J101" s="215">
        <v>6.1500000000000001E-3</v>
      </c>
      <c r="K101" s="216" t="s">
        <v>272</v>
      </c>
      <c r="L101" s="217">
        <v>0.1</v>
      </c>
      <c r="M101" s="50"/>
      <c r="N101" s="48"/>
      <c r="O101" s="48"/>
      <c r="P101" s="48"/>
      <c r="Q101" s="49"/>
    </row>
    <row r="102" spans="1:17" ht="15" customHeight="1" x14ac:dyDescent="0.25">
      <c r="A102" s="212">
        <v>3726</v>
      </c>
      <c r="B102" s="212">
        <v>9</v>
      </c>
      <c r="C102" s="213" t="s">
        <v>128</v>
      </c>
      <c r="D102" s="213" t="s">
        <v>197</v>
      </c>
      <c r="E102" s="213">
        <v>25</v>
      </c>
      <c r="F102" s="213" t="s">
        <v>43</v>
      </c>
      <c r="G102" s="212">
        <v>4155</v>
      </c>
      <c r="H102" s="213" t="s">
        <v>49</v>
      </c>
      <c r="I102" s="214" t="s">
        <v>46</v>
      </c>
      <c r="J102" s="215">
        <v>0.29199999999999998</v>
      </c>
      <c r="K102" s="216" t="s">
        <v>273</v>
      </c>
      <c r="L102" s="217">
        <v>0.1</v>
      </c>
      <c r="M102" s="48"/>
      <c r="N102" s="48"/>
      <c r="O102" s="48"/>
      <c r="P102" s="48"/>
      <c r="Q102" s="49"/>
    </row>
    <row r="103" spans="1:17" ht="15" customHeight="1" x14ac:dyDescent="0.25">
      <c r="A103" s="212">
        <v>3726</v>
      </c>
      <c r="B103" s="212">
        <v>9</v>
      </c>
      <c r="C103" s="213" t="s">
        <v>128</v>
      </c>
      <c r="D103" s="213" t="s">
        <v>197</v>
      </c>
      <c r="E103" s="213">
        <v>25</v>
      </c>
      <c r="F103" s="213" t="s">
        <v>101</v>
      </c>
      <c r="G103" s="212">
        <v>3635</v>
      </c>
      <c r="H103" s="213" t="s">
        <v>102</v>
      </c>
      <c r="I103" s="214" t="s">
        <v>66</v>
      </c>
      <c r="J103" s="215">
        <v>7.9000000000000001E-2</v>
      </c>
      <c r="K103" s="216" t="s">
        <v>275</v>
      </c>
      <c r="L103" s="217">
        <v>0.1</v>
      </c>
      <c r="M103" s="50"/>
      <c r="N103" s="48"/>
      <c r="O103" s="48"/>
      <c r="P103" s="48"/>
      <c r="Q103" s="49"/>
    </row>
    <row r="104" spans="1:17" ht="15" customHeight="1" x14ac:dyDescent="0.25">
      <c r="A104" s="212">
        <v>6470</v>
      </c>
      <c r="B104" s="212">
        <v>177</v>
      </c>
      <c r="C104" s="213" t="s">
        <v>281</v>
      </c>
      <c r="D104" s="213" t="s">
        <v>198</v>
      </c>
      <c r="E104" s="213">
        <v>25</v>
      </c>
      <c r="F104" s="213" t="s">
        <v>27</v>
      </c>
      <c r="G104" s="212">
        <v>6</v>
      </c>
      <c r="H104" s="213" t="s">
        <v>36</v>
      </c>
      <c r="I104" s="214" t="s">
        <v>29</v>
      </c>
      <c r="J104" s="215">
        <v>5.9169999999999998</v>
      </c>
      <c r="K104" s="216" t="s">
        <v>267</v>
      </c>
      <c r="L104" s="217">
        <v>0.1</v>
      </c>
      <c r="M104" s="50"/>
      <c r="N104" s="48"/>
      <c r="O104" s="48"/>
      <c r="P104" s="48"/>
      <c r="Q104" s="49"/>
    </row>
    <row r="105" spans="1:17" ht="15" customHeight="1" x14ac:dyDescent="0.25">
      <c r="A105" s="212">
        <v>6470</v>
      </c>
      <c r="B105" s="212">
        <v>177</v>
      </c>
      <c r="C105" s="213" t="s">
        <v>281</v>
      </c>
      <c r="D105" s="213" t="s">
        <v>198</v>
      </c>
      <c r="E105" s="213">
        <v>25</v>
      </c>
      <c r="F105" s="213" t="s">
        <v>50</v>
      </c>
      <c r="G105" s="212">
        <v>3595</v>
      </c>
      <c r="H105" s="213" t="s">
        <v>268</v>
      </c>
      <c r="I105" s="214" t="s">
        <v>29</v>
      </c>
      <c r="J105" s="215">
        <v>0.61199999999999999</v>
      </c>
      <c r="K105" s="216" t="s">
        <v>269</v>
      </c>
      <c r="L105" s="217">
        <v>0.1</v>
      </c>
      <c r="M105" s="48"/>
      <c r="N105" s="48"/>
      <c r="O105" s="48"/>
      <c r="P105" s="48"/>
      <c r="Q105" s="49"/>
    </row>
    <row r="106" spans="1:17" ht="15" customHeight="1" x14ac:dyDescent="0.25">
      <c r="A106" s="212">
        <v>6470</v>
      </c>
      <c r="B106" s="212">
        <v>177</v>
      </c>
      <c r="C106" s="213" t="s">
        <v>281</v>
      </c>
      <c r="D106" s="213" t="s">
        <v>198</v>
      </c>
      <c r="E106" s="213">
        <v>25</v>
      </c>
      <c r="F106" s="213" t="s">
        <v>64</v>
      </c>
      <c r="G106" s="212">
        <v>68</v>
      </c>
      <c r="H106" s="213" t="s">
        <v>80</v>
      </c>
      <c r="I106" s="214" t="s">
        <v>66</v>
      </c>
      <c r="J106" s="215">
        <v>1000</v>
      </c>
      <c r="K106" s="216" t="s">
        <v>270</v>
      </c>
      <c r="L106" s="217">
        <v>0.02</v>
      </c>
      <c r="M106" s="50"/>
      <c r="N106" s="48"/>
      <c r="O106" s="48"/>
      <c r="P106" s="48"/>
      <c r="Q106" s="49"/>
    </row>
    <row r="107" spans="1:17" ht="15" customHeight="1" x14ac:dyDescent="0.25">
      <c r="A107" s="212">
        <v>6470</v>
      </c>
      <c r="B107" s="212">
        <v>177</v>
      </c>
      <c r="C107" s="213" t="s">
        <v>281</v>
      </c>
      <c r="D107" s="213" t="s">
        <v>198</v>
      </c>
      <c r="E107" s="213">
        <v>25</v>
      </c>
      <c r="F107" s="213" t="s">
        <v>88</v>
      </c>
      <c r="G107" s="212">
        <v>3598</v>
      </c>
      <c r="H107" s="213" t="s">
        <v>94</v>
      </c>
      <c r="I107" s="214" t="s">
        <v>66</v>
      </c>
      <c r="J107" s="215">
        <v>2.976</v>
      </c>
      <c r="K107" s="216" t="s">
        <v>271</v>
      </c>
      <c r="L107" s="217">
        <v>0.1</v>
      </c>
      <c r="M107" s="50"/>
      <c r="N107" s="48"/>
      <c r="O107" s="48"/>
      <c r="P107" s="48"/>
      <c r="Q107" s="49"/>
    </row>
    <row r="108" spans="1:17" ht="15" customHeight="1" x14ac:dyDescent="0.25">
      <c r="A108" s="212">
        <v>6470</v>
      </c>
      <c r="B108" s="212">
        <v>177</v>
      </c>
      <c r="C108" s="213" t="s">
        <v>281</v>
      </c>
      <c r="D108" s="213" t="s">
        <v>198</v>
      </c>
      <c r="E108" s="213">
        <v>25</v>
      </c>
      <c r="F108" s="213" t="s">
        <v>98</v>
      </c>
      <c r="G108" s="212">
        <v>194</v>
      </c>
      <c r="H108" s="213" t="s">
        <v>99</v>
      </c>
      <c r="I108" s="214" t="s">
        <v>29</v>
      </c>
      <c r="J108" s="215">
        <v>6.1539999999999997E-3</v>
      </c>
      <c r="K108" s="216" t="s">
        <v>272</v>
      </c>
      <c r="L108" s="217">
        <v>0.1</v>
      </c>
      <c r="M108" s="50"/>
      <c r="N108" s="48"/>
      <c r="O108" s="48"/>
      <c r="P108" s="48"/>
      <c r="Q108" s="49"/>
    </row>
    <row r="109" spans="1:17" ht="15" customHeight="1" x14ac:dyDescent="0.25">
      <c r="A109" s="212">
        <v>6470</v>
      </c>
      <c r="B109" s="212">
        <v>177</v>
      </c>
      <c r="C109" s="213" t="s">
        <v>281</v>
      </c>
      <c r="D109" s="213" t="s">
        <v>198</v>
      </c>
      <c r="E109" s="213">
        <v>25</v>
      </c>
      <c r="F109" s="213" t="s">
        <v>43</v>
      </c>
      <c r="G109" s="212">
        <v>4155</v>
      </c>
      <c r="H109" s="213" t="s">
        <v>49</v>
      </c>
      <c r="I109" s="214" t="s">
        <v>46</v>
      </c>
      <c r="J109" s="215">
        <v>0.29199999999999998</v>
      </c>
      <c r="K109" s="216" t="s">
        <v>273</v>
      </c>
      <c r="L109" s="217">
        <v>0.1</v>
      </c>
      <c r="M109" s="48"/>
      <c r="N109" s="48"/>
      <c r="O109" s="48"/>
      <c r="P109" s="48"/>
      <c r="Q109" s="49"/>
    </row>
    <row r="110" spans="1:17" ht="15" customHeight="1" x14ac:dyDescent="0.25">
      <c r="A110" s="212">
        <v>6470</v>
      </c>
      <c r="B110" s="212">
        <v>177</v>
      </c>
      <c r="C110" s="213" t="s">
        <v>281</v>
      </c>
      <c r="D110" s="213" t="s">
        <v>198</v>
      </c>
      <c r="E110" s="213">
        <v>25</v>
      </c>
      <c r="F110" s="213" t="s">
        <v>101</v>
      </c>
      <c r="G110" s="212">
        <v>3635</v>
      </c>
      <c r="H110" s="213" t="s">
        <v>102</v>
      </c>
      <c r="I110" s="214" t="s">
        <v>66</v>
      </c>
      <c r="J110" s="215">
        <v>7.9000000000000001E-2</v>
      </c>
      <c r="K110" s="216" t="s">
        <v>275</v>
      </c>
      <c r="L110" s="217">
        <v>0.1</v>
      </c>
      <c r="M110" s="50"/>
      <c r="N110" s="48"/>
      <c r="O110" s="48"/>
      <c r="P110" s="48"/>
      <c r="Q110" s="49"/>
    </row>
    <row r="111" spans="1:17" ht="15" customHeight="1" x14ac:dyDescent="0.25">
      <c r="A111" s="212">
        <v>6470</v>
      </c>
      <c r="B111" s="212">
        <v>177</v>
      </c>
      <c r="C111" s="213" t="s">
        <v>281</v>
      </c>
      <c r="D111" s="213" t="s">
        <v>198</v>
      </c>
      <c r="E111" s="213">
        <v>25</v>
      </c>
      <c r="F111" s="213" t="s">
        <v>282</v>
      </c>
      <c r="G111" s="212">
        <v>3754</v>
      </c>
      <c r="H111" s="213" t="s">
        <v>283</v>
      </c>
      <c r="I111" s="214" t="s">
        <v>29</v>
      </c>
      <c r="J111" s="215">
        <v>2.5000000000000001E-2</v>
      </c>
      <c r="K111" s="216" t="s">
        <v>284</v>
      </c>
      <c r="L111" s="217">
        <v>0.1</v>
      </c>
      <c r="M111" s="50"/>
      <c r="N111" s="48"/>
      <c r="O111" s="48"/>
      <c r="P111" s="48"/>
      <c r="Q111" s="49"/>
    </row>
    <row r="112" spans="1:17" ht="15" customHeight="1" x14ac:dyDescent="0.25">
      <c r="A112" s="212">
        <v>6470</v>
      </c>
      <c r="B112" s="212">
        <v>177</v>
      </c>
      <c r="C112" s="213" t="s">
        <v>281</v>
      </c>
      <c r="D112" s="213" t="s">
        <v>198</v>
      </c>
      <c r="E112" s="213">
        <v>25</v>
      </c>
      <c r="F112" s="213" t="s">
        <v>282</v>
      </c>
      <c r="G112" s="212">
        <v>3955</v>
      </c>
      <c r="H112" s="213" t="s">
        <v>285</v>
      </c>
      <c r="I112" s="214" t="s">
        <v>29</v>
      </c>
      <c r="J112" s="215">
        <v>2.5000000000000001E-2</v>
      </c>
      <c r="K112" s="216" t="s">
        <v>284</v>
      </c>
      <c r="L112" s="217">
        <v>0.1</v>
      </c>
      <c r="M112" s="48"/>
      <c r="N112" s="48"/>
      <c r="O112" s="48"/>
      <c r="P112" s="48"/>
      <c r="Q112" s="49"/>
    </row>
    <row r="113" spans="1:17" ht="15" customHeight="1" x14ac:dyDescent="0.25">
      <c r="A113" s="212">
        <v>6506</v>
      </c>
      <c r="B113" s="212">
        <v>179</v>
      </c>
      <c r="C113" s="213" t="s">
        <v>128</v>
      </c>
      <c r="D113" s="213" t="s">
        <v>201</v>
      </c>
      <c r="E113" s="213">
        <v>25</v>
      </c>
      <c r="F113" s="213" t="s">
        <v>27</v>
      </c>
      <c r="G113" s="212">
        <v>6</v>
      </c>
      <c r="H113" s="213" t="s">
        <v>36</v>
      </c>
      <c r="I113" s="214" t="s">
        <v>29</v>
      </c>
      <c r="J113" s="215">
        <v>5.9169999999999998</v>
      </c>
      <c r="K113" s="216" t="s">
        <v>267</v>
      </c>
      <c r="L113" s="217">
        <v>0.1</v>
      </c>
      <c r="M113" s="50"/>
      <c r="N113" s="48"/>
      <c r="O113" s="48"/>
      <c r="P113" s="48"/>
      <c r="Q113" s="49"/>
    </row>
    <row r="114" spans="1:17" ht="15" customHeight="1" x14ac:dyDescent="0.25">
      <c r="A114" s="212">
        <v>6506</v>
      </c>
      <c r="B114" s="212">
        <v>179</v>
      </c>
      <c r="C114" s="213" t="s">
        <v>128</v>
      </c>
      <c r="D114" s="213" t="s">
        <v>201</v>
      </c>
      <c r="E114" s="213">
        <v>25</v>
      </c>
      <c r="F114" s="213" t="s">
        <v>50</v>
      </c>
      <c r="G114" s="212">
        <v>3595</v>
      </c>
      <c r="H114" s="213" t="s">
        <v>268</v>
      </c>
      <c r="I114" s="214" t="s">
        <v>29</v>
      </c>
      <c r="J114" s="215">
        <v>0.61199999999999999</v>
      </c>
      <c r="K114" s="216" t="s">
        <v>269</v>
      </c>
      <c r="L114" s="217">
        <v>0.1</v>
      </c>
      <c r="M114" s="50"/>
      <c r="N114" s="48"/>
      <c r="O114" s="48"/>
      <c r="P114" s="48"/>
      <c r="Q114" s="49"/>
    </row>
    <row r="115" spans="1:17" ht="15" customHeight="1" x14ac:dyDescent="0.25">
      <c r="A115" s="212">
        <v>6506</v>
      </c>
      <c r="B115" s="212">
        <v>179</v>
      </c>
      <c r="C115" s="213" t="s">
        <v>128</v>
      </c>
      <c r="D115" s="213" t="s">
        <v>201</v>
      </c>
      <c r="E115" s="213">
        <v>25</v>
      </c>
      <c r="F115" s="213" t="s">
        <v>64</v>
      </c>
      <c r="G115" s="212">
        <v>68</v>
      </c>
      <c r="H115" s="213" t="s">
        <v>80</v>
      </c>
      <c r="I115" s="214" t="s">
        <v>66</v>
      </c>
      <c r="J115" s="215">
        <v>1000</v>
      </c>
      <c r="K115" s="216" t="s">
        <v>270</v>
      </c>
      <c r="L115" s="217">
        <v>0.02</v>
      </c>
      <c r="M115" s="48"/>
      <c r="N115" s="48"/>
      <c r="O115" s="48"/>
      <c r="P115" s="48"/>
      <c r="Q115" s="49"/>
    </row>
    <row r="116" spans="1:17" ht="15" customHeight="1" x14ac:dyDescent="0.25">
      <c r="A116" s="212">
        <v>6506</v>
      </c>
      <c r="B116" s="212">
        <v>179</v>
      </c>
      <c r="C116" s="213" t="s">
        <v>128</v>
      </c>
      <c r="D116" s="213" t="s">
        <v>201</v>
      </c>
      <c r="E116" s="213">
        <v>25</v>
      </c>
      <c r="F116" s="213" t="s">
        <v>88</v>
      </c>
      <c r="G116" s="212">
        <v>3598</v>
      </c>
      <c r="H116" s="213" t="s">
        <v>94</v>
      </c>
      <c r="I116" s="214" t="s">
        <v>66</v>
      </c>
      <c r="J116" s="215">
        <v>2.976</v>
      </c>
      <c r="K116" s="216" t="s">
        <v>271</v>
      </c>
      <c r="L116" s="217">
        <v>0.1</v>
      </c>
      <c r="M116" s="48"/>
      <c r="N116" s="48"/>
      <c r="O116" s="48"/>
      <c r="P116" s="48"/>
      <c r="Q116" s="49"/>
    </row>
    <row r="117" spans="1:17" ht="15" customHeight="1" x14ac:dyDescent="0.25">
      <c r="A117" s="212">
        <v>6506</v>
      </c>
      <c r="B117" s="212">
        <v>179</v>
      </c>
      <c r="C117" s="213" t="s">
        <v>128</v>
      </c>
      <c r="D117" s="213" t="s">
        <v>201</v>
      </c>
      <c r="E117" s="213">
        <v>25</v>
      </c>
      <c r="F117" s="213" t="s">
        <v>98</v>
      </c>
      <c r="G117" s="212">
        <v>194</v>
      </c>
      <c r="H117" s="213" t="s">
        <v>99</v>
      </c>
      <c r="I117" s="214" t="s">
        <v>29</v>
      </c>
      <c r="J117" s="215">
        <v>6.1539999999999997E-3</v>
      </c>
      <c r="K117" s="216" t="s">
        <v>272</v>
      </c>
      <c r="L117" s="217">
        <v>0.1</v>
      </c>
      <c r="M117" s="48"/>
      <c r="N117" s="48"/>
      <c r="O117" s="48"/>
      <c r="P117" s="48"/>
      <c r="Q117" s="49"/>
    </row>
    <row r="118" spans="1:17" ht="15" customHeight="1" x14ac:dyDescent="0.25">
      <c r="A118" s="212">
        <v>6506</v>
      </c>
      <c r="B118" s="212">
        <v>179</v>
      </c>
      <c r="C118" s="213" t="s">
        <v>128</v>
      </c>
      <c r="D118" s="213" t="s">
        <v>201</v>
      </c>
      <c r="E118" s="213">
        <v>25</v>
      </c>
      <c r="F118" s="213" t="s">
        <v>43</v>
      </c>
      <c r="G118" s="212">
        <v>4155</v>
      </c>
      <c r="H118" s="213" t="s">
        <v>49</v>
      </c>
      <c r="I118" s="214" t="s">
        <v>46</v>
      </c>
      <c r="J118" s="215">
        <v>0.29199999999999998</v>
      </c>
      <c r="K118" s="216" t="s">
        <v>273</v>
      </c>
      <c r="L118" s="217">
        <v>0.1</v>
      </c>
      <c r="M118" s="48"/>
      <c r="N118" s="48"/>
      <c r="O118" s="48"/>
      <c r="P118" s="48"/>
      <c r="Q118" s="49"/>
    </row>
    <row r="119" spans="1:17" ht="15" customHeight="1" x14ac:dyDescent="0.25">
      <c r="A119" s="212">
        <v>6506</v>
      </c>
      <c r="B119" s="212">
        <v>179</v>
      </c>
      <c r="C119" s="213" t="s">
        <v>128</v>
      </c>
      <c r="D119" s="213" t="s">
        <v>201</v>
      </c>
      <c r="E119" s="213">
        <v>25</v>
      </c>
      <c r="F119" s="213" t="s">
        <v>101</v>
      </c>
      <c r="G119" s="212">
        <v>3635</v>
      </c>
      <c r="H119" s="213" t="s">
        <v>102</v>
      </c>
      <c r="I119" s="214" t="s">
        <v>66</v>
      </c>
      <c r="J119" s="215">
        <v>7.9000000000000001E-2</v>
      </c>
      <c r="K119" s="216" t="s">
        <v>275</v>
      </c>
      <c r="L119" s="217">
        <v>0.1</v>
      </c>
      <c r="M119" s="48"/>
      <c r="N119" s="48"/>
      <c r="O119" s="48"/>
      <c r="P119" s="48"/>
      <c r="Q119" s="49"/>
    </row>
    <row r="120" spans="1:17" ht="15" customHeight="1" x14ac:dyDescent="0.25">
      <c r="A120" s="212">
        <v>6532</v>
      </c>
      <c r="B120" s="212">
        <v>181</v>
      </c>
      <c r="C120" s="213" t="s">
        <v>128</v>
      </c>
      <c r="D120" s="213" t="s">
        <v>199</v>
      </c>
      <c r="E120" s="213">
        <v>25</v>
      </c>
      <c r="F120" s="213" t="s">
        <v>27</v>
      </c>
      <c r="G120" s="212">
        <v>6</v>
      </c>
      <c r="H120" s="213" t="s">
        <v>36</v>
      </c>
      <c r="I120" s="214" t="s">
        <v>29</v>
      </c>
      <c r="J120" s="215">
        <v>5.9169999999999998</v>
      </c>
      <c r="K120" s="216" t="s">
        <v>267</v>
      </c>
      <c r="L120" s="217">
        <v>0.1</v>
      </c>
      <c r="M120" s="50"/>
      <c r="N120" s="48"/>
      <c r="O120" s="48"/>
      <c r="P120" s="48"/>
      <c r="Q120" s="49"/>
    </row>
    <row r="121" spans="1:17" ht="15" customHeight="1" x14ac:dyDescent="0.25">
      <c r="A121" s="212">
        <v>6532</v>
      </c>
      <c r="B121" s="212">
        <v>181</v>
      </c>
      <c r="C121" s="213" t="s">
        <v>128</v>
      </c>
      <c r="D121" s="213" t="s">
        <v>199</v>
      </c>
      <c r="E121" s="213">
        <v>25</v>
      </c>
      <c r="F121" s="213" t="s">
        <v>50</v>
      </c>
      <c r="G121" s="212">
        <v>3595</v>
      </c>
      <c r="H121" s="213" t="s">
        <v>268</v>
      </c>
      <c r="I121" s="214" t="s">
        <v>29</v>
      </c>
      <c r="J121" s="215">
        <v>0.61199999999999999</v>
      </c>
      <c r="K121" s="216" t="s">
        <v>269</v>
      </c>
      <c r="L121" s="217">
        <v>0.1</v>
      </c>
      <c r="M121" s="48"/>
      <c r="N121" s="48"/>
      <c r="O121" s="48"/>
      <c r="P121" s="48"/>
      <c r="Q121" s="49"/>
    </row>
    <row r="122" spans="1:17" ht="15" customHeight="1" x14ac:dyDescent="0.25">
      <c r="A122" s="212">
        <v>6532</v>
      </c>
      <c r="B122" s="212">
        <v>181</v>
      </c>
      <c r="C122" s="213" t="s">
        <v>128</v>
      </c>
      <c r="D122" s="213" t="s">
        <v>199</v>
      </c>
      <c r="E122" s="213">
        <v>25</v>
      </c>
      <c r="F122" s="213" t="s">
        <v>64</v>
      </c>
      <c r="G122" s="212">
        <v>68</v>
      </c>
      <c r="H122" s="213" t="s">
        <v>80</v>
      </c>
      <c r="I122" s="214" t="s">
        <v>66</v>
      </c>
      <c r="J122" s="215">
        <v>1000</v>
      </c>
      <c r="K122" s="216" t="s">
        <v>270</v>
      </c>
      <c r="L122" s="217">
        <v>0.02</v>
      </c>
      <c r="M122" s="50"/>
      <c r="N122" s="48"/>
      <c r="O122" s="48"/>
      <c r="P122" s="48"/>
      <c r="Q122" s="49"/>
    </row>
    <row r="123" spans="1:17" ht="15" customHeight="1" x14ac:dyDescent="0.25">
      <c r="A123" s="212">
        <v>6532</v>
      </c>
      <c r="B123" s="212">
        <v>181</v>
      </c>
      <c r="C123" s="213" t="s">
        <v>128</v>
      </c>
      <c r="D123" s="213" t="s">
        <v>199</v>
      </c>
      <c r="E123" s="213">
        <v>25</v>
      </c>
      <c r="F123" s="213" t="s">
        <v>88</v>
      </c>
      <c r="G123" s="212">
        <v>3598</v>
      </c>
      <c r="H123" s="213" t="s">
        <v>94</v>
      </c>
      <c r="I123" s="214" t="s">
        <v>66</v>
      </c>
      <c r="J123" s="215">
        <v>2.976</v>
      </c>
      <c r="K123" s="216" t="s">
        <v>271</v>
      </c>
      <c r="L123" s="217">
        <v>0.1</v>
      </c>
      <c r="M123" s="50"/>
      <c r="N123" s="48"/>
      <c r="O123" s="48"/>
      <c r="P123" s="48"/>
      <c r="Q123" s="49"/>
    </row>
    <row r="124" spans="1:17" ht="15" customHeight="1" x14ac:dyDescent="0.25">
      <c r="A124" s="212">
        <v>6532</v>
      </c>
      <c r="B124" s="212">
        <v>181</v>
      </c>
      <c r="C124" s="213" t="s">
        <v>128</v>
      </c>
      <c r="D124" s="213" t="s">
        <v>199</v>
      </c>
      <c r="E124" s="213">
        <v>25</v>
      </c>
      <c r="F124" s="213" t="s">
        <v>98</v>
      </c>
      <c r="G124" s="212">
        <v>194</v>
      </c>
      <c r="H124" s="213" t="s">
        <v>99</v>
      </c>
      <c r="I124" s="214" t="s">
        <v>29</v>
      </c>
      <c r="J124" s="215">
        <v>6.1538499999999998E-3</v>
      </c>
      <c r="K124" s="216" t="s">
        <v>272</v>
      </c>
      <c r="L124" s="217">
        <v>0.1</v>
      </c>
      <c r="M124" s="48"/>
      <c r="N124" s="48"/>
      <c r="O124" s="48"/>
      <c r="P124" s="48"/>
      <c r="Q124" s="49"/>
    </row>
    <row r="125" spans="1:17" ht="15" customHeight="1" x14ac:dyDescent="0.25">
      <c r="A125" s="212">
        <v>6532</v>
      </c>
      <c r="B125" s="212">
        <v>181</v>
      </c>
      <c r="C125" s="213" t="s">
        <v>128</v>
      </c>
      <c r="D125" s="213" t="s">
        <v>199</v>
      </c>
      <c r="E125" s="213">
        <v>25</v>
      </c>
      <c r="F125" s="213" t="s">
        <v>43</v>
      </c>
      <c r="G125" s="212">
        <v>4155</v>
      </c>
      <c r="H125" s="213" t="s">
        <v>49</v>
      </c>
      <c r="I125" s="214" t="s">
        <v>46</v>
      </c>
      <c r="J125" s="215">
        <v>0.29199999999999998</v>
      </c>
      <c r="K125" s="216" t="s">
        <v>273</v>
      </c>
      <c r="L125" s="217">
        <v>0.1</v>
      </c>
      <c r="M125" s="48"/>
      <c r="N125" s="48"/>
      <c r="O125" s="48"/>
      <c r="P125" s="48"/>
      <c r="Q125" s="49"/>
    </row>
    <row r="126" spans="1:17" ht="15" customHeight="1" x14ac:dyDescent="0.25">
      <c r="A126" s="212">
        <v>6532</v>
      </c>
      <c r="B126" s="212">
        <v>181</v>
      </c>
      <c r="C126" s="213" t="s">
        <v>128</v>
      </c>
      <c r="D126" s="213" t="s">
        <v>199</v>
      </c>
      <c r="E126" s="213">
        <v>25</v>
      </c>
      <c r="F126" s="213" t="s">
        <v>101</v>
      </c>
      <c r="G126" s="212">
        <v>3635</v>
      </c>
      <c r="H126" s="213" t="s">
        <v>102</v>
      </c>
      <c r="I126" s="214" t="s">
        <v>66</v>
      </c>
      <c r="J126" s="215">
        <v>7.9000000000000001E-2</v>
      </c>
      <c r="K126" s="216" t="s">
        <v>275</v>
      </c>
      <c r="L126" s="217">
        <v>0.1</v>
      </c>
      <c r="M126" s="48"/>
      <c r="N126" s="48"/>
      <c r="O126" s="48"/>
      <c r="P126" s="48"/>
      <c r="Q126" s="49"/>
    </row>
    <row r="127" spans="1:17" ht="15" customHeight="1" x14ac:dyDescent="0.25">
      <c r="A127" s="212">
        <v>6338</v>
      </c>
      <c r="B127" s="212">
        <v>167</v>
      </c>
      <c r="C127" s="213" t="s">
        <v>203</v>
      </c>
      <c r="D127" s="213" t="s">
        <v>204</v>
      </c>
      <c r="E127" s="213">
        <v>25</v>
      </c>
      <c r="F127" s="213" t="s">
        <v>276</v>
      </c>
      <c r="G127" s="212">
        <v>6</v>
      </c>
      <c r="H127" s="213" t="s">
        <v>36</v>
      </c>
      <c r="I127" s="214" t="s">
        <v>29</v>
      </c>
      <c r="J127" s="215">
        <v>5.9169999999999998</v>
      </c>
      <c r="K127" s="216" t="s">
        <v>267</v>
      </c>
      <c r="L127" s="217">
        <v>0.1</v>
      </c>
      <c r="M127" s="50"/>
      <c r="N127" s="48"/>
      <c r="O127" s="48"/>
      <c r="P127" s="48"/>
      <c r="Q127" s="49"/>
    </row>
    <row r="128" spans="1:17" ht="15" customHeight="1" x14ac:dyDescent="0.25">
      <c r="A128" s="212">
        <v>6338</v>
      </c>
      <c r="B128" s="212">
        <v>167</v>
      </c>
      <c r="C128" s="213" t="s">
        <v>203</v>
      </c>
      <c r="D128" s="213" t="s">
        <v>204</v>
      </c>
      <c r="E128" s="213">
        <v>25</v>
      </c>
      <c r="F128" s="213" t="s">
        <v>50</v>
      </c>
      <c r="G128" s="212">
        <v>3595</v>
      </c>
      <c r="H128" s="213" t="s">
        <v>268</v>
      </c>
      <c r="I128" s="214" t="s">
        <v>29</v>
      </c>
      <c r="J128" s="215">
        <v>0.56000000000000005</v>
      </c>
      <c r="K128" s="216" t="s">
        <v>269</v>
      </c>
      <c r="L128" s="217">
        <v>0.1</v>
      </c>
      <c r="M128" s="48"/>
      <c r="N128" s="48"/>
      <c r="O128" s="48"/>
      <c r="P128" s="48"/>
      <c r="Q128" s="49"/>
    </row>
    <row r="129" spans="1:17" ht="15" customHeight="1" x14ac:dyDescent="0.25">
      <c r="A129" s="212">
        <v>6338</v>
      </c>
      <c r="B129" s="212">
        <v>167</v>
      </c>
      <c r="C129" s="213" t="s">
        <v>203</v>
      </c>
      <c r="D129" s="213" t="s">
        <v>204</v>
      </c>
      <c r="E129" s="213">
        <v>25</v>
      </c>
      <c r="F129" s="213" t="s">
        <v>88</v>
      </c>
      <c r="G129" s="212">
        <v>3598</v>
      </c>
      <c r="H129" s="213" t="s">
        <v>94</v>
      </c>
      <c r="I129" s="214" t="s">
        <v>66</v>
      </c>
      <c r="J129" s="215">
        <v>2.976</v>
      </c>
      <c r="K129" s="216" t="s">
        <v>271</v>
      </c>
      <c r="L129" s="217">
        <v>0.1</v>
      </c>
      <c r="M129" s="50"/>
      <c r="N129" s="48"/>
      <c r="O129" s="48"/>
      <c r="P129" s="48"/>
      <c r="Q129" s="49"/>
    </row>
    <row r="130" spans="1:17" ht="15" customHeight="1" x14ac:dyDescent="0.25">
      <c r="A130" s="212">
        <v>6338</v>
      </c>
      <c r="B130" s="212">
        <v>167</v>
      </c>
      <c r="C130" s="213" t="s">
        <v>203</v>
      </c>
      <c r="D130" s="213" t="s">
        <v>204</v>
      </c>
      <c r="E130" s="213">
        <v>25</v>
      </c>
      <c r="F130" s="213" t="s">
        <v>98</v>
      </c>
      <c r="G130" s="212">
        <v>194</v>
      </c>
      <c r="H130" s="213" t="s">
        <v>99</v>
      </c>
      <c r="I130" s="214" t="s">
        <v>29</v>
      </c>
      <c r="J130" s="215">
        <v>5.8700000000000002E-3</v>
      </c>
      <c r="K130" s="216" t="s">
        <v>272</v>
      </c>
      <c r="L130" s="217">
        <v>0.1</v>
      </c>
      <c r="M130" s="50"/>
      <c r="N130" s="48"/>
      <c r="O130" s="48"/>
      <c r="P130" s="48"/>
      <c r="Q130" s="49"/>
    </row>
    <row r="131" spans="1:17" ht="15" customHeight="1" x14ac:dyDescent="0.25">
      <c r="A131" s="212">
        <v>6338</v>
      </c>
      <c r="B131" s="212">
        <v>167</v>
      </c>
      <c r="C131" s="213" t="s">
        <v>203</v>
      </c>
      <c r="D131" s="213" t="s">
        <v>204</v>
      </c>
      <c r="E131" s="213">
        <v>25</v>
      </c>
      <c r="F131" s="213" t="s">
        <v>43</v>
      </c>
      <c r="G131" s="212">
        <v>4155</v>
      </c>
      <c r="H131" s="213" t="s">
        <v>49</v>
      </c>
      <c r="I131" s="214" t="s">
        <v>46</v>
      </c>
      <c r="J131" s="215">
        <v>0.37369999999999998</v>
      </c>
      <c r="K131" s="216" t="s">
        <v>273</v>
      </c>
      <c r="L131" s="217">
        <v>0.1</v>
      </c>
      <c r="M131" s="50"/>
      <c r="N131" s="48"/>
      <c r="O131" s="48"/>
      <c r="P131" s="48"/>
      <c r="Q131" s="49"/>
    </row>
    <row r="132" spans="1:17" ht="15" customHeight="1" x14ac:dyDescent="0.25">
      <c r="A132" s="212">
        <v>6338</v>
      </c>
      <c r="B132" s="212">
        <v>167</v>
      </c>
      <c r="C132" s="213" t="s">
        <v>203</v>
      </c>
      <c r="D132" s="213" t="s">
        <v>204</v>
      </c>
      <c r="E132" s="213">
        <v>25</v>
      </c>
      <c r="F132" s="213" t="s">
        <v>101</v>
      </c>
      <c r="G132" s="212">
        <v>3635</v>
      </c>
      <c r="H132" s="213" t="s">
        <v>102</v>
      </c>
      <c r="I132" s="214" t="s">
        <v>66</v>
      </c>
      <c r="J132" s="215">
        <v>7.9000000000000008E-3</v>
      </c>
      <c r="K132" s="216" t="s">
        <v>275</v>
      </c>
      <c r="L132" s="217">
        <v>0.1</v>
      </c>
      <c r="M132" s="48"/>
      <c r="N132" s="48"/>
      <c r="O132" s="48"/>
      <c r="P132" s="48"/>
      <c r="Q132" s="49"/>
    </row>
    <row r="133" spans="1:17" ht="15" customHeight="1" x14ac:dyDescent="0.25">
      <c r="A133" s="212">
        <v>6338</v>
      </c>
      <c r="B133" s="212">
        <v>167</v>
      </c>
      <c r="C133" s="213" t="s">
        <v>203</v>
      </c>
      <c r="D133" s="213" t="s">
        <v>204</v>
      </c>
      <c r="E133" s="213">
        <v>25</v>
      </c>
      <c r="F133" s="213" t="s">
        <v>282</v>
      </c>
      <c r="G133" s="212">
        <v>3857</v>
      </c>
      <c r="H133" s="213" t="s">
        <v>286</v>
      </c>
      <c r="I133" s="214" t="s">
        <v>29</v>
      </c>
      <c r="J133" s="215">
        <v>0.33</v>
      </c>
      <c r="K133" s="216" t="s">
        <v>284</v>
      </c>
      <c r="L133" s="217">
        <v>0.1</v>
      </c>
      <c r="M133" s="50"/>
      <c r="N133" s="48"/>
      <c r="O133" s="48"/>
      <c r="P133" s="48"/>
      <c r="Q133" s="49"/>
    </row>
    <row r="134" spans="1:17" ht="15" customHeight="1" x14ac:dyDescent="0.25">
      <c r="A134" s="212">
        <v>6337</v>
      </c>
      <c r="B134" s="212">
        <v>166</v>
      </c>
      <c r="C134" s="213" t="s">
        <v>212</v>
      </c>
      <c r="D134" s="213" t="s">
        <v>214</v>
      </c>
      <c r="E134" s="213">
        <v>30</v>
      </c>
      <c r="F134" s="213" t="s">
        <v>27</v>
      </c>
      <c r="G134" s="212">
        <v>406</v>
      </c>
      <c r="H134" s="213" t="s">
        <v>39</v>
      </c>
      <c r="I134" s="214" t="s">
        <v>29</v>
      </c>
      <c r="J134" s="215">
        <v>8</v>
      </c>
      <c r="K134" s="216" t="s">
        <v>267</v>
      </c>
      <c r="L134" s="217">
        <v>0.1</v>
      </c>
      <c r="M134" s="50"/>
      <c r="N134" s="48"/>
      <c r="O134" s="48"/>
      <c r="P134" s="48"/>
      <c r="Q134" s="49"/>
    </row>
    <row r="135" spans="1:17" ht="15" customHeight="1" x14ac:dyDescent="0.25">
      <c r="A135" s="212">
        <v>6337</v>
      </c>
      <c r="B135" s="212">
        <v>166</v>
      </c>
      <c r="C135" s="213" t="s">
        <v>212</v>
      </c>
      <c r="D135" s="213" t="s">
        <v>214</v>
      </c>
      <c r="E135" s="213">
        <v>30</v>
      </c>
      <c r="F135" s="213" t="s">
        <v>50</v>
      </c>
      <c r="G135" s="212">
        <v>3595</v>
      </c>
      <c r="H135" s="213" t="s">
        <v>268</v>
      </c>
      <c r="I135" s="214" t="s">
        <v>29</v>
      </c>
      <c r="J135" s="215">
        <v>0.67</v>
      </c>
      <c r="K135" s="216" t="s">
        <v>269</v>
      </c>
      <c r="L135" s="217">
        <v>0.1</v>
      </c>
      <c r="M135" s="48"/>
      <c r="N135" s="48"/>
      <c r="O135" s="48"/>
      <c r="P135" s="48"/>
      <c r="Q135" s="49"/>
    </row>
    <row r="136" spans="1:17" ht="15" customHeight="1" x14ac:dyDescent="0.25">
      <c r="A136" s="212">
        <v>6337</v>
      </c>
      <c r="B136" s="212">
        <v>166</v>
      </c>
      <c r="C136" s="213" t="s">
        <v>212</v>
      </c>
      <c r="D136" s="213" t="s">
        <v>214</v>
      </c>
      <c r="E136" s="213">
        <v>30</v>
      </c>
      <c r="F136" s="213" t="s">
        <v>62</v>
      </c>
      <c r="G136" s="212">
        <v>186</v>
      </c>
      <c r="H136" s="213" t="s">
        <v>63</v>
      </c>
      <c r="I136" s="214" t="s">
        <v>29</v>
      </c>
      <c r="J136" s="215">
        <v>0.28000000000000003</v>
      </c>
      <c r="K136" s="216" t="s">
        <v>280</v>
      </c>
      <c r="L136" s="217">
        <v>0.1</v>
      </c>
      <c r="M136" s="50"/>
      <c r="N136" s="48"/>
      <c r="O136" s="48"/>
      <c r="P136" s="48"/>
      <c r="Q136" s="49"/>
    </row>
    <row r="137" spans="1:17" ht="15" customHeight="1" x14ac:dyDescent="0.25">
      <c r="A137" s="212">
        <v>6337</v>
      </c>
      <c r="B137" s="212">
        <v>166</v>
      </c>
      <c r="C137" s="213" t="s">
        <v>212</v>
      </c>
      <c r="D137" s="213" t="s">
        <v>214</v>
      </c>
      <c r="E137" s="213">
        <v>30</v>
      </c>
      <c r="F137" s="213" t="s">
        <v>64</v>
      </c>
      <c r="G137" s="212">
        <v>578</v>
      </c>
      <c r="H137" s="213" t="s">
        <v>86</v>
      </c>
      <c r="I137" s="214" t="s">
        <v>66</v>
      </c>
      <c r="J137" s="215">
        <v>1000</v>
      </c>
      <c r="K137" s="216" t="s">
        <v>270</v>
      </c>
      <c r="L137" s="217">
        <v>0.02</v>
      </c>
      <c r="M137" s="50"/>
      <c r="N137" s="48"/>
      <c r="O137" s="48"/>
      <c r="P137" s="48"/>
      <c r="Q137" s="49"/>
    </row>
    <row r="138" spans="1:17" ht="15" customHeight="1" x14ac:dyDescent="0.25">
      <c r="A138" s="212">
        <v>6337</v>
      </c>
      <c r="B138" s="212">
        <v>166</v>
      </c>
      <c r="C138" s="213" t="s">
        <v>212</v>
      </c>
      <c r="D138" s="213" t="s">
        <v>214</v>
      </c>
      <c r="E138" s="213">
        <v>30</v>
      </c>
      <c r="F138" s="213" t="s">
        <v>88</v>
      </c>
      <c r="G138" s="212">
        <v>45</v>
      </c>
      <c r="H138" s="213" t="s">
        <v>95</v>
      </c>
      <c r="I138" s="214" t="s">
        <v>66</v>
      </c>
      <c r="J138" s="215">
        <v>6.6665999999999999</v>
      </c>
      <c r="K138" s="216" t="s">
        <v>271</v>
      </c>
      <c r="L138" s="217">
        <v>0.1</v>
      </c>
      <c r="M138" s="48"/>
      <c r="N138" s="48"/>
      <c r="O138" s="48"/>
      <c r="P138" s="48"/>
      <c r="Q138" s="49"/>
    </row>
    <row r="139" spans="1:17" ht="15" customHeight="1" x14ac:dyDescent="0.25">
      <c r="A139" s="212">
        <v>6337</v>
      </c>
      <c r="B139" s="212">
        <v>166</v>
      </c>
      <c r="C139" s="213" t="s">
        <v>212</v>
      </c>
      <c r="D139" s="213" t="s">
        <v>214</v>
      </c>
      <c r="E139" s="213">
        <v>30</v>
      </c>
      <c r="F139" s="213" t="s">
        <v>43</v>
      </c>
      <c r="G139" s="212">
        <v>4155</v>
      </c>
      <c r="H139" s="213" t="s">
        <v>49</v>
      </c>
      <c r="I139" s="214" t="s">
        <v>29</v>
      </c>
      <c r="J139" s="215">
        <v>0.28000000000000003</v>
      </c>
      <c r="K139" s="216" t="s">
        <v>273</v>
      </c>
      <c r="L139" s="217">
        <v>0.1</v>
      </c>
      <c r="M139" s="50"/>
      <c r="N139" s="48"/>
      <c r="O139" s="48"/>
      <c r="P139" s="48"/>
      <c r="Q139" s="49"/>
    </row>
    <row r="140" spans="1:17" ht="15" customHeight="1" x14ac:dyDescent="0.25">
      <c r="A140" s="212">
        <v>6337</v>
      </c>
      <c r="B140" s="212">
        <v>166</v>
      </c>
      <c r="C140" s="213" t="s">
        <v>212</v>
      </c>
      <c r="D140" s="213" t="s">
        <v>214</v>
      </c>
      <c r="E140" s="213">
        <v>30</v>
      </c>
      <c r="F140" s="213" t="s">
        <v>101</v>
      </c>
      <c r="G140" s="212">
        <v>3635</v>
      </c>
      <c r="H140" s="213" t="s">
        <v>102</v>
      </c>
      <c r="I140" s="214" t="s">
        <v>66</v>
      </c>
      <c r="J140" s="215">
        <v>0.156</v>
      </c>
      <c r="K140" s="216" t="s">
        <v>279</v>
      </c>
      <c r="L140" s="217">
        <v>0.1</v>
      </c>
      <c r="M140" s="48"/>
      <c r="N140" s="48"/>
      <c r="O140" s="48"/>
      <c r="P140" s="48"/>
      <c r="Q140" s="49"/>
    </row>
    <row r="141" spans="1:17" ht="15" customHeight="1" x14ac:dyDescent="0.25">
      <c r="A141" s="212">
        <v>6337</v>
      </c>
      <c r="B141" s="212">
        <v>166</v>
      </c>
      <c r="C141" s="213" t="s">
        <v>212</v>
      </c>
      <c r="D141" s="213" t="s">
        <v>214</v>
      </c>
      <c r="E141" s="213">
        <v>30</v>
      </c>
      <c r="F141" s="213" t="s">
        <v>98</v>
      </c>
      <c r="G141" s="212">
        <v>194</v>
      </c>
      <c r="H141" s="213" t="s">
        <v>99</v>
      </c>
      <c r="I141" s="214" t="s">
        <v>29</v>
      </c>
      <c r="J141" s="215">
        <v>8.3199999999999993E-3</v>
      </c>
      <c r="K141" s="216" t="s">
        <v>98</v>
      </c>
      <c r="L141" s="217">
        <v>0.1</v>
      </c>
      <c r="M141" s="50"/>
      <c r="N141" s="48"/>
      <c r="O141" s="48"/>
      <c r="P141" s="48"/>
      <c r="Q141" s="49"/>
    </row>
    <row r="142" spans="1:17" ht="15" customHeight="1" x14ac:dyDescent="0.25">
      <c r="A142" s="212">
        <v>6416</v>
      </c>
      <c r="B142" s="212">
        <v>171</v>
      </c>
      <c r="C142" s="213" t="s">
        <v>212</v>
      </c>
      <c r="D142" s="213" t="s">
        <v>213</v>
      </c>
      <c r="E142" s="213">
        <v>30</v>
      </c>
      <c r="F142" s="213" t="s">
        <v>27</v>
      </c>
      <c r="G142" s="212">
        <v>406</v>
      </c>
      <c r="H142" s="213" t="s">
        <v>39</v>
      </c>
      <c r="I142" s="214" t="s">
        <v>29</v>
      </c>
      <c r="J142" s="215">
        <v>8</v>
      </c>
      <c r="K142" s="216" t="s">
        <v>267</v>
      </c>
      <c r="L142" s="217">
        <v>0.1</v>
      </c>
      <c r="M142" s="50"/>
      <c r="N142" s="48"/>
      <c r="O142" s="48"/>
      <c r="P142" s="48"/>
      <c r="Q142" s="49"/>
    </row>
    <row r="143" spans="1:17" ht="15" customHeight="1" x14ac:dyDescent="0.25">
      <c r="A143" s="212">
        <v>6416</v>
      </c>
      <c r="B143" s="212">
        <v>171</v>
      </c>
      <c r="C143" s="213" t="s">
        <v>212</v>
      </c>
      <c r="D143" s="213" t="s">
        <v>213</v>
      </c>
      <c r="E143" s="213">
        <v>30</v>
      </c>
      <c r="F143" s="213" t="s">
        <v>50</v>
      </c>
      <c r="G143" s="212">
        <v>3595</v>
      </c>
      <c r="H143" s="213" t="s">
        <v>268</v>
      </c>
      <c r="I143" s="214" t="s">
        <v>29</v>
      </c>
      <c r="J143" s="215">
        <v>0.67</v>
      </c>
      <c r="K143" s="216" t="s">
        <v>269</v>
      </c>
      <c r="L143" s="217">
        <v>0.1</v>
      </c>
      <c r="M143" s="50"/>
      <c r="N143" s="48"/>
      <c r="O143" s="48"/>
      <c r="P143" s="48"/>
      <c r="Q143" s="49"/>
    </row>
    <row r="144" spans="1:17" ht="15" customHeight="1" x14ac:dyDescent="0.25">
      <c r="A144" s="212">
        <v>6416</v>
      </c>
      <c r="B144" s="212">
        <v>171</v>
      </c>
      <c r="C144" s="213" t="s">
        <v>212</v>
      </c>
      <c r="D144" s="213" t="s">
        <v>213</v>
      </c>
      <c r="E144" s="213">
        <v>30</v>
      </c>
      <c r="F144" s="213" t="s">
        <v>62</v>
      </c>
      <c r="G144" s="212">
        <v>186</v>
      </c>
      <c r="H144" s="213" t="s">
        <v>63</v>
      </c>
      <c r="I144" s="214" t="s">
        <v>29</v>
      </c>
      <c r="J144" s="215">
        <v>0.28000000000000003</v>
      </c>
      <c r="K144" s="216" t="s">
        <v>280</v>
      </c>
      <c r="L144" s="217">
        <v>0.1</v>
      </c>
      <c r="M144" s="50"/>
      <c r="N144" s="48"/>
      <c r="O144" s="48"/>
      <c r="P144" s="48"/>
      <c r="Q144" s="49"/>
    </row>
    <row r="145" spans="1:17" ht="15" customHeight="1" x14ac:dyDescent="0.25">
      <c r="A145" s="212">
        <v>6416</v>
      </c>
      <c r="B145" s="212">
        <v>171</v>
      </c>
      <c r="C145" s="213" t="s">
        <v>212</v>
      </c>
      <c r="D145" s="213" t="s">
        <v>213</v>
      </c>
      <c r="E145" s="213">
        <v>30</v>
      </c>
      <c r="F145" s="213" t="s">
        <v>64</v>
      </c>
      <c r="G145" s="212">
        <v>578</v>
      </c>
      <c r="H145" s="213" t="s">
        <v>86</v>
      </c>
      <c r="I145" s="214" t="s">
        <v>66</v>
      </c>
      <c r="J145" s="215">
        <v>1000</v>
      </c>
      <c r="K145" s="216" t="s">
        <v>270</v>
      </c>
      <c r="L145" s="217">
        <v>0.02</v>
      </c>
      <c r="M145" s="50"/>
      <c r="N145" s="48"/>
      <c r="O145" s="48"/>
      <c r="P145" s="48"/>
      <c r="Q145" s="49"/>
    </row>
    <row r="146" spans="1:17" ht="15" customHeight="1" x14ac:dyDescent="0.25">
      <c r="A146" s="212">
        <v>6416</v>
      </c>
      <c r="B146" s="212">
        <v>171</v>
      </c>
      <c r="C146" s="213" t="s">
        <v>212</v>
      </c>
      <c r="D146" s="213" t="s">
        <v>213</v>
      </c>
      <c r="E146" s="213">
        <v>30</v>
      </c>
      <c r="F146" s="213" t="s">
        <v>88</v>
      </c>
      <c r="G146" s="212">
        <v>3598</v>
      </c>
      <c r="H146" s="213" t="s">
        <v>94</v>
      </c>
      <c r="I146" s="214" t="s">
        <v>66</v>
      </c>
      <c r="J146" s="215">
        <v>4.2016</v>
      </c>
      <c r="K146" s="216" t="s">
        <v>271</v>
      </c>
      <c r="L146" s="217">
        <v>0.1</v>
      </c>
      <c r="M146" s="50"/>
      <c r="N146" s="48"/>
      <c r="O146" s="48"/>
      <c r="P146" s="48"/>
      <c r="Q146" s="49"/>
    </row>
    <row r="147" spans="1:17" ht="15" customHeight="1" x14ac:dyDescent="0.25">
      <c r="A147" s="212">
        <v>6416</v>
      </c>
      <c r="B147" s="212">
        <v>171</v>
      </c>
      <c r="C147" s="213" t="s">
        <v>212</v>
      </c>
      <c r="D147" s="213" t="s">
        <v>213</v>
      </c>
      <c r="E147" s="213">
        <v>30</v>
      </c>
      <c r="F147" s="213" t="s">
        <v>43</v>
      </c>
      <c r="G147" s="212">
        <v>4155</v>
      </c>
      <c r="H147" s="213" t="s">
        <v>49</v>
      </c>
      <c r="I147" s="214" t="s">
        <v>29</v>
      </c>
      <c r="J147" s="215">
        <v>0.28000000000000003</v>
      </c>
      <c r="K147" s="216" t="s">
        <v>273</v>
      </c>
      <c r="L147" s="217">
        <v>0.1</v>
      </c>
      <c r="M147" s="50"/>
      <c r="N147" s="48"/>
      <c r="O147" s="48"/>
      <c r="P147" s="48"/>
      <c r="Q147" s="49"/>
    </row>
    <row r="148" spans="1:17" ht="15" customHeight="1" x14ac:dyDescent="0.25">
      <c r="A148" s="212">
        <v>6416</v>
      </c>
      <c r="B148" s="212">
        <v>171</v>
      </c>
      <c r="C148" s="213" t="s">
        <v>212</v>
      </c>
      <c r="D148" s="213" t="s">
        <v>213</v>
      </c>
      <c r="E148" s="213">
        <v>30</v>
      </c>
      <c r="F148" s="213" t="s">
        <v>101</v>
      </c>
      <c r="G148" s="212">
        <v>3635</v>
      </c>
      <c r="H148" s="213" t="s">
        <v>102</v>
      </c>
      <c r="I148" s="214" t="s">
        <v>66</v>
      </c>
      <c r="J148" s="215">
        <v>0.156</v>
      </c>
      <c r="K148" s="216" t="s">
        <v>279</v>
      </c>
      <c r="L148" s="217">
        <v>0.1</v>
      </c>
      <c r="M148" s="50"/>
      <c r="N148" s="48"/>
      <c r="O148" s="48"/>
      <c r="P148" s="48"/>
      <c r="Q148" s="49"/>
    </row>
    <row r="149" spans="1:17" ht="15" customHeight="1" x14ac:dyDescent="0.25">
      <c r="A149" s="212">
        <v>6416</v>
      </c>
      <c r="B149" s="212">
        <v>171</v>
      </c>
      <c r="C149" s="213" t="s">
        <v>212</v>
      </c>
      <c r="D149" s="213" t="s">
        <v>213</v>
      </c>
      <c r="E149" s="213">
        <v>30</v>
      </c>
      <c r="F149" s="213" t="s">
        <v>98</v>
      </c>
      <c r="G149" s="212">
        <v>194</v>
      </c>
      <c r="H149" s="213" t="s">
        <v>99</v>
      </c>
      <c r="I149" s="214" t="s">
        <v>29</v>
      </c>
      <c r="J149" s="215">
        <v>8.3199999999999993E-3</v>
      </c>
      <c r="K149" s="216" t="s">
        <v>98</v>
      </c>
      <c r="L149" s="217">
        <v>0.1</v>
      </c>
      <c r="M149" s="50"/>
      <c r="N149" s="48"/>
      <c r="O149" s="48"/>
      <c r="P149" s="48"/>
      <c r="Q149" s="49"/>
    </row>
    <row r="150" spans="1:17" ht="15" customHeight="1" x14ac:dyDescent="0.25">
      <c r="A150" s="212">
        <v>6206</v>
      </c>
      <c r="B150" s="212">
        <v>149</v>
      </c>
      <c r="C150" s="213" t="s">
        <v>11</v>
      </c>
      <c r="D150" s="213" t="s">
        <v>12</v>
      </c>
      <c r="E150" s="213">
        <v>30</v>
      </c>
      <c r="F150" s="213" t="s">
        <v>27</v>
      </c>
      <c r="G150" s="212">
        <v>406</v>
      </c>
      <c r="H150" s="213" t="s">
        <v>39</v>
      </c>
      <c r="I150" s="214" t="s">
        <v>29</v>
      </c>
      <c r="J150" s="215">
        <v>8</v>
      </c>
      <c r="K150" s="216" t="s">
        <v>267</v>
      </c>
      <c r="L150" s="217">
        <v>0.1</v>
      </c>
      <c r="M150" s="50"/>
      <c r="N150" s="48"/>
      <c r="O150" s="48"/>
      <c r="P150" s="48"/>
      <c r="Q150" s="49"/>
    </row>
    <row r="151" spans="1:17" ht="15" customHeight="1" x14ac:dyDescent="0.25">
      <c r="A151" s="212">
        <v>6206</v>
      </c>
      <c r="B151" s="212">
        <v>149</v>
      </c>
      <c r="C151" s="213" t="s">
        <v>11</v>
      </c>
      <c r="D151" s="213" t="s">
        <v>12</v>
      </c>
      <c r="E151" s="213">
        <v>30</v>
      </c>
      <c r="F151" s="213" t="s">
        <v>50</v>
      </c>
      <c r="G151" s="212">
        <v>3595</v>
      </c>
      <c r="H151" s="213" t="s">
        <v>268</v>
      </c>
      <c r="I151" s="214" t="s">
        <v>29</v>
      </c>
      <c r="J151" s="215">
        <v>0.67</v>
      </c>
      <c r="K151" s="216" t="s">
        <v>269</v>
      </c>
      <c r="L151" s="217">
        <v>0.1</v>
      </c>
      <c r="M151" s="50"/>
      <c r="N151" s="48"/>
      <c r="O151" s="48"/>
      <c r="P151" s="48"/>
      <c r="Q151" s="49"/>
    </row>
    <row r="152" spans="1:17" ht="15" customHeight="1" x14ac:dyDescent="0.25">
      <c r="A152" s="212">
        <v>6206</v>
      </c>
      <c r="B152" s="212">
        <v>149</v>
      </c>
      <c r="C152" s="213" t="s">
        <v>11</v>
      </c>
      <c r="D152" s="213" t="s">
        <v>12</v>
      </c>
      <c r="E152" s="213">
        <v>30</v>
      </c>
      <c r="F152" s="213" t="s">
        <v>62</v>
      </c>
      <c r="G152" s="212">
        <v>186</v>
      </c>
      <c r="H152" s="213" t="s">
        <v>63</v>
      </c>
      <c r="I152" s="214" t="s">
        <v>29</v>
      </c>
      <c r="J152" s="215">
        <v>0.28000000000000003</v>
      </c>
      <c r="K152" s="216" t="s">
        <v>280</v>
      </c>
      <c r="L152" s="217">
        <v>0.1</v>
      </c>
      <c r="M152" s="50"/>
      <c r="N152" s="48"/>
      <c r="O152" s="48"/>
      <c r="P152" s="48"/>
      <c r="Q152" s="49"/>
    </row>
    <row r="153" spans="1:17" ht="15" customHeight="1" x14ac:dyDescent="0.25">
      <c r="A153" s="212">
        <v>6206</v>
      </c>
      <c r="B153" s="212">
        <v>149</v>
      </c>
      <c r="C153" s="213" t="s">
        <v>11</v>
      </c>
      <c r="D153" s="213" t="s">
        <v>12</v>
      </c>
      <c r="E153" s="213">
        <v>30</v>
      </c>
      <c r="F153" s="213" t="s">
        <v>64</v>
      </c>
      <c r="G153" s="212">
        <v>68</v>
      </c>
      <c r="H153" s="213" t="s">
        <v>80</v>
      </c>
      <c r="I153" s="214" t="s">
        <v>66</v>
      </c>
      <c r="J153" s="215">
        <v>1000</v>
      </c>
      <c r="K153" s="216" t="s">
        <v>270</v>
      </c>
      <c r="L153" s="217">
        <v>0.02</v>
      </c>
      <c r="M153" s="50"/>
      <c r="N153" s="48"/>
      <c r="O153" s="48"/>
      <c r="P153" s="48"/>
      <c r="Q153" s="49"/>
    </row>
    <row r="154" spans="1:17" ht="15" customHeight="1" x14ac:dyDescent="0.25">
      <c r="A154" s="212">
        <v>6206</v>
      </c>
      <c r="B154" s="212">
        <v>149</v>
      </c>
      <c r="C154" s="213" t="s">
        <v>11</v>
      </c>
      <c r="D154" s="213" t="s">
        <v>12</v>
      </c>
      <c r="E154" s="213">
        <v>30</v>
      </c>
      <c r="F154" s="213" t="s">
        <v>88</v>
      </c>
      <c r="G154" s="212">
        <v>3598</v>
      </c>
      <c r="H154" s="213" t="s">
        <v>94</v>
      </c>
      <c r="I154" s="214" t="s">
        <v>66</v>
      </c>
      <c r="J154" s="215">
        <v>4.2016</v>
      </c>
      <c r="K154" s="216" t="s">
        <v>271</v>
      </c>
      <c r="L154" s="217">
        <v>0.1</v>
      </c>
      <c r="M154" s="50"/>
      <c r="N154" s="48"/>
      <c r="O154" s="48"/>
      <c r="P154" s="48"/>
      <c r="Q154" s="49"/>
    </row>
    <row r="155" spans="1:17" ht="15" customHeight="1" x14ac:dyDescent="0.25">
      <c r="A155" s="212">
        <v>6206</v>
      </c>
      <c r="B155" s="212">
        <v>149</v>
      </c>
      <c r="C155" s="213" t="s">
        <v>11</v>
      </c>
      <c r="D155" s="213" t="s">
        <v>12</v>
      </c>
      <c r="E155" s="213">
        <v>30</v>
      </c>
      <c r="F155" s="213" t="s">
        <v>98</v>
      </c>
      <c r="G155" s="212">
        <v>194</v>
      </c>
      <c r="H155" s="213" t="s">
        <v>99</v>
      </c>
      <c r="I155" s="214" t="s">
        <v>29</v>
      </c>
      <c r="J155" s="215">
        <v>8.3199999999999993E-3</v>
      </c>
      <c r="K155" s="216" t="s">
        <v>272</v>
      </c>
      <c r="L155" s="217">
        <v>0.1</v>
      </c>
      <c r="M155" s="50"/>
      <c r="N155" s="48"/>
      <c r="O155" s="48"/>
      <c r="P155" s="48"/>
      <c r="Q155" s="49"/>
    </row>
    <row r="156" spans="1:17" ht="15" customHeight="1" x14ac:dyDescent="0.25">
      <c r="A156" s="212">
        <v>6206</v>
      </c>
      <c r="B156" s="212">
        <v>149</v>
      </c>
      <c r="C156" s="213" t="s">
        <v>11</v>
      </c>
      <c r="D156" s="213" t="s">
        <v>12</v>
      </c>
      <c r="E156" s="213">
        <v>30</v>
      </c>
      <c r="F156" s="213" t="s">
        <v>43</v>
      </c>
      <c r="G156" s="212">
        <v>4155</v>
      </c>
      <c r="H156" s="213" t="s">
        <v>49</v>
      </c>
      <c r="I156" s="214" t="s">
        <v>29</v>
      </c>
      <c r="J156" s="215">
        <v>0.28000000000000003</v>
      </c>
      <c r="K156" s="216" t="s">
        <v>273</v>
      </c>
      <c r="L156" s="217">
        <v>0.1</v>
      </c>
      <c r="M156" s="50"/>
      <c r="N156" s="48"/>
      <c r="O156" s="48"/>
      <c r="P156" s="48"/>
      <c r="Q156" s="49"/>
    </row>
    <row r="157" spans="1:17" ht="15" customHeight="1" x14ac:dyDescent="0.25">
      <c r="A157" s="212">
        <v>6206</v>
      </c>
      <c r="B157" s="212">
        <v>149</v>
      </c>
      <c r="C157" s="213" t="s">
        <v>11</v>
      </c>
      <c r="D157" s="213" t="s">
        <v>12</v>
      </c>
      <c r="E157" s="213">
        <v>30</v>
      </c>
      <c r="F157" s="213" t="s">
        <v>101</v>
      </c>
      <c r="G157" s="212">
        <v>3635</v>
      </c>
      <c r="H157" s="213" t="s">
        <v>102</v>
      </c>
      <c r="I157" s="214" t="s">
        <v>66</v>
      </c>
      <c r="J157" s="215">
        <v>0.156</v>
      </c>
      <c r="K157" s="216" t="s">
        <v>275</v>
      </c>
      <c r="L157" s="217">
        <v>0.1</v>
      </c>
      <c r="M157" s="50"/>
      <c r="N157" s="48"/>
      <c r="O157" s="48"/>
      <c r="P157" s="48"/>
      <c r="Q157" s="49"/>
    </row>
    <row r="158" spans="1:17" ht="15" customHeight="1" x14ac:dyDescent="0.25">
      <c r="A158" s="212">
        <v>6206</v>
      </c>
      <c r="B158" s="212">
        <v>149</v>
      </c>
      <c r="C158" s="213" t="s">
        <v>11</v>
      </c>
      <c r="D158" s="213" t="s">
        <v>12</v>
      </c>
      <c r="E158" s="213">
        <v>30</v>
      </c>
      <c r="F158" s="213" t="s">
        <v>282</v>
      </c>
      <c r="G158" s="212">
        <v>6935</v>
      </c>
      <c r="H158" s="213" t="s">
        <v>287</v>
      </c>
      <c r="I158" s="214" t="s">
        <v>29</v>
      </c>
      <c r="J158" s="215">
        <v>3.3000000000000002E-2</v>
      </c>
      <c r="K158" s="216" t="s">
        <v>284</v>
      </c>
      <c r="L158" s="217">
        <v>0.1</v>
      </c>
      <c r="M158" s="50"/>
      <c r="N158" s="48"/>
      <c r="O158" s="48"/>
      <c r="P158" s="48"/>
      <c r="Q158" s="49"/>
    </row>
    <row r="159" spans="1:17" ht="15" customHeight="1" x14ac:dyDescent="0.25">
      <c r="A159" s="212">
        <v>5814</v>
      </c>
      <c r="B159" s="212">
        <v>95</v>
      </c>
      <c r="C159" s="213" t="s">
        <v>13</v>
      </c>
      <c r="D159" s="213" t="s">
        <v>14</v>
      </c>
      <c r="E159" s="213">
        <v>30</v>
      </c>
      <c r="F159" s="213" t="s">
        <v>27</v>
      </c>
      <c r="G159" s="212">
        <v>406</v>
      </c>
      <c r="H159" s="213" t="s">
        <v>39</v>
      </c>
      <c r="I159" s="214" t="s">
        <v>29</v>
      </c>
      <c r="J159" s="215">
        <v>8</v>
      </c>
      <c r="K159" s="216" t="s">
        <v>267</v>
      </c>
      <c r="L159" s="217">
        <v>0.1</v>
      </c>
      <c r="M159" s="50"/>
      <c r="N159" s="48"/>
      <c r="O159" s="48"/>
      <c r="P159" s="48"/>
      <c r="Q159" s="49"/>
    </row>
    <row r="160" spans="1:17" ht="15" customHeight="1" x14ac:dyDescent="0.25">
      <c r="A160" s="212">
        <v>5814</v>
      </c>
      <c r="B160" s="212">
        <v>95</v>
      </c>
      <c r="C160" s="213" t="s">
        <v>13</v>
      </c>
      <c r="D160" s="213" t="s">
        <v>14</v>
      </c>
      <c r="E160" s="213">
        <v>30</v>
      </c>
      <c r="F160" s="213" t="s">
        <v>50</v>
      </c>
      <c r="G160" s="212">
        <v>3595</v>
      </c>
      <c r="H160" s="213" t="s">
        <v>268</v>
      </c>
      <c r="I160" s="214" t="s">
        <v>29</v>
      </c>
      <c r="J160" s="215">
        <v>0.66839999999999999</v>
      </c>
      <c r="K160" s="216" t="s">
        <v>269</v>
      </c>
      <c r="L160" s="217">
        <v>0.1</v>
      </c>
      <c r="M160" s="48"/>
      <c r="N160" s="48"/>
      <c r="O160" s="48"/>
      <c r="P160" s="48"/>
      <c r="Q160" s="49"/>
    </row>
    <row r="161" spans="1:17" ht="15" customHeight="1" x14ac:dyDescent="0.25">
      <c r="A161" s="212">
        <v>5814</v>
      </c>
      <c r="B161" s="212">
        <v>95</v>
      </c>
      <c r="C161" s="213" t="s">
        <v>13</v>
      </c>
      <c r="D161" s="213" t="s">
        <v>14</v>
      </c>
      <c r="E161" s="213">
        <v>30</v>
      </c>
      <c r="F161" s="213" t="s">
        <v>62</v>
      </c>
      <c r="G161" s="212">
        <v>186</v>
      </c>
      <c r="H161" s="213" t="s">
        <v>63</v>
      </c>
      <c r="I161" s="214" t="s">
        <v>29</v>
      </c>
      <c r="J161" s="215">
        <v>0.12</v>
      </c>
      <c r="K161" s="216" t="s">
        <v>280</v>
      </c>
      <c r="L161" s="217">
        <v>0.1</v>
      </c>
      <c r="M161" s="50"/>
      <c r="N161" s="48"/>
      <c r="O161" s="48"/>
      <c r="P161" s="48"/>
      <c r="Q161" s="49"/>
    </row>
    <row r="162" spans="1:17" ht="15" customHeight="1" x14ac:dyDescent="0.25">
      <c r="A162" s="212">
        <v>5814</v>
      </c>
      <c r="B162" s="212">
        <v>95</v>
      </c>
      <c r="C162" s="213" t="s">
        <v>13</v>
      </c>
      <c r="D162" s="213" t="s">
        <v>14</v>
      </c>
      <c r="E162" s="213">
        <v>30</v>
      </c>
      <c r="F162" s="213" t="s">
        <v>64</v>
      </c>
      <c r="G162" s="212">
        <v>578</v>
      </c>
      <c r="H162" s="213" t="s">
        <v>86</v>
      </c>
      <c r="I162" s="214" t="s">
        <v>66</v>
      </c>
      <c r="J162" s="215">
        <v>1000</v>
      </c>
      <c r="K162" s="216" t="s">
        <v>270</v>
      </c>
      <c r="L162" s="217">
        <v>0.02</v>
      </c>
      <c r="M162" s="48"/>
      <c r="N162" s="48"/>
      <c r="O162" s="48"/>
      <c r="P162" s="48"/>
      <c r="Q162" s="49"/>
    </row>
    <row r="163" spans="1:17" ht="15" customHeight="1" x14ac:dyDescent="0.25">
      <c r="A163" s="212">
        <v>5814</v>
      </c>
      <c r="B163" s="212">
        <v>95</v>
      </c>
      <c r="C163" s="213" t="s">
        <v>13</v>
      </c>
      <c r="D163" s="213" t="s">
        <v>14</v>
      </c>
      <c r="E163" s="213">
        <v>30</v>
      </c>
      <c r="F163" s="213" t="s">
        <v>43</v>
      </c>
      <c r="G163" s="212">
        <v>4155</v>
      </c>
      <c r="H163" s="213" t="s">
        <v>49</v>
      </c>
      <c r="I163" s="214" t="s">
        <v>29</v>
      </c>
      <c r="J163" s="215">
        <v>0.2959</v>
      </c>
      <c r="K163" s="216" t="s">
        <v>273</v>
      </c>
      <c r="L163" s="217">
        <v>0.1</v>
      </c>
      <c r="M163" s="48"/>
      <c r="N163" s="48"/>
      <c r="O163" s="48"/>
      <c r="P163" s="48"/>
      <c r="Q163" s="49"/>
    </row>
    <row r="164" spans="1:17" ht="15" customHeight="1" x14ac:dyDescent="0.25">
      <c r="A164" s="212">
        <v>5814</v>
      </c>
      <c r="B164" s="212">
        <v>95</v>
      </c>
      <c r="C164" s="213" t="s">
        <v>13</v>
      </c>
      <c r="D164" s="213" t="s">
        <v>14</v>
      </c>
      <c r="E164" s="213">
        <v>30</v>
      </c>
      <c r="F164" s="213" t="s">
        <v>101</v>
      </c>
      <c r="G164" s="212">
        <v>3635</v>
      </c>
      <c r="H164" s="213" t="s">
        <v>102</v>
      </c>
      <c r="I164" s="214" t="s">
        <v>66</v>
      </c>
      <c r="J164" s="215">
        <v>0.156</v>
      </c>
      <c r="K164" s="216" t="s">
        <v>275</v>
      </c>
      <c r="L164" s="217">
        <v>0.1</v>
      </c>
      <c r="M164" s="48"/>
      <c r="N164" s="48"/>
      <c r="O164" s="48"/>
      <c r="P164" s="48"/>
      <c r="Q164" s="49"/>
    </row>
    <row r="165" spans="1:17" ht="15" customHeight="1" x14ac:dyDescent="0.25">
      <c r="A165" s="212">
        <v>5814</v>
      </c>
      <c r="B165" s="212">
        <v>95</v>
      </c>
      <c r="C165" s="213" t="s">
        <v>13</v>
      </c>
      <c r="D165" s="213" t="s">
        <v>14</v>
      </c>
      <c r="E165" s="213">
        <v>30</v>
      </c>
      <c r="F165" s="213" t="s">
        <v>88</v>
      </c>
      <c r="G165" s="212">
        <v>3598</v>
      </c>
      <c r="H165" s="213" t="s">
        <v>94</v>
      </c>
      <c r="I165" s="214" t="s">
        <v>66</v>
      </c>
      <c r="J165" s="215">
        <v>4.202</v>
      </c>
      <c r="K165" s="216" t="s">
        <v>271</v>
      </c>
      <c r="L165" s="217">
        <v>0.1</v>
      </c>
      <c r="M165" s="48"/>
      <c r="N165" s="48"/>
      <c r="O165" s="48"/>
      <c r="P165" s="48"/>
      <c r="Q165" s="49"/>
    </row>
    <row r="166" spans="1:17" ht="15" customHeight="1" x14ac:dyDescent="0.25">
      <c r="A166" s="212">
        <v>4050</v>
      </c>
      <c r="B166" s="212">
        <v>19</v>
      </c>
      <c r="C166" s="213" t="s">
        <v>209</v>
      </c>
      <c r="D166" s="213" t="s">
        <v>210</v>
      </c>
      <c r="E166" s="213">
        <v>30</v>
      </c>
      <c r="F166" s="213" t="s">
        <v>27</v>
      </c>
      <c r="G166" s="212">
        <v>406</v>
      </c>
      <c r="H166" s="213" t="s">
        <v>39</v>
      </c>
      <c r="I166" s="214" t="s">
        <v>29</v>
      </c>
      <c r="J166" s="215">
        <v>8</v>
      </c>
      <c r="K166" s="216" t="s">
        <v>267</v>
      </c>
      <c r="L166" s="217">
        <v>0.1</v>
      </c>
      <c r="M166" s="50"/>
      <c r="N166" s="48"/>
      <c r="O166" s="48"/>
      <c r="P166" s="48"/>
      <c r="Q166" s="49"/>
    </row>
    <row r="167" spans="1:17" ht="15" customHeight="1" x14ac:dyDescent="0.25">
      <c r="A167" s="212">
        <v>4050</v>
      </c>
      <c r="B167" s="212">
        <v>19</v>
      </c>
      <c r="C167" s="213" t="s">
        <v>209</v>
      </c>
      <c r="D167" s="213" t="s">
        <v>210</v>
      </c>
      <c r="E167" s="213">
        <v>30</v>
      </c>
      <c r="F167" s="213" t="s">
        <v>50</v>
      </c>
      <c r="G167" s="212">
        <v>3595</v>
      </c>
      <c r="H167" s="213" t="s">
        <v>268</v>
      </c>
      <c r="I167" s="214" t="s">
        <v>29</v>
      </c>
      <c r="J167" s="215">
        <v>0.66839999999999999</v>
      </c>
      <c r="K167" s="216" t="s">
        <v>269</v>
      </c>
      <c r="L167" s="217">
        <v>0.1</v>
      </c>
      <c r="M167" s="50"/>
      <c r="N167" s="48"/>
      <c r="O167" s="48"/>
      <c r="P167" s="48"/>
      <c r="Q167" s="49"/>
    </row>
    <row r="168" spans="1:17" ht="15" customHeight="1" x14ac:dyDescent="0.25">
      <c r="A168" s="212">
        <v>4050</v>
      </c>
      <c r="B168" s="212">
        <v>19</v>
      </c>
      <c r="C168" s="213" t="s">
        <v>209</v>
      </c>
      <c r="D168" s="213" t="s">
        <v>210</v>
      </c>
      <c r="E168" s="213">
        <v>30</v>
      </c>
      <c r="F168" s="213" t="s">
        <v>62</v>
      </c>
      <c r="G168" s="212">
        <v>186</v>
      </c>
      <c r="H168" s="213" t="s">
        <v>63</v>
      </c>
      <c r="I168" s="214" t="s">
        <v>29</v>
      </c>
      <c r="J168" s="215">
        <v>0.12</v>
      </c>
      <c r="K168" s="216" t="s">
        <v>280</v>
      </c>
      <c r="L168" s="217">
        <v>0.1</v>
      </c>
      <c r="M168" s="50"/>
      <c r="N168" s="48"/>
      <c r="O168" s="48"/>
      <c r="P168" s="48"/>
      <c r="Q168" s="49"/>
    </row>
    <row r="169" spans="1:17" ht="15" customHeight="1" x14ac:dyDescent="0.25">
      <c r="A169" s="212">
        <v>4050</v>
      </c>
      <c r="B169" s="212">
        <v>19</v>
      </c>
      <c r="C169" s="213" t="s">
        <v>209</v>
      </c>
      <c r="D169" s="213" t="s">
        <v>210</v>
      </c>
      <c r="E169" s="213">
        <v>30</v>
      </c>
      <c r="F169" s="213" t="s">
        <v>64</v>
      </c>
      <c r="G169" s="212">
        <v>578</v>
      </c>
      <c r="H169" s="213" t="s">
        <v>86</v>
      </c>
      <c r="I169" s="214" t="s">
        <v>66</v>
      </c>
      <c r="J169" s="215">
        <v>1000</v>
      </c>
      <c r="K169" s="216" t="s">
        <v>270</v>
      </c>
      <c r="L169" s="217">
        <v>0.02</v>
      </c>
      <c r="M169" s="50"/>
      <c r="N169" s="48"/>
      <c r="O169" s="48"/>
      <c r="P169" s="48"/>
      <c r="Q169" s="49"/>
    </row>
    <row r="170" spans="1:17" ht="15" customHeight="1" x14ac:dyDescent="0.25">
      <c r="A170" s="212">
        <v>4050</v>
      </c>
      <c r="B170" s="212">
        <v>19</v>
      </c>
      <c r="C170" s="213" t="s">
        <v>209</v>
      </c>
      <c r="D170" s="213" t="s">
        <v>210</v>
      </c>
      <c r="E170" s="213">
        <v>30</v>
      </c>
      <c r="F170" s="213" t="s">
        <v>88</v>
      </c>
      <c r="G170" s="212">
        <v>45</v>
      </c>
      <c r="H170" s="213" t="s">
        <v>95</v>
      </c>
      <c r="I170" s="214" t="s">
        <v>66</v>
      </c>
      <c r="J170" s="215">
        <v>6.6660000000000004</v>
      </c>
      <c r="K170" s="216" t="s">
        <v>271</v>
      </c>
      <c r="L170" s="217">
        <v>0.1</v>
      </c>
      <c r="M170" s="50"/>
      <c r="N170" s="48"/>
      <c r="O170" s="48"/>
      <c r="P170" s="48"/>
      <c r="Q170" s="49"/>
    </row>
    <row r="171" spans="1:17" ht="15" customHeight="1" x14ac:dyDescent="0.25">
      <c r="A171" s="212">
        <v>4050</v>
      </c>
      <c r="B171" s="212">
        <v>19</v>
      </c>
      <c r="C171" s="213" t="s">
        <v>209</v>
      </c>
      <c r="D171" s="213" t="s">
        <v>210</v>
      </c>
      <c r="E171" s="213">
        <v>30</v>
      </c>
      <c r="F171" s="213" t="s">
        <v>98</v>
      </c>
      <c r="G171" s="212">
        <v>194</v>
      </c>
      <c r="H171" s="213" t="s">
        <v>99</v>
      </c>
      <c r="I171" s="214" t="s">
        <v>29</v>
      </c>
      <c r="J171" s="215">
        <v>8.3199999999999993E-3</v>
      </c>
      <c r="K171" s="216" t="s">
        <v>272</v>
      </c>
      <c r="L171" s="217">
        <v>0.1</v>
      </c>
      <c r="M171" s="50"/>
      <c r="N171" s="48"/>
      <c r="O171" s="48"/>
      <c r="P171" s="48"/>
      <c r="Q171" s="49"/>
    </row>
    <row r="172" spans="1:17" ht="15" customHeight="1" x14ac:dyDescent="0.25">
      <c r="A172" s="212">
        <v>4050</v>
      </c>
      <c r="B172" s="212">
        <v>19</v>
      </c>
      <c r="C172" s="213" t="s">
        <v>209</v>
      </c>
      <c r="D172" s="213" t="s">
        <v>210</v>
      </c>
      <c r="E172" s="213">
        <v>30</v>
      </c>
      <c r="F172" s="213" t="s">
        <v>43</v>
      </c>
      <c r="G172" s="212">
        <v>4155</v>
      </c>
      <c r="H172" s="213" t="s">
        <v>49</v>
      </c>
      <c r="I172" s="214" t="s">
        <v>29</v>
      </c>
      <c r="J172" s="215">
        <v>0.2959</v>
      </c>
      <c r="K172" s="216" t="s">
        <v>273</v>
      </c>
      <c r="L172" s="217">
        <v>0.1</v>
      </c>
      <c r="M172" s="50"/>
      <c r="N172" s="48"/>
      <c r="O172" s="48"/>
      <c r="P172" s="48"/>
      <c r="Q172" s="49"/>
    </row>
    <row r="173" spans="1:17" ht="15" customHeight="1" x14ac:dyDescent="0.25">
      <c r="A173" s="212">
        <v>4050</v>
      </c>
      <c r="B173" s="212">
        <v>19</v>
      </c>
      <c r="C173" s="213" t="s">
        <v>209</v>
      </c>
      <c r="D173" s="213" t="s">
        <v>210</v>
      </c>
      <c r="E173" s="213">
        <v>30</v>
      </c>
      <c r="F173" s="213" t="s">
        <v>101</v>
      </c>
      <c r="G173" s="212">
        <v>3635</v>
      </c>
      <c r="H173" s="213" t="s">
        <v>102</v>
      </c>
      <c r="I173" s="214" t="s">
        <v>66</v>
      </c>
      <c r="J173" s="215">
        <v>0.156</v>
      </c>
      <c r="K173" s="216" t="s">
        <v>275</v>
      </c>
      <c r="L173" s="217">
        <v>0.1</v>
      </c>
      <c r="M173" s="50"/>
      <c r="N173" s="48"/>
      <c r="O173" s="48"/>
      <c r="P173" s="48"/>
      <c r="Q173" s="49"/>
    </row>
    <row r="174" spans="1:17" ht="15" customHeight="1" x14ac:dyDescent="0.25">
      <c r="A174" s="212">
        <v>6312</v>
      </c>
      <c r="B174" s="212">
        <v>157</v>
      </c>
      <c r="C174" s="213" t="s">
        <v>209</v>
      </c>
      <c r="D174" s="213" t="s">
        <v>211</v>
      </c>
      <c r="E174" s="213">
        <v>30</v>
      </c>
      <c r="F174" s="213" t="s">
        <v>27</v>
      </c>
      <c r="G174" s="212">
        <v>406</v>
      </c>
      <c r="H174" s="213" t="s">
        <v>39</v>
      </c>
      <c r="I174" s="214" t="s">
        <v>29</v>
      </c>
      <c r="J174" s="215">
        <v>8</v>
      </c>
      <c r="K174" s="216" t="s">
        <v>267</v>
      </c>
      <c r="L174" s="217">
        <v>0.1</v>
      </c>
      <c r="M174" s="50"/>
      <c r="N174" s="48"/>
      <c r="O174" s="48"/>
      <c r="P174" s="48"/>
      <c r="Q174" s="49"/>
    </row>
    <row r="175" spans="1:17" ht="15" customHeight="1" x14ac:dyDescent="0.25">
      <c r="A175" s="212">
        <v>6312</v>
      </c>
      <c r="B175" s="212">
        <v>157</v>
      </c>
      <c r="C175" s="213" t="s">
        <v>209</v>
      </c>
      <c r="D175" s="213" t="s">
        <v>211</v>
      </c>
      <c r="E175" s="213">
        <v>30</v>
      </c>
      <c r="F175" s="213" t="s">
        <v>50</v>
      </c>
      <c r="G175" s="212">
        <v>3595</v>
      </c>
      <c r="H175" s="213" t="s">
        <v>268</v>
      </c>
      <c r="I175" s="214" t="s">
        <v>29</v>
      </c>
      <c r="J175" s="215">
        <v>0.67</v>
      </c>
      <c r="K175" s="216" t="s">
        <v>269</v>
      </c>
      <c r="L175" s="217">
        <v>0.1</v>
      </c>
      <c r="M175" s="50"/>
      <c r="N175" s="48"/>
      <c r="O175" s="48"/>
      <c r="P175" s="48"/>
      <c r="Q175" s="49"/>
    </row>
    <row r="176" spans="1:17" ht="15" customHeight="1" x14ac:dyDescent="0.25">
      <c r="A176" s="212">
        <v>6312</v>
      </c>
      <c r="B176" s="212">
        <v>157</v>
      </c>
      <c r="C176" s="213" t="s">
        <v>209</v>
      </c>
      <c r="D176" s="213" t="s">
        <v>211</v>
      </c>
      <c r="E176" s="213">
        <v>30</v>
      </c>
      <c r="F176" s="213" t="s">
        <v>88</v>
      </c>
      <c r="G176" s="212">
        <v>45</v>
      </c>
      <c r="H176" s="213" t="s">
        <v>95</v>
      </c>
      <c r="I176" s="214" t="s">
        <v>66</v>
      </c>
      <c r="J176" s="215">
        <v>6.6665999999999999</v>
      </c>
      <c r="K176" s="216" t="s">
        <v>271</v>
      </c>
      <c r="L176" s="217">
        <v>0.1</v>
      </c>
      <c r="M176" s="48"/>
      <c r="N176" s="48"/>
      <c r="O176" s="48"/>
      <c r="P176" s="48"/>
      <c r="Q176" s="49"/>
    </row>
    <row r="177" spans="1:17" ht="15" customHeight="1" x14ac:dyDescent="0.25">
      <c r="A177" s="212">
        <v>6312</v>
      </c>
      <c r="B177" s="212">
        <v>157</v>
      </c>
      <c r="C177" s="213" t="s">
        <v>209</v>
      </c>
      <c r="D177" s="213" t="s">
        <v>211</v>
      </c>
      <c r="E177" s="213">
        <v>30</v>
      </c>
      <c r="F177" s="213" t="s">
        <v>43</v>
      </c>
      <c r="G177" s="212">
        <v>4155</v>
      </c>
      <c r="H177" s="213" t="s">
        <v>49</v>
      </c>
      <c r="I177" s="214" t="s">
        <v>29</v>
      </c>
      <c r="J177" s="215">
        <v>0.28000000000000003</v>
      </c>
      <c r="K177" s="216" t="s">
        <v>273</v>
      </c>
      <c r="L177" s="217">
        <v>0.1</v>
      </c>
      <c r="M177" s="50"/>
      <c r="N177" s="48"/>
      <c r="O177" s="48"/>
      <c r="P177" s="48"/>
      <c r="Q177" s="49"/>
    </row>
    <row r="178" spans="1:17" ht="15" customHeight="1" x14ac:dyDescent="0.25">
      <c r="A178" s="212">
        <v>6312</v>
      </c>
      <c r="B178" s="212">
        <v>157</v>
      </c>
      <c r="C178" s="213" t="s">
        <v>209</v>
      </c>
      <c r="D178" s="213" t="s">
        <v>211</v>
      </c>
      <c r="E178" s="213">
        <v>30</v>
      </c>
      <c r="F178" s="213" t="s">
        <v>101</v>
      </c>
      <c r="G178" s="212">
        <v>3635</v>
      </c>
      <c r="H178" s="213" t="s">
        <v>102</v>
      </c>
      <c r="I178" s="214" t="s">
        <v>66</v>
      </c>
      <c r="J178" s="215">
        <v>0.156</v>
      </c>
      <c r="K178" s="216" t="s">
        <v>279</v>
      </c>
      <c r="L178" s="217">
        <v>0.1</v>
      </c>
      <c r="M178" s="48"/>
      <c r="N178" s="48"/>
      <c r="O178" s="48"/>
      <c r="P178" s="48"/>
      <c r="Q178" s="49"/>
    </row>
    <row r="179" spans="1:17" ht="15" customHeight="1" x14ac:dyDescent="0.25">
      <c r="A179" s="212">
        <v>6312</v>
      </c>
      <c r="B179" s="212">
        <v>157</v>
      </c>
      <c r="C179" s="213" t="s">
        <v>209</v>
      </c>
      <c r="D179" s="213" t="s">
        <v>211</v>
      </c>
      <c r="E179" s="213">
        <v>30</v>
      </c>
      <c r="F179" s="213" t="s">
        <v>98</v>
      </c>
      <c r="G179" s="212">
        <v>194</v>
      </c>
      <c r="H179" s="213" t="s">
        <v>99</v>
      </c>
      <c r="I179" s="214" t="s">
        <v>29</v>
      </c>
      <c r="J179" s="215">
        <v>8.3199999999999993E-3</v>
      </c>
      <c r="K179" s="216" t="s">
        <v>98</v>
      </c>
      <c r="L179" s="217">
        <v>0.1</v>
      </c>
      <c r="M179" s="48"/>
      <c r="N179" s="48"/>
      <c r="O179" s="48"/>
      <c r="P179" s="48"/>
      <c r="Q179" s="49"/>
    </row>
    <row r="180" spans="1:17" ht="15" customHeight="1" x14ac:dyDescent="0.25">
      <c r="A180" s="212">
        <v>6595</v>
      </c>
      <c r="B180" s="212">
        <v>191</v>
      </c>
      <c r="C180" s="213" t="s">
        <v>207</v>
      </c>
      <c r="D180" s="213" t="s">
        <v>208</v>
      </c>
      <c r="E180" s="213">
        <v>30</v>
      </c>
      <c r="F180" s="213" t="s">
        <v>27</v>
      </c>
      <c r="G180" s="212">
        <v>406</v>
      </c>
      <c r="H180" s="213" t="s">
        <v>39</v>
      </c>
      <c r="I180" s="214" t="s">
        <v>29</v>
      </c>
      <c r="J180" s="215">
        <v>8</v>
      </c>
      <c r="K180" s="216" t="s">
        <v>267</v>
      </c>
      <c r="L180" s="217">
        <v>0.1</v>
      </c>
      <c r="M180" s="48"/>
      <c r="N180" s="48"/>
      <c r="O180" s="48"/>
      <c r="P180" s="48"/>
      <c r="Q180" s="49"/>
    </row>
    <row r="181" spans="1:17" ht="15" customHeight="1" x14ac:dyDescent="0.25">
      <c r="A181" s="212">
        <v>6595</v>
      </c>
      <c r="B181" s="212">
        <v>191</v>
      </c>
      <c r="C181" s="213" t="s">
        <v>207</v>
      </c>
      <c r="D181" s="213" t="s">
        <v>208</v>
      </c>
      <c r="E181" s="213">
        <v>30</v>
      </c>
      <c r="F181" s="213" t="s">
        <v>50</v>
      </c>
      <c r="G181" s="212">
        <v>3595</v>
      </c>
      <c r="H181" s="213" t="s">
        <v>268</v>
      </c>
      <c r="I181" s="214" t="s">
        <v>29</v>
      </c>
      <c r="J181" s="215">
        <v>0.67</v>
      </c>
      <c r="K181" s="216" t="s">
        <v>269</v>
      </c>
      <c r="L181" s="217">
        <v>0.1</v>
      </c>
      <c r="M181" s="48"/>
      <c r="N181" s="48"/>
      <c r="O181" s="48"/>
      <c r="P181" s="48"/>
      <c r="Q181" s="49"/>
    </row>
    <row r="182" spans="1:17" ht="15" customHeight="1" x14ac:dyDescent="0.25">
      <c r="A182" s="212">
        <v>6595</v>
      </c>
      <c r="B182" s="212">
        <v>191</v>
      </c>
      <c r="C182" s="213" t="s">
        <v>207</v>
      </c>
      <c r="D182" s="213" t="s">
        <v>208</v>
      </c>
      <c r="E182" s="213">
        <v>30</v>
      </c>
      <c r="F182" s="213" t="s">
        <v>62</v>
      </c>
      <c r="G182" s="212">
        <v>186</v>
      </c>
      <c r="H182" s="213" t="s">
        <v>63</v>
      </c>
      <c r="I182" s="214" t="s">
        <v>29</v>
      </c>
      <c r="J182" s="215">
        <v>0.28000000000000003</v>
      </c>
      <c r="K182" s="216" t="s">
        <v>280</v>
      </c>
      <c r="L182" s="217">
        <v>0.1</v>
      </c>
      <c r="M182" s="50"/>
      <c r="N182" s="48"/>
      <c r="O182" s="48"/>
      <c r="P182" s="48"/>
      <c r="Q182" s="49"/>
    </row>
    <row r="183" spans="1:17" ht="15" customHeight="1" x14ac:dyDescent="0.25">
      <c r="A183" s="212">
        <v>6595</v>
      </c>
      <c r="B183" s="212">
        <v>191</v>
      </c>
      <c r="C183" s="213" t="s">
        <v>207</v>
      </c>
      <c r="D183" s="213" t="s">
        <v>208</v>
      </c>
      <c r="E183" s="213">
        <v>30</v>
      </c>
      <c r="F183" s="213" t="s">
        <v>64</v>
      </c>
      <c r="G183" s="212">
        <v>3211</v>
      </c>
      <c r="H183" s="213" t="s">
        <v>73</v>
      </c>
      <c r="I183" s="214" t="s">
        <v>66</v>
      </c>
      <c r="J183" s="215">
        <v>1000</v>
      </c>
      <c r="K183" s="216" t="s">
        <v>270</v>
      </c>
      <c r="L183" s="217">
        <v>0.02</v>
      </c>
      <c r="M183" s="50"/>
      <c r="N183" s="48"/>
      <c r="O183" s="48"/>
      <c r="P183" s="48"/>
      <c r="Q183" s="49"/>
    </row>
    <row r="184" spans="1:17" ht="15" customHeight="1" x14ac:dyDescent="0.25">
      <c r="A184" s="212">
        <v>6595</v>
      </c>
      <c r="B184" s="212">
        <v>191</v>
      </c>
      <c r="C184" s="213" t="s">
        <v>207</v>
      </c>
      <c r="D184" s="213" t="s">
        <v>208</v>
      </c>
      <c r="E184" s="213">
        <v>30</v>
      </c>
      <c r="F184" s="213" t="s">
        <v>88</v>
      </c>
      <c r="G184" s="212">
        <v>3598</v>
      </c>
      <c r="H184" s="213" t="s">
        <v>94</v>
      </c>
      <c r="I184" s="214" t="s">
        <v>66</v>
      </c>
      <c r="J184" s="215">
        <v>4.2016</v>
      </c>
      <c r="K184" s="216" t="s">
        <v>271</v>
      </c>
      <c r="L184" s="217">
        <v>0.1</v>
      </c>
      <c r="M184" s="50"/>
      <c r="N184" s="48"/>
      <c r="O184" s="48"/>
      <c r="P184" s="48"/>
      <c r="Q184" s="49"/>
    </row>
    <row r="185" spans="1:17" ht="15" customHeight="1" x14ac:dyDescent="0.25">
      <c r="A185" s="212">
        <v>6595</v>
      </c>
      <c r="B185" s="212">
        <v>191</v>
      </c>
      <c r="C185" s="213" t="s">
        <v>207</v>
      </c>
      <c r="D185" s="213" t="s">
        <v>208</v>
      </c>
      <c r="E185" s="213">
        <v>30</v>
      </c>
      <c r="F185" s="213" t="s">
        <v>43</v>
      </c>
      <c r="G185" s="212">
        <v>4155</v>
      </c>
      <c r="H185" s="213" t="s">
        <v>49</v>
      </c>
      <c r="I185" s="214" t="s">
        <v>46</v>
      </c>
      <c r="J185" s="215">
        <v>0.28000000000000003</v>
      </c>
      <c r="K185" s="216" t="s">
        <v>273</v>
      </c>
      <c r="L185" s="217">
        <v>0.1</v>
      </c>
      <c r="M185" s="50"/>
      <c r="N185" s="48"/>
      <c r="O185" s="48"/>
      <c r="P185" s="48"/>
      <c r="Q185" s="49"/>
    </row>
    <row r="186" spans="1:17" ht="15" customHeight="1" x14ac:dyDescent="0.25">
      <c r="A186" s="212">
        <v>6595</v>
      </c>
      <c r="B186" s="212">
        <v>191</v>
      </c>
      <c r="C186" s="213" t="s">
        <v>207</v>
      </c>
      <c r="D186" s="213" t="s">
        <v>208</v>
      </c>
      <c r="E186" s="213">
        <v>30</v>
      </c>
      <c r="F186" s="213" t="s">
        <v>98</v>
      </c>
      <c r="G186" s="212">
        <v>194</v>
      </c>
      <c r="H186" s="213" t="s">
        <v>99</v>
      </c>
      <c r="I186" s="214" t="s">
        <v>29</v>
      </c>
      <c r="J186" s="215">
        <v>8.3219999999999995E-3</v>
      </c>
      <c r="K186" s="216" t="s">
        <v>272</v>
      </c>
      <c r="L186" s="217">
        <v>0.1</v>
      </c>
      <c r="M186" s="50"/>
      <c r="N186" s="48"/>
      <c r="O186" s="48"/>
      <c r="P186" s="48"/>
      <c r="Q186" s="49"/>
    </row>
    <row r="187" spans="1:17" ht="15" customHeight="1" x14ac:dyDescent="0.25">
      <c r="A187" s="212">
        <v>6595</v>
      </c>
      <c r="B187" s="212">
        <v>191</v>
      </c>
      <c r="C187" s="213" t="s">
        <v>207</v>
      </c>
      <c r="D187" s="213" t="s">
        <v>208</v>
      </c>
      <c r="E187" s="213">
        <v>30</v>
      </c>
      <c r="F187" s="213" t="s">
        <v>101</v>
      </c>
      <c r="G187" s="212">
        <v>3635</v>
      </c>
      <c r="H187" s="213" t="s">
        <v>102</v>
      </c>
      <c r="I187" s="214" t="s">
        <v>66</v>
      </c>
      <c r="J187" s="215">
        <v>0.156</v>
      </c>
      <c r="K187" s="216" t="s">
        <v>275</v>
      </c>
      <c r="L187" s="217">
        <v>0.1</v>
      </c>
      <c r="M187" s="48"/>
      <c r="N187" s="48"/>
      <c r="O187" s="48"/>
      <c r="P187" s="48"/>
      <c r="Q187" s="49"/>
    </row>
    <row r="188" spans="1:17" ht="15" customHeight="1" x14ac:dyDescent="0.25">
      <c r="A188" s="212">
        <v>5782</v>
      </c>
      <c r="B188" s="212">
        <v>70</v>
      </c>
      <c r="C188" s="213" t="s">
        <v>219</v>
      </c>
      <c r="D188" s="213" t="s">
        <v>220</v>
      </c>
      <c r="E188" s="213">
        <v>32</v>
      </c>
      <c r="F188" s="213" t="s">
        <v>27</v>
      </c>
      <c r="G188" s="212">
        <v>3935</v>
      </c>
      <c r="H188" s="213" t="s">
        <v>41</v>
      </c>
      <c r="I188" s="214" t="s">
        <v>29</v>
      </c>
      <c r="J188" s="215">
        <v>10.863200000000001</v>
      </c>
      <c r="K188" s="216" t="s">
        <v>267</v>
      </c>
      <c r="L188" s="217">
        <v>0.1</v>
      </c>
      <c r="M188" s="50"/>
      <c r="N188" s="48"/>
      <c r="O188" s="48"/>
      <c r="P188" s="48"/>
      <c r="Q188" s="49"/>
    </row>
    <row r="189" spans="1:17" ht="15" customHeight="1" x14ac:dyDescent="0.25">
      <c r="A189" s="212">
        <v>5782</v>
      </c>
      <c r="B189" s="212">
        <v>70</v>
      </c>
      <c r="C189" s="213" t="s">
        <v>219</v>
      </c>
      <c r="D189" s="213" t="s">
        <v>220</v>
      </c>
      <c r="E189" s="213">
        <v>32</v>
      </c>
      <c r="F189" s="213" t="s">
        <v>50</v>
      </c>
      <c r="G189" s="212">
        <v>3595</v>
      </c>
      <c r="H189" s="213" t="s">
        <v>268</v>
      </c>
      <c r="I189" s="214" t="s">
        <v>29</v>
      </c>
      <c r="J189" s="215">
        <v>0.78</v>
      </c>
      <c r="K189" s="216" t="s">
        <v>269</v>
      </c>
      <c r="L189" s="217">
        <v>0.1</v>
      </c>
      <c r="M189" s="50"/>
      <c r="N189" s="48"/>
      <c r="O189" s="48"/>
      <c r="P189" s="48"/>
      <c r="Q189" s="49"/>
    </row>
    <row r="190" spans="1:17" ht="15" customHeight="1" x14ac:dyDescent="0.25">
      <c r="A190" s="212">
        <v>5782</v>
      </c>
      <c r="B190" s="212">
        <v>70</v>
      </c>
      <c r="C190" s="213" t="s">
        <v>219</v>
      </c>
      <c r="D190" s="213" t="s">
        <v>220</v>
      </c>
      <c r="E190" s="213">
        <v>32</v>
      </c>
      <c r="F190" s="213" t="s">
        <v>62</v>
      </c>
      <c r="G190" s="212">
        <v>186</v>
      </c>
      <c r="H190" s="213" t="s">
        <v>63</v>
      </c>
      <c r="I190" s="214" t="s">
        <v>29</v>
      </c>
      <c r="J190" s="215">
        <v>0.7</v>
      </c>
      <c r="K190" s="216" t="s">
        <v>280</v>
      </c>
      <c r="L190" s="217">
        <v>0.1</v>
      </c>
      <c r="M190" s="50"/>
      <c r="N190" s="48"/>
      <c r="O190" s="48"/>
      <c r="P190" s="48"/>
      <c r="Q190" s="49"/>
    </row>
    <row r="191" spans="1:17" ht="15" customHeight="1" x14ac:dyDescent="0.25">
      <c r="A191" s="212">
        <v>5782</v>
      </c>
      <c r="B191" s="212">
        <v>70</v>
      </c>
      <c r="C191" s="213" t="s">
        <v>219</v>
      </c>
      <c r="D191" s="213" t="s">
        <v>220</v>
      </c>
      <c r="E191" s="213">
        <v>32</v>
      </c>
      <c r="F191" s="213" t="s">
        <v>64</v>
      </c>
      <c r="G191" s="212">
        <v>1285</v>
      </c>
      <c r="H191" s="213" t="s">
        <v>83</v>
      </c>
      <c r="I191" s="214" t="s">
        <v>66</v>
      </c>
      <c r="J191" s="215">
        <v>1000</v>
      </c>
      <c r="K191" s="216" t="s">
        <v>270</v>
      </c>
      <c r="L191" s="217">
        <v>0.02</v>
      </c>
      <c r="M191" s="50"/>
      <c r="N191" s="48"/>
      <c r="O191" s="48"/>
      <c r="P191" s="48"/>
      <c r="Q191" s="49"/>
    </row>
    <row r="192" spans="1:17" ht="15" customHeight="1" x14ac:dyDescent="0.25">
      <c r="A192" s="212">
        <v>5782</v>
      </c>
      <c r="B192" s="212">
        <v>70</v>
      </c>
      <c r="C192" s="213" t="s">
        <v>219</v>
      </c>
      <c r="D192" s="213" t="s">
        <v>220</v>
      </c>
      <c r="E192" s="213">
        <v>32</v>
      </c>
      <c r="F192" s="213" t="s">
        <v>88</v>
      </c>
      <c r="G192" s="212">
        <v>3988</v>
      </c>
      <c r="H192" s="213" t="s">
        <v>288</v>
      </c>
      <c r="I192" s="214" t="s">
        <v>66</v>
      </c>
      <c r="J192" s="215">
        <v>6.06</v>
      </c>
      <c r="K192" s="216" t="s">
        <v>271</v>
      </c>
      <c r="L192" s="217">
        <v>0.1</v>
      </c>
      <c r="M192" s="48"/>
      <c r="N192" s="48"/>
      <c r="O192" s="48"/>
      <c r="P192" s="48"/>
      <c r="Q192" s="49"/>
    </row>
    <row r="193" spans="1:17" ht="15" customHeight="1" x14ac:dyDescent="0.25">
      <c r="A193" s="212">
        <v>5782</v>
      </c>
      <c r="B193" s="212">
        <v>70</v>
      </c>
      <c r="C193" s="213" t="s">
        <v>219</v>
      </c>
      <c r="D193" s="213" t="s">
        <v>220</v>
      </c>
      <c r="E193" s="213">
        <v>32</v>
      </c>
      <c r="F193" s="213" t="s">
        <v>98</v>
      </c>
      <c r="G193" s="212">
        <v>194</v>
      </c>
      <c r="H193" s="213" t="s">
        <v>99</v>
      </c>
      <c r="I193" s="214" t="s">
        <v>29</v>
      </c>
      <c r="J193" s="215">
        <v>9.5999999999999992E-3</v>
      </c>
      <c r="K193" s="216" t="s">
        <v>272</v>
      </c>
      <c r="L193" s="217">
        <v>0.1</v>
      </c>
      <c r="M193" s="50"/>
      <c r="N193" s="48"/>
      <c r="O193" s="48"/>
      <c r="P193" s="48"/>
      <c r="Q193" s="49"/>
    </row>
    <row r="194" spans="1:17" ht="15" customHeight="1" x14ac:dyDescent="0.25">
      <c r="A194" s="212">
        <v>5782</v>
      </c>
      <c r="B194" s="212">
        <v>70</v>
      </c>
      <c r="C194" s="213" t="s">
        <v>219</v>
      </c>
      <c r="D194" s="213" t="s">
        <v>220</v>
      </c>
      <c r="E194" s="213">
        <v>32</v>
      </c>
      <c r="F194" s="213" t="s">
        <v>43</v>
      </c>
      <c r="G194" s="212">
        <v>4155</v>
      </c>
      <c r="H194" s="213" t="s">
        <v>49</v>
      </c>
      <c r="I194" s="214" t="s">
        <v>46</v>
      </c>
      <c r="J194" s="215">
        <v>0.17849999999999999</v>
      </c>
      <c r="K194" s="216" t="s">
        <v>273</v>
      </c>
      <c r="L194" s="217">
        <v>0.1</v>
      </c>
      <c r="M194" s="48"/>
      <c r="N194" s="48"/>
      <c r="O194" s="48"/>
      <c r="P194" s="48"/>
      <c r="Q194" s="49"/>
    </row>
    <row r="195" spans="1:17" ht="15" customHeight="1" x14ac:dyDescent="0.25">
      <c r="A195" s="212">
        <v>5782</v>
      </c>
      <c r="B195" s="212">
        <v>70</v>
      </c>
      <c r="C195" s="213" t="s">
        <v>219</v>
      </c>
      <c r="D195" s="213" t="s">
        <v>220</v>
      </c>
      <c r="E195" s="213">
        <v>32</v>
      </c>
      <c r="F195" s="213" t="s">
        <v>101</v>
      </c>
      <c r="G195" s="212">
        <v>3635</v>
      </c>
      <c r="H195" s="213" t="s">
        <v>102</v>
      </c>
      <c r="I195" s="214" t="s">
        <v>66</v>
      </c>
      <c r="J195" s="215">
        <v>0.16800000000000001</v>
      </c>
      <c r="K195" s="216" t="s">
        <v>275</v>
      </c>
      <c r="L195" s="217">
        <v>0.1</v>
      </c>
      <c r="M195" s="48"/>
      <c r="N195" s="48"/>
      <c r="O195" s="48"/>
      <c r="P195" s="48"/>
      <c r="Q195" s="49"/>
    </row>
    <row r="196" spans="1:17" ht="15" customHeight="1" x14ac:dyDescent="0.25">
      <c r="A196" s="212">
        <v>6515</v>
      </c>
      <c r="B196" s="212">
        <v>180</v>
      </c>
      <c r="C196" s="213" t="s">
        <v>175</v>
      </c>
      <c r="D196" s="213" t="s">
        <v>176</v>
      </c>
      <c r="E196" s="213">
        <v>32</v>
      </c>
      <c r="F196" s="213" t="s">
        <v>27</v>
      </c>
      <c r="G196" s="212">
        <v>3935</v>
      </c>
      <c r="H196" s="213" t="s">
        <v>41</v>
      </c>
      <c r="I196" s="214" t="s">
        <v>29</v>
      </c>
      <c r="J196" s="215">
        <v>10.863200000000001</v>
      </c>
      <c r="K196" s="216" t="s">
        <v>267</v>
      </c>
      <c r="L196" s="217">
        <v>0.1</v>
      </c>
      <c r="M196" s="48"/>
      <c r="N196" s="48"/>
      <c r="O196" s="48"/>
      <c r="P196" s="48"/>
      <c r="Q196" s="49"/>
    </row>
    <row r="197" spans="1:17" ht="15" customHeight="1" x14ac:dyDescent="0.25">
      <c r="A197" s="212">
        <v>6515</v>
      </c>
      <c r="B197" s="212">
        <v>180</v>
      </c>
      <c r="C197" s="213" t="s">
        <v>175</v>
      </c>
      <c r="D197" s="213" t="s">
        <v>176</v>
      </c>
      <c r="E197" s="213">
        <v>32</v>
      </c>
      <c r="F197" s="213" t="s">
        <v>50</v>
      </c>
      <c r="G197" s="212">
        <v>3595</v>
      </c>
      <c r="H197" s="213" t="s">
        <v>268</v>
      </c>
      <c r="I197" s="214" t="s">
        <v>29</v>
      </c>
      <c r="J197" s="215">
        <v>0.78</v>
      </c>
      <c r="K197" s="216" t="s">
        <v>269</v>
      </c>
      <c r="L197" s="217">
        <v>0.1</v>
      </c>
      <c r="M197" s="50"/>
      <c r="N197" s="48"/>
      <c r="O197" s="48"/>
      <c r="P197" s="48"/>
      <c r="Q197" s="49"/>
    </row>
    <row r="198" spans="1:17" ht="15" customHeight="1" x14ac:dyDescent="0.25">
      <c r="A198" s="212">
        <v>6515</v>
      </c>
      <c r="B198" s="212">
        <v>180</v>
      </c>
      <c r="C198" s="213" t="s">
        <v>175</v>
      </c>
      <c r="D198" s="213" t="s">
        <v>176</v>
      </c>
      <c r="E198" s="213">
        <v>32</v>
      </c>
      <c r="F198" s="213" t="s">
        <v>62</v>
      </c>
      <c r="G198" s="212">
        <v>186</v>
      </c>
      <c r="H198" s="213" t="s">
        <v>63</v>
      </c>
      <c r="I198" s="214" t="s">
        <v>29</v>
      </c>
      <c r="J198" s="215">
        <v>0.7</v>
      </c>
      <c r="K198" s="216" t="s">
        <v>280</v>
      </c>
      <c r="L198" s="217">
        <v>0.1</v>
      </c>
      <c r="M198" s="48"/>
      <c r="N198" s="48"/>
      <c r="O198" s="48"/>
      <c r="P198" s="48"/>
      <c r="Q198" s="49"/>
    </row>
    <row r="199" spans="1:17" ht="15" customHeight="1" x14ac:dyDescent="0.25">
      <c r="A199" s="212">
        <v>6515</v>
      </c>
      <c r="B199" s="212">
        <v>180</v>
      </c>
      <c r="C199" s="213" t="s">
        <v>175</v>
      </c>
      <c r="D199" s="213" t="s">
        <v>176</v>
      </c>
      <c r="E199" s="213">
        <v>32</v>
      </c>
      <c r="F199" s="213" t="s">
        <v>64</v>
      </c>
      <c r="G199" s="212">
        <v>1073</v>
      </c>
      <c r="H199" s="213" t="s">
        <v>82</v>
      </c>
      <c r="I199" s="214" t="s">
        <v>66</v>
      </c>
      <c r="J199" s="215">
        <v>1000</v>
      </c>
      <c r="K199" s="216" t="s">
        <v>270</v>
      </c>
      <c r="L199" s="217">
        <v>0.02</v>
      </c>
      <c r="M199" s="50"/>
      <c r="N199" s="48"/>
      <c r="O199" s="48"/>
      <c r="P199" s="48"/>
      <c r="Q199" s="49"/>
    </row>
    <row r="200" spans="1:17" ht="15" customHeight="1" x14ac:dyDescent="0.25">
      <c r="A200" s="212">
        <v>6515</v>
      </c>
      <c r="B200" s="212">
        <v>180</v>
      </c>
      <c r="C200" s="213" t="s">
        <v>175</v>
      </c>
      <c r="D200" s="213" t="s">
        <v>176</v>
      </c>
      <c r="E200" s="213">
        <v>32</v>
      </c>
      <c r="F200" s="213" t="s">
        <v>88</v>
      </c>
      <c r="G200" s="212">
        <v>3988</v>
      </c>
      <c r="H200" s="213" t="s">
        <v>288</v>
      </c>
      <c r="I200" s="214" t="s">
        <v>66</v>
      </c>
      <c r="J200" s="215">
        <v>6.06</v>
      </c>
      <c r="K200" s="216" t="s">
        <v>271</v>
      </c>
      <c r="L200" s="217">
        <v>0.1</v>
      </c>
      <c r="M200" s="48"/>
      <c r="N200" s="48"/>
      <c r="O200" s="48"/>
      <c r="P200" s="48"/>
      <c r="Q200" s="49"/>
    </row>
    <row r="201" spans="1:17" ht="15" customHeight="1" x14ac:dyDescent="0.25">
      <c r="A201" s="212">
        <v>6515</v>
      </c>
      <c r="B201" s="212">
        <v>180</v>
      </c>
      <c r="C201" s="213" t="s">
        <v>175</v>
      </c>
      <c r="D201" s="213" t="s">
        <v>176</v>
      </c>
      <c r="E201" s="213">
        <v>32</v>
      </c>
      <c r="F201" s="213" t="s">
        <v>98</v>
      </c>
      <c r="G201" s="212">
        <v>194</v>
      </c>
      <c r="H201" s="213" t="s">
        <v>99</v>
      </c>
      <c r="I201" s="214" t="s">
        <v>29</v>
      </c>
      <c r="J201" s="215">
        <v>9.5999999999999992E-3</v>
      </c>
      <c r="K201" s="216" t="s">
        <v>272</v>
      </c>
      <c r="L201" s="217">
        <v>0.1</v>
      </c>
      <c r="M201" s="50"/>
      <c r="N201" s="48"/>
      <c r="O201" s="48"/>
      <c r="P201" s="48"/>
      <c r="Q201" s="49"/>
    </row>
    <row r="202" spans="1:17" ht="15" customHeight="1" x14ac:dyDescent="0.25">
      <c r="A202" s="212">
        <v>6515</v>
      </c>
      <c r="B202" s="212">
        <v>180</v>
      </c>
      <c r="C202" s="213" t="s">
        <v>175</v>
      </c>
      <c r="D202" s="213" t="s">
        <v>176</v>
      </c>
      <c r="E202" s="213">
        <v>32</v>
      </c>
      <c r="F202" s="213" t="s">
        <v>43</v>
      </c>
      <c r="G202" s="212">
        <v>4155</v>
      </c>
      <c r="H202" s="213" t="s">
        <v>49</v>
      </c>
      <c r="I202" s="214" t="s">
        <v>29</v>
      </c>
      <c r="J202" s="215">
        <v>0.17849999999999999</v>
      </c>
      <c r="K202" s="216" t="s">
        <v>273</v>
      </c>
      <c r="L202" s="217">
        <v>0.1</v>
      </c>
      <c r="M202" s="50"/>
      <c r="N202" s="48"/>
      <c r="O202" s="48"/>
      <c r="P202" s="48"/>
      <c r="Q202" s="49"/>
    </row>
    <row r="203" spans="1:17" ht="15" customHeight="1" x14ac:dyDescent="0.25">
      <c r="A203" s="212">
        <v>6515</v>
      </c>
      <c r="B203" s="212">
        <v>180</v>
      </c>
      <c r="C203" s="213" t="s">
        <v>175</v>
      </c>
      <c r="D203" s="213" t="s">
        <v>176</v>
      </c>
      <c r="E203" s="213">
        <v>32</v>
      </c>
      <c r="F203" s="213" t="s">
        <v>101</v>
      </c>
      <c r="G203" s="212">
        <v>3635</v>
      </c>
      <c r="H203" s="213" t="s">
        <v>102</v>
      </c>
      <c r="I203" s="214" t="s">
        <v>66</v>
      </c>
      <c r="J203" s="215">
        <v>0.16800000000000001</v>
      </c>
      <c r="K203" s="216" t="s">
        <v>275</v>
      </c>
      <c r="L203" s="217">
        <v>0.1</v>
      </c>
      <c r="M203" s="48"/>
      <c r="N203" s="48"/>
      <c r="O203" s="48"/>
      <c r="P203" s="48"/>
      <c r="Q203" s="49"/>
    </row>
    <row r="204" spans="1:17" ht="15" customHeight="1" x14ac:dyDescent="0.25">
      <c r="A204" s="212">
        <v>6020</v>
      </c>
      <c r="B204" s="212">
        <v>130</v>
      </c>
      <c r="C204" s="213" t="s">
        <v>221</v>
      </c>
      <c r="D204" s="213" t="s">
        <v>224</v>
      </c>
      <c r="E204" s="213">
        <v>35</v>
      </c>
      <c r="F204" s="213" t="s">
        <v>27</v>
      </c>
      <c r="G204" s="212">
        <v>3503</v>
      </c>
      <c r="H204" s="213" t="s">
        <v>42</v>
      </c>
      <c r="I204" s="214" t="s">
        <v>29</v>
      </c>
      <c r="J204" s="215">
        <v>12.82</v>
      </c>
      <c r="K204" s="216" t="s">
        <v>267</v>
      </c>
      <c r="L204" s="217">
        <v>0.1</v>
      </c>
      <c r="M204" s="50"/>
      <c r="N204" s="48"/>
      <c r="O204" s="48"/>
      <c r="P204" s="48"/>
      <c r="Q204" s="49"/>
    </row>
    <row r="205" spans="1:17" ht="15" customHeight="1" x14ac:dyDescent="0.25">
      <c r="A205" s="212">
        <v>6020</v>
      </c>
      <c r="B205" s="212">
        <v>130</v>
      </c>
      <c r="C205" s="213" t="s">
        <v>221</v>
      </c>
      <c r="D205" s="213" t="s">
        <v>224</v>
      </c>
      <c r="E205" s="213">
        <v>35</v>
      </c>
      <c r="F205" s="213" t="s">
        <v>50</v>
      </c>
      <c r="G205" s="212">
        <v>4156</v>
      </c>
      <c r="H205" s="213" t="s">
        <v>56</v>
      </c>
      <c r="I205" s="214" t="s">
        <v>29</v>
      </c>
      <c r="J205" s="215">
        <v>1.2</v>
      </c>
      <c r="K205" s="216" t="s">
        <v>269</v>
      </c>
      <c r="L205" s="217">
        <v>0.1</v>
      </c>
      <c r="M205" s="50"/>
      <c r="N205" s="48"/>
      <c r="O205" s="48"/>
      <c r="P205" s="48"/>
      <c r="Q205" s="49"/>
    </row>
    <row r="206" spans="1:17" ht="15" customHeight="1" x14ac:dyDescent="0.25">
      <c r="A206" s="212">
        <v>6020</v>
      </c>
      <c r="B206" s="212">
        <v>130</v>
      </c>
      <c r="C206" s="213" t="s">
        <v>221</v>
      </c>
      <c r="D206" s="213" t="s">
        <v>224</v>
      </c>
      <c r="E206" s="213">
        <v>35</v>
      </c>
      <c r="F206" s="213" t="s">
        <v>50</v>
      </c>
      <c r="G206" s="212"/>
      <c r="H206" s="213" t="s">
        <v>289</v>
      </c>
      <c r="I206" s="214" t="s">
        <v>29</v>
      </c>
      <c r="J206" s="215">
        <v>0.78</v>
      </c>
      <c r="K206" s="216" t="s">
        <v>269</v>
      </c>
      <c r="L206" s="217">
        <v>0.1</v>
      </c>
      <c r="M206" s="48"/>
      <c r="N206" s="48"/>
      <c r="O206" s="48"/>
      <c r="P206" s="48"/>
      <c r="Q206" s="49"/>
    </row>
    <row r="207" spans="1:17" ht="15" customHeight="1" x14ac:dyDescent="0.25">
      <c r="A207" s="212">
        <v>6020</v>
      </c>
      <c r="B207" s="212">
        <v>130</v>
      </c>
      <c r="C207" s="213" t="s">
        <v>221</v>
      </c>
      <c r="D207" s="213" t="s">
        <v>224</v>
      </c>
      <c r="E207" s="213">
        <v>35</v>
      </c>
      <c r="F207" s="213" t="s">
        <v>64</v>
      </c>
      <c r="G207" s="212">
        <v>1073</v>
      </c>
      <c r="H207" s="213" t="s">
        <v>82</v>
      </c>
      <c r="I207" s="214" t="s">
        <v>66</v>
      </c>
      <c r="J207" s="215">
        <v>1000</v>
      </c>
      <c r="K207" s="216" t="s">
        <v>270</v>
      </c>
      <c r="L207" s="217">
        <v>0.02</v>
      </c>
      <c r="M207" s="50"/>
      <c r="N207" s="48"/>
      <c r="O207" s="48"/>
      <c r="P207" s="48"/>
      <c r="Q207" s="49"/>
    </row>
    <row r="208" spans="1:17" ht="15" customHeight="1" x14ac:dyDescent="0.25">
      <c r="A208" s="212">
        <v>6020</v>
      </c>
      <c r="B208" s="212">
        <v>130</v>
      </c>
      <c r="C208" s="213" t="s">
        <v>221</v>
      </c>
      <c r="D208" s="213" t="s">
        <v>224</v>
      </c>
      <c r="E208" s="213">
        <v>35</v>
      </c>
      <c r="F208" s="213" t="s">
        <v>88</v>
      </c>
      <c r="G208" s="212">
        <v>3988</v>
      </c>
      <c r="H208" s="213" t="s">
        <v>288</v>
      </c>
      <c r="I208" s="214" t="s">
        <v>66</v>
      </c>
      <c r="J208" s="215">
        <v>6.06</v>
      </c>
      <c r="K208" s="216" t="s">
        <v>271</v>
      </c>
      <c r="L208" s="217">
        <v>0.1</v>
      </c>
      <c r="M208" s="48"/>
      <c r="N208" s="48"/>
      <c r="O208" s="48"/>
      <c r="P208" s="48"/>
      <c r="Q208" s="49"/>
    </row>
    <row r="209" spans="1:17" ht="15" customHeight="1" x14ac:dyDescent="0.25">
      <c r="A209" s="212">
        <v>6020</v>
      </c>
      <c r="B209" s="212">
        <v>130</v>
      </c>
      <c r="C209" s="213" t="s">
        <v>221</v>
      </c>
      <c r="D209" s="213" t="s">
        <v>224</v>
      </c>
      <c r="E209" s="213">
        <v>35</v>
      </c>
      <c r="F209" s="213" t="s">
        <v>98</v>
      </c>
      <c r="G209" s="212">
        <v>194</v>
      </c>
      <c r="H209" s="213" t="s">
        <v>99</v>
      </c>
      <c r="I209" s="214" t="s">
        <v>29</v>
      </c>
      <c r="J209" s="215">
        <v>1.333E-2</v>
      </c>
      <c r="K209" s="216" t="s">
        <v>272</v>
      </c>
      <c r="L209" s="217">
        <v>0.1</v>
      </c>
      <c r="M209" s="50"/>
      <c r="N209" s="48"/>
      <c r="O209" s="48"/>
      <c r="P209" s="48"/>
      <c r="Q209" s="49"/>
    </row>
    <row r="210" spans="1:17" ht="15" customHeight="1" x14ac:dyDescent="0.25">
      <c r="A210" s="212">
        <v>6020</v>
      </c>
      <c r="B210" s="212">
        <v>130</v>
      </c>
      <c r="C210" s="213" t="s">
        <v>221</v>
      </c>
      <c r="D210" s="213" t="s">
        <v>224</v>
      </c>
      <c r="E210" s="213">
        <v>35</v>
      </c>
      <c r="F210" s="213" t="s">
        <v>101</v>
      </c>
      <c r="G210" s="212">
        <v>3635</v>
      </c>
      <c r="H210" s="213" t="s">
        <v>102</v>
      </c>
      <c r="I210" s="214" t="s">
        <v>66</v>
      </c>
      <c r="J210" s="215">
        <v>0.16800000000000001</v>
      </c>
      <c r="K210" s="216" t="s">
        <v>275</v>
      </c>
      <c r="L210" s="217">
        <v>0.1</v>
      </c>
      <c r="M210" s="48"/>
      <c r="N210" s="48"/>
      <c r="O210" s="48"/>
      <c r="P210" s="48"/>
      <c r="Q210" s="49"/>
    </row>
    <row r="211" spans="1:17" ht="15" customHeight="1" x14ac:dyDescent="0.25">
      <c r="A211" s="212">
        <v>6020</v>
      </c>
      <c r="B211" s="212">
        <v>130</v>
      </c>
      <c r="C211" s="213" t="s">
        <v>221</v>
      </c>
      <c r="D211" s="213" t="s">
        <v>224</v>
      </c>
      <c r="E211" s="213">
        <v>35</v>
      </c>
      <c r="F211" s="213" t="s">
        <v>43</v>
      </c>
      <c r="G211" s="212">
        <v>4155</v>
      </c>
      <c r="H211" s="213" t="s">
        <v>49</v>
      </c>
      <c r="I211" s="214" t="s">
        <v>29</v>
      </c>
      <c r="J211" s="215">
        <v>0.5</v>
      </c>
      <c r="K211" s="216" t="s">
        <v>273</v>
      </c>
      <c r="L211" s="217">
        <v>0.1</v>
      </c>
      <c r="M211" s="48"/>
      <c r="N211" s="48"/>
      <c r="O211" s="48"/>
      <c r="P211" s="48"/>
      <c r="Q211" s="49"/>
    </row>
    <row r="212" spans="1:17" ht="15" customHeight="1" x14ac:dyDescent="0.25">
      <c r="A212" s="212">
        <v>6020</v>
      </c>
      <c r="B212" s="212">
        <v>130</v>
      </c>
      <c r="C212" s="213" t="s">
        <v>221</v>
      </c>
      <c r="D212" s="213" t="s">
        <v>224</v>
      </c>
      <c r="E212" s="213">
        <v>35</v>
      </c>
      <c r="F212" s="213" t="s">
        <v>62</v>
      </c>
      <c r="G212" s="212">
        <v>186</v>
      </c>
      <c r="H212" s="213" t="s">
        <v>63</v>
      </c>
      <c r="I212" s="214" t="s">
        <v>29</v>
      </c>
      <c r="J212" s="215">
        <v>0.7</v>
      </c>
      <c r="K212" s="216" t="s">
        <v>280</v>
      </c>
      <c r="L212" s="217">
        <v>0.1</v>
      </c>
      <c r="M212" s="48"/>
      <c r="N212" s="48"/>
      <c r="O212" s="48"/>
      <c r="P212" s="48"/>
      <c r="Q212" s="49"/>
    </row>
    <row r="213" spans="1:17" ht="15" customHeight="1" x14ac:dyDescent="0.25">
      <c r="A213" s="212">
        <v>6021</v>
      </c>
      <c r="B213" s="212">
        <v>131</v>
      </c>
      <c r="C213" s="213" t="s">
        <v>221</v>
      </c>
      <c r="D213" s="213" t="s">
        <v>225</v>
      </c>
      <c r="E213" s="213">
        <v>35</v>
      </c>
      <c r="F213" s="213" t="s">
        <v>27</v>
      </c>
      <c r="G213" s="212">
        <v>3503</v>
      </c>
      <c r="H213" s="213" t="s">
        <v>42</v>
      </c>
      <c r="I213" s="214" t="s">
        <v>29</v>
      </c>
      <c r="J213" s="215">
        <v>12.82</v>
      </c>
      <c r="K213" s="216" t="s">
        <v>267</v>
      </c>
      <c r="L213" s="217">
        <v>0.1</v>
      </c>
      <c r="M213" s="50"/>
      <c r="N213" s="48"/>
      <c r="O213" s="48"/>
      <c r="P213" s="48"/>
      <c r="Q213" s="49"/>
    </row>
    <row r="214" spans="1:17" ht="15" customHeight="1" x14ac:dyDescent="0.25">
      <c r="A214" s="212">
        <v>6021</v>
      </c>
      <c r="B214" s="212">
        <v>131</v>
      </c>
      <c r="C214" s="213" t="s">
        <v>221</v>
      </c>
      <c r="D214" s="213" t="s">
        <v>225</v>
      </c>
      <c r="E214" s="213">
        <v>35</v>
      </c>
      <c r="F214" s="213" t="s">
        <v>50</v>
      </c>
      <c r="G214" s="212">
        <v>4156</v>
      </c>
      <c r="H214" s="213" t="s">
        <v>56</v>
      </c>
      <c r="I214" s="214" t="s">
        <v>29</v>
      </c>
      <c r="J214" s="215">
        <v>1.2</v>
      </c>
      <c r="K214" s="216" t="s">
        <v>269</v>
      </c>
      <c r="L214" s="217">
        <v>0.1</v>
      </c>
      <c r="M214" s="48"/>
      <c r="N214" s="48"/>
      <c r="O214" s="48"/>
      <c r="P214" s="48"/>
      <c r="Q214" s="49"/>
    </row>
    <row r="215" spans="1:17" ht="15" customHeight="1" x14ac:dyDescent="0.25">
      <c r="A215" s="212">
        <v>6021</v>
      </c>
      <c r="B215" s="212">
        <v>131</v>
      </c>
      <c r="C215" s="213" t="s">
        <v>221</v>
      </c>
      <c r="D215" s="213" t="s">
        <v>225</v>
      </c>
      <c r="E215" s="213">
        <v>35</v>
      </c>
      <c r="F215" s="213" t="s">
        <v>50</v>
      </c>
      <c r="G215" s="212"/>
      <c r="H215" s="213" t="s">
        <v>289</v>
      </c>
      <c r="I215" s="214" t="s">
        <v>29</v>
      </c>
      <c r="J215" s="215">
        <v>0.78</v>
      </c>
      <c r="K215" s="216" t="s">
        <v>269</v>
      </c>
      <c r="L215" s="217">
        <v>0.1</v>
      </c>
      <c r="M215" s="50"/>
      <c r="N215" s="48"/>
      <c r="O215" s="48"/>
      <c r="P215" s="48"/>
      <c r="Q215" s="49"/>
    </row>
    <row r="216" spans="1:17" ht="15" customHeight="1" x14ac:dyDescent="0.25">
      <c r="A216" s="212">
        <v>6021</v>
      </c>
      <c r="B216" s="212">
        <v>131</v>
      </c>
      <c r="C216" s="213" t="s">
        <v>221</v>
      </c>
      <c r="D216" s="213" t="s">
        <v>225</v>
      </c>
      <c r="E216" s="213">
        <v>35</v>
      </c>
      <c r="F216" s="213" t="s">
        <v>64</v>
      </c>
      <c r="G216" s="212">
        <v>1073</v>
      </c>
      <c r="H216" s="213" t="s">
        <v>82</v>
      </c>
      <c r="I216" s="214" t="s">
        <v>66</v>
      </c>
      <c r="J216" s="215">
        <v>1000</v>
      </c>
      <c r="K216" s="216" t="s">
        <v>270</v>
      </c>
      <c r="L216" s="217">
        <v>0.02</v>
      </c>
      <c r="M216" s="50"/>
      <c r="N216" s="48"/>
      <c r="O216" s="48"/>
      <c r="P216" s="48"/>
      <c r="Q216" s="49"/>
    </row>
    <row r="217" spans="1:17" ht="15" customHeight="1" x14ac:dyDescent="0.25">
      <c r="A217" s="212">
        <v>6021</v>
      </c>
      <c r="B217" s="212">
        <v>131</v>
      </c>
      <c r="C217" s="213" t="s">
        <v>221</v>
      </c>
      <c r="D217" s="213" t="s">
        <v>225</v>
      </c>
      <c r="E217" s="213">
        <v>35</v>
      </c>
      <c r="F217" s="213" t="s">
        <v>88</v>
      </c>
      <c r="G217" s="212">
        <v>3988</v>
      </c>
      <c r="H217" s="213" t="s">
        <v>288</v>
      </c>
      <c r="I217" s="214" t="s">
        <v>66</v>
      </c>
      <c r="J217" s="215">
        <v>6.06</v>
      </c>
      <c r="K217" s="216" t="s">
        <v>271</v>
      </c>
      <c r="L217" s="217">
        <v>0.1</v>
      </c>
      <c r="M217" s="50"/>
      <c r="N217" s="48"/>
      <c r="O217" s="48"/>
      <c r="P217" s="48"/>
      <c r="Q217" s="49"/>
    </row>
    <row r="218" spans="1:17" ht="15" customHeight="1" x14ac:dyDescent="0.25">
      <c r="A218" s="212">
        <v>6021</v>
      </c>
      <c r="B218" s="212">
        <v>131</v>
      </c>
      <c r="C218" s="213" t="s">
        <v>221</v>
      </c>
      <c r="D218" s="213" t="s">
        <v>225</v>
      </c>
      <c r="E218" s="213">
        <v>35</v>
      </c>
      <c r="F218" s="213" t="s">
        <v>98</v>
      </c>
      <c r="G218" s="212">
        <v>194</v>
      </c>
      <c r="H218" s="213" t="s">
        <v>99</v>
      </c>
      <c r="I218" s="214" t="s">
        <v>29</v>
      </c>
      <c r="J218" s="215">
        <v>1.333E-2</v>
      </c>
      <c r="K218" s="216" t="s">
        <v>272</v>
      </c>
      <c r="L218" s="217">
        <v>0.1</v>
      </c>
      <c r="M218" s="48"/>
      <c r="N218" s="48"/>
      <c r="O218" s="48"/>
      <c r="P218" s="48"/>
      <c r="Q218" s="49"/>
    </row>
    <row r="219" spans="1:17" ht="15" customHeight="1" x14ac:dyDescent="0.25">
      <c r="A219" s="212">
        <v>6021</v>
      </c>
      <c r="B219" s="212">
        <v>131</v>
      </c>
      <c r="C219" s="213" t="s">
        <v>221</v>
      </c>
      <c r="D219" s="213" t="s">
        <v>225</v>
      </c>
      <c r="E219" s="213">
        <v>35</v>
      </c>
      <c r="F219" s="213" t="s">
        <v>101</v>
      </c>
      <c r="G219" s="212">
        <v>3635</v>
      </c>
      <c r="H219" s="213" t="s">
        <v>102</v>
      </c>
      <c r="I219" s="214" t="s">
        <v>66</v>
      </c>
      <c r="J219" s="215">
        <v>0.16800000000000001</v>
      </c>
      <c r="K219" s="216" t="s">
        <v>275</v>
      </c>
      <c r="L219" s="217">
        <v>0.1</v>
      </c>
      <c r="M219" s="48"/>
      <c r="N219" s="48"/>
      <c r="O219" s="48"/>
      <c r="P219" s="48"/>
      <c r="Q219" s="49"/>
    </row>
    <row r="220" spans="1:17" ht="15" customHeight="1" x14ac:dyDescent="0.25">
      <c r="A220" s="212">
        <v>6021</v>
      </c>
      <c r="B220" s="212">
        <v>131</v>
      </c>
      <c r="C220" s="213" t="s">
        <v>221</v>
      </c>
      <c r="D220" s="213" t="s">
        <v>225</v>
      </c>
      <c r="E220" s="213">
        <v>35</v>
      </c>
      <c r="F220" s="213" t="s">
        <v>43</v>
      </c>
      <c r="G220" s="212">
        <v>4155</v>
      </c>
      <c r="H220" s="213" t="s">
        <v>49</v>
      </c>
      <c r="I220" s="214" t="s">
        <v>29</v>
      </c>
      <c r="J220" s="215">
        <v>0.5</v>
      </c>
      <c r="K220" s="216" t="s">
        <v>273</v>
      </c>
      <c r="L220" s="217">
        <v>0.1</v>
      </c>
      <c r="M220" s="48"/>
      <c r="N220" s="48"/>
      <c r="O220" s="48"/>
      <c r="P220" s="48"/>
      <c r="Q220" s="49"/>
    </row>
    <row r="221" spans="1:17" ht="15" customHeight="1" x14ac:dyDescent="0.25">
      <c r="A221" s="212">
        <v>6021</v>
      </c>
      <c r="B221" s="212">
        <v>131</v>
      </c>
      <c r="C221" s="213" t="s">
        <v>221</v>
      </c>
      <c r="D221" s="213" t="s">
        <v>225</v>
      </c>
      <c r="E221" s="213">
        <v>35</v>
      </c>
      <c r="F221" s="213" t="s">
        <v>62</v>
      </c>
      <c r="G221" s="212">
        <v>186</v>
      </c>
      <c r="H221" s="213" t="s">
        <v>63</v>
      </c>
      <c r="I221" s="214" t="s">
        <v>29</v>
      </c>
      <c r="J221" s="215">
        <v>0.7</v>
      </c>
      <c r="K221" s="216" t="s">
        <v>280</v>
      </c>
      <c r="L221" s="217">
        <v>0.1</v>
      </c>
      <c r="M221" s="48"/>
      <c r="N221" s="48"/>
      <c r="O221" s="48"/>
      <c r="P221" s="48"/>
      <c r="Q221" s="49"/>
    </row>
    <row r="222" spans="1:17" ht="15" customHeight="1" x14ac:dyDescent="0.25">
      <c r="A222" s="212">
        <v>6530</v>
      </c>
      <c r="B222" s="212">
        <v>182</v>
      </c>
      <c r="C222" s="213" t="s">
        <v>221</v>
      </c>
      <c r="D222" s="213" t="s">
        <v>222</v>
      </c>
      <c r="E222" s="213">
        <v>35</v>
      </c>
      <c r="F222" s="213" t="s">
        <v>27</v>
      </c>
      <c r="G222" s="212">
        <v>3503</v>
      </c>
      <c r="H222" s="213" t="s">
        <v>42</v>
      </c>
      <c r="I222" s="214" t="s">
        <v>29</v>
      </c>
      <c r="J222" s="215">
        <v>12.82</v>
      </c>
      <c r="K222" s="216" t="s">
        <v>267</v>
      </c>
      <c r="L222" s="217">
        <v>0.1</v>
      </c>
      <c r="M222" s="48"/>
      <c r="N222" s="48"/>
      <c r="O222" s="48"/>
      <c r="P222" s="48"/>
      <c r="Q222" s="49"/>
    </row>
    <row r="223" spans="1:17" ht="15" customHeight="1" x14ac:dyDescent="0.25">
      <c r="A223" s="212">
        <v>6530</v>
      </c>
      <c r="B223" s="212">
        <v>182</v>
      </c>
      <c r="C223" s="213" t="s">
        <v>221</v>
      </c>
      <c r="D223" s="213" t="s">
        <v>222</v>
      </c>
      <c r="E223" s="213">
        <v>35</v>
      </c>
      <c r="F223" s="213" t="s">
        <v>50</v>
      </c>
      <c r="G223" s="212">
        <v>3595</v>
      </c>
      <c r="H223" s="213" t="s">
        <v>268</v>
      </c>
      <c r="I223" s="214" t="s">
        <v>29</v>
      </c>
      <c r="J223" s="215">
        <v>0.78</v>
      </c>
      <c r="K223" s="216" t="s">
        <v>269</v>
      </c>
      <c r="L223" s="217">
        <v>0.1</v>
      </c>
      <c r="M223" s="50"/>
      <c r="N223" s="48"/>
      <c r="O223" s="48"/>
      <c r="P223" s="48"/>
      <c r="Q223" s="49"/>
    </row>
    <row r="224" spans="1:17" ht="15" customHeight="1" x14ac:dyDescent="0.25">
      <c r="A224" s="212">
        <v>6530</v>
      </c>
      <c r="B224" s="212">
        <v>182</v>
      </c>
      <c r="C224" s="213" t="s">
        <v>221</v>
      </c>
      <c r="D224" s="213" t="s">
        <v>222</v>
      </c>
      <c r="E224" s="213">
        <v>35</v>
      </c>
      <c r="F224" s="213" t="s">
        <v>64</v>
      </c>
      <c r="G224" s="212">
        <v>578</v>
      </c>
      <c r="H224" s="213" t="s">
        <v>86</v>
      </c>
      <c r="I224" s="214" t="s">
        <v>66</v>
      </c>
      <c r="J224" s="215">
        <v>1000</v>
      </c>
      <c r="K224" s="216" t="s">
        <v>270</v>
      </c>
      <c r="L224" s="217">
        <v>0.02</v>
      </c>
      <c r="M224" s="48"/>
      <c r="N224" s="48"/>
      <c r="O224" s="48"/>
      <c r="P224" s="48"/>
      <c r="Q224" s="49"/>
    </row>
    <row r="225" spans="1:17" ht="15" customHeight="1" x14ac:dyDescent="0.25">
      <c r="A225" s="212">
        <v>6530</v>
      </c>
      <c r="B225" s="212">
        <v>182</v>
      </c>
      <c r="C225" s="213" t="s">
        <v>221</v>
      </c>
      <c r="D225" s="213" t="s">
        <v>222</v>
      </c>
      <c r="E225" s="213">
        <v>35</v>
      </c>
      <c r="F225" s="213" t="s">
        <v>88</v>
      </c>
      <c r="G225" s="212">
        <v>3988</v>
      </c>
      <c r="H225" s="213" t="s">
        <v>288</v>
      </c>
      <c r="I225" s="214" t="s">
        <v>66</v>
      </c>
      <c r="J225" s="215">
        <v>6.06</v>
      </c>
      <c r="K225" s="216" t="s">
        <v>271</v>
      </c>
      <c r="L225" s="217">
        <v>0.1</v>
      </c>
      <c r="M225" s="50"/>
      <c r="N225" s="48"/>
      <c r="O225" s="48"/>
      <c r="P225" s="48"/>
      <c r="Q225" s="49"/>
    </row>
    <row r="226" spans="1:17" ht="15" customHeight="1" x14ac:dyDescent="0.25">
      <c r="A226" s="212">
        <v>6530</v>
      </c>
      <c r="B226" s="212">
        <v>182</v>
      </c>
      <c r="C226" s="213" t="s">
        <v>221</v>
      </c>
      <c r="D226" s="213" t="s">
        <v>222</v>
      </c>
      <c r="E226" s="213">
        <v>35</v>
      </c>
      <c r="F226" s="213" t="s">
        <v>98</v>
      </c>
      <c r="G226" s="212">
        <v>194</v>
      </c>
      <c r="H226" s="213" t="s">
        <v>99</v>
      </c>
      <c r="I226" s="214" t="s">
        <v>29</v>
      </c>
      <c r="J226" s="215">
        <v>1.3299999999999999E-2</v>
      </c>
      <c r="K226" s="216" t="s">
        <v>272</v>
      </c>
      <c r="L226" s="217">
        <v>0.1</v>
      </c>
      <c r="M226" s="50"/>
      <c r="N226" s="48"/>
      <c r="O226" s="48"/>
      <c r="P226" s="48"/>
      <c r="Q226" s="49"/>
    </row>
    <row r="227" spans="1:17" ht="15" customHeight="1" x14ac:dyDescent="0.25">
      <c r="A227" s="212">
        <v>6530</v>
      </c>
      <c r="B227" s="212">
        <v>182</v>
      </c>
      <c r="C227" s="213" t="s">
        <v>221</v>
      </c>
      <c r="D227" s="213" t="s">
        <v>222</v>
      </c>
      <c r="E227" s="213">
        <v>35</v>
      </c>
      <c r="F227" s="213" t="s">
        <v>43</v>
      </c>
      <c r="G227" s="212">
        <v>4155</v>
      </c>
      <c r="H227" s="213" t="s">
        <v>49</v>
      </c>
      <c r="I227" s="214" t="s">
        <v>29</v>
      </c>
      <c r="J227" s="215">
        <v>0.16</v>
      </c>
      <c r="K227" s="216" t="s">
        <v>273</v>
      </c>
      <c r="L227" s="217">
        <v>0.1</v>
      </c>
      <c r="M227" s="48"/>
      <c r="N227" s="48"/>
      <c r="O227" s="48"/>
      <c r="P227" s="48"/>
      <c r="Q227" s="49"/>
    </row>
    <row r="228" spans="1:17" ht="15" customHeight="1" x14ac:dyDescent="0.25">
      <c r="A228" s="212">
        <v>6530</v>
      </c>
      <c r="B228" s="212">
        <v>182</v>
      </c>
      <c r="C228" s="213" t="s">
        <v>221</v>
      </c>
      <c r="D228" s="213" t="s">
        <v>222</v>
      </c>
      <c r="E228" s="213">
        <v>35</v>
      </c>
      <c r="F228" s="213" t="s">
        <v>101</v>
      </c>
      <c r="G228" s="212">
        <v>3635</v>
      </c>
      <c r="H228" s="213" t="s">
        <v>102</v>
      </c>
      <c r="I228" s="214" t="s">
        <v>66</v>
      </c>
      <c r="J228" s="215">
        <v>0.16800000000000001</v>
      </c>
      <c r="K228" s="216" t="s">
        <v>275</v>
      </c>
      <c r="L228" s="217">
        <v>0.1</v>
      </c>
      <c r="M228" s="48"/>
      <c r="N228" s="48"/>
      <c r="O228" s="48"/>
      <c r="P228" s="48"/>
      <c r="Q228" s="49"/>
    </row>
    <row r="229" spans="1:17" ht="15" customHeight="1" x14ac:dyDescent="0.25">
      <c r="A229" s="212">
        <v>6531</v>
      </c>
      <c r="B229" s="212">
        <v>183</v>
      </c>
      <c r="C229" s="213" t="s">
        <v>221</v>
      </c>
      <c r="D229" s="213" t="s">
        <v>223</v>
      </c>
      <c r="E229" s="213">
        <v>35</v>
      </c>
      <c r="F229" s="213" t="s">
        <v>27</v>
      </c>
      <c r="G229" s="212">
        <v>3503</v>
      </c>
      <c r="H229" s="213" t="s">
        <v>42</v>
      </c>
      <c r="I229" s="214" t="s">
        <v>29</v>
      </c>
      <c r="J229" s="215">
        <v>12.82</v>
      </c>
      <c r="K229" s="216" t="s">
        <v>267</v>
      </c>
      <c r="L229" s="217">
        <v>0.1</v>
      </c>
      <c r="M229" s="48"/>
      <c r="N229" s="48"/>
      <c r="O229" s="48"/>
      <c r="P229" s="48"/>
      <c r="Q229" s="49"/>
    </row>
    <row r="230" spans="1:17" ht="15" customHeight="1" x14ac:dyDescent="0.25">
      <c r="A230" s="212">
        <v>6531</v>
      </c>
      <c r="B230" s="212">
        <v>183</v>
      </c>
      <c r="C230" s="213" t="s">
        <v>221</v>
      </c>
      <c r="D230" s="213" t="s">
        <v>223</v>
      </c>
      <c r="E230" s="213">
        <v>35</v>
      </c>
      <c r="F230" s="213" t="s">
        <v>50</v>
      </c>
      <c r="G230" s="212">
        <v>3595</v>
      </c>
      <c r="H230" s="213" t="s">
        <v>268</v>
      </c>
      <c r="I230" s="214" t="s">
        <v>29</v>
      </c>
      <c r="J230" s="215">
        <v>0.78</v>
      </c>
      <c r="K230" s="216" t="s">
        <v>269</v>
      </c>
      <c r="L230" s="217">
        <v>0.1</v>
      </c>
      <c r="M230" s="48"/>
      <c r="N230" s="48"/>
      <c r="O230" s="48"/>
      <c r="P230" s="48"/>
      <c r="Q230" s="49"/>
    </row>
    <row r="231" spans="1:17" ht="15" customHeight="1" x14ac:dyDescent="0.25">
      <c r="A231" s="212">
        <v>6531</v>
      </c>
      <c r="B231" s="212">
        <v>183</v>
      </c>
      <c r="C231" s="213" t="s">
        <v>221</v>
      </c>
      <c r="D231" s="213" t="s">
        <v>223</v>
      </c>
      <c r="E231" s="213">
        <v>35</v>
      </c>
      <c r="F231" s="213" t="s">
        <v>64</v>
      </c>
      <c r="G231" s="212">
        <v>578</v>
      </c>
      <c r="H231" s="213" t="s">
        <v>86</v>
      </c>
      <c r="I231" s="214" t="s">
        <v>66</v>
      </c>
      <c r="J231" s="215">
        <v>1000</v>
      </c>
      <c r="K231" s="216" t="s">
        <v>270</v>
      </c>
      <c r="L231" s="217">
        <v>0.02</v>
      </c>
      <c r="M231" s="50"/>
      <c r="N231" s="48"/>
      <c r="O231" s="48"/>
      <c r="P231" s="48"/>
      <c r="Q231" s="49"/>
    </row>
    <row r="232" spans="1:17" ht="15" customHeight="1" x14ac:dyDescent="0.25">
      <c r="A232" s="212">
        <v>6531</v>
      </c>
      <c r="B232" s="212">
        <v>183</v>
      </c>
      <c r="C232" s="213" t="s">
        <v>221</v>
      </c>
      <c r="D232" s="213" t="s">
        <v>223</v>
      </c>
      <c r="E232" s="213">
        <v>35</v>
      </c>
      <c r="F232" s="213" t="s">
        <v>88</v>
      </c>
      <c r="G232" s="212">
        <v>3988</v>
      </c>
      <c r="H232" s="213" t="s">
        <v>288</v>
      </c>
      <c r="I232" s="214" t="s">
        <v>66</v>
      </c>
      <c r="J232" s="215">
        <v>6.06</v>
      </c>
      <c r="K232" s="216" t="s">
        <v>271</v>
      </c>
      <c r="L232" s="217">
        <v>0.1</v>
      </c>
      <c r="M232" s="48"/>
      <c r="N232" s="48"/>
      <c r="O232" s="48"/>
      <c r="P232" s="48"/>
      <c r="Q232" s="49"/>
    </row>
    <row r="233" spans="1:17" ht="15" customHeight="1" x14ac:dyDescent="0.25">
      <c r="A233" s="212">
        <v>6531</v>
      </c>
      <c r="B233" s="212">
        <v>183</v>
      </c>
      <c r="C233" s="213" t="s">
        <v>221</v>
      </c>
      <c r="D233" s="213" t="s">
        <v>223</v>
      </c>
      <c r="E233" s="213">
        <v>35</v>
      </c>
      <c r="F233" s="213" t="s">
        <v>98</v>
      </c>
      <c r="G233" s="212">
        <v>194</v>
      </c>
      <c r="H233" s="213" t="s">
        <v>99</v>
      </c>
      <c r="I233" s="214" t="s">
        <v>29</v>
      </c>
      <c r="J233" s="215">
        <v>1.3299999999999999E-2</v>
      </c>
      <c r="K233" s="216" t="s">
        <v>272</v>
      </c>
      <c r="L233" s="217">
        <v>0.1</v>
      </c>
      <c r="M233" s="50"/>
      <c r="N233" s="48"/>
      <c r="O233" s="48"/>
      <c r="P233" s="48"/>
      <c r="Q233" s="49"/>
    </row>
    <row r="234" spans="1:17" ht="15" customHeight="1" x14ac:dyDescent="0.25">
      <c r="A234" s="212">
        <v>6531</v>
      </c>
      <c r="B234" s="212">
        <v>183</v>
      </c>
      <c r="C234" s="213" t="s">
        <v>221</v>
      </c>
      <c r="D234" s="213" t="s">
        <v>223</v>
      </c>
      <c r="E234" s="213">
        <v>35</v>
      </c>
      <c r="F234" s="213" t="s">
        <v>43</v>
      </c>
      <c r="G234" s="212">
        <v>4155</v>
      </c>
      <c r="H234" s="213" t="s">
        <v>49</v>
      </c>
      <c r="I234" s="214" t="s">
        <v>29</v>
      </c>
      <c r="J234" s="215">
        <v>0.16</v>
      </c>
      <c r="K234" s="216" t="s">
        <v>273</v>
      </c>
      <c r="L234" s="217">
        <v>0.1</v>
      </c>
      <c r="M234" s="50"/>
      <c r="N234" s="48"/>
      <c r="O234" s="48"/>
      <c r="P234" s="48"/>
      <c r="Q234" s="49"/>
    </row>
    <row r="235" spans="1:17" ht="15" customHeight="1" x14ac:dyDescent="0.25">
      <c r="A235" s="212">
        <v>6531</v>
      </c>
      <c r="B235" s="212">
        <v>183</v>
      </c>
      <c r="C235" s="213" t="s">
        <v>221</v>
      </c>
      <c r="D235" s="213" t="s">
        <v>223</v>
      </c>
      <c r="E235" s="213">
        <v>35</v>
      </c>
      <c r="F235" s="213" t="s">
        <v>101</v>
      </c>
      <c r="G235" s="212">
        <v>3635</v>
      </c>
      <c r="H235" s="213" t="s">
        <v>102</v>
      </c>
      <c r="I235" s="214" t="s">
        <v>66</v>
      </c>
      <c r="J235" s="215">
        <v>0.16800000000000001</v>
      </c>
      <c r="K235" s="216" t="s">
        <v>275</v>
      </c>
      <c r="L235" s="217">
        <v>0.1</v>
      </c>
      <c r="M235" s="48"/>
      <c r="N235" s="48"/>
      <c r="O235" s="48"/>
      <c r="P235" s="48"/>
      <c r="Q235" s="49"/>
    </row>
    <row r="236" spans="1:17" ht="15" customHeight="1" x14ac:dyDescent="0.25">
      <c r="A236" s="212">
        <v>8001</v>
      </c>
      <c r="B236" s="212">
        <v>800</v>
      </c>
      <c r="C236" s="213" t="s">
        <v>135</v>
      </c>
      <c r="D236" s="213" t="s">
        <v>178</v>
      </c>
      <c r="E236" s="213" t="s">
        <v>134</v>
      </c>
      <c r="F236" s="213" t="s">
        <v>106</v>
      </c>
      <c r="G236" s="212">
        <v>2680</v>
      </c>
      <c r="H236" s="213" t="s">
        <v>107</v>
      </c>
      <c r="I236" s="214" t="s">
        <v>29</v>
      </c>
      <c r="J236" s="215">
        <v>22</v>
      </c>
      <c r="K236" s="216" t="s">
        <v>290</v>
      </c>
      <c r="L236" s="217">
        <v>0.15</v>
      </c>
      <c r="M236" s="48"/>
      <c r="N236" s="48"/>
      <c r="O236" s="48"/>
      <c r="P236" s="48"/>
      <c r="Q236" s="49"/>
    </row>
    <row r="237" spans="1:17" ht="15" customHeight="1" x14ac:dyDescent="0.25">
      <c r="A237" s="212">
        <v>8001</v>
      </c>
      <c r="B237" s="212">
        <v>800</v>
      </c>
      <c r="C237" s="213" t="s">
        <v>135</v>
      </c>
      <c r="D237" s="213" t="s">
        <v>178</v>
      </c>
      <c r="E237" s="213" t="s">
        <v>134</v>
      </c>
      <c r="F237" s="213" t="s">
        <v>291</v>
      </c>
      <c r="G237" s="212">
        <v>5977</v>
      </c>
      <c r="H237" s="213" t="s">
        <v>97</v>
      </c>
      <c r="I237" s="214" t="s">
        <v>66</v>
      </c>
      <c r="J237" s="215">
        <v>1.087</v>
      </c>
      <c r="K237" s="216" t="s">
        <v>292</v>
      </c>
      <c r="L237" s="217">
        <v>0.15</v>
      </c>
      <c r="M237" s="48"/>
      <c r="N237" s="48"/>
      <c r="O237" s="48"/>
      <c r="P237" s="48"/>
      <c r="Q237" s="49"/>
    </row>
    <row r="238" spans="1:17" ht="15" customHeight="1" x14ac:dyDescent="0.25">
      <c r="A238" s="212">
        <v>8001</v>
      </c>
      <c r="B238" s="212">
        <v>800</v>
      </c>
      <c r="C238" s="213" t="s">
        <v>135</v>
      </c>
      <c r="D238" s="213" t="s">
        <v>178</v>
      </c>
      <c r="E238" s="213" t="s">
        <v>134</v>
      </c>
      <c r="F238" s="213" t="s">
        <v>121</v>
      </c>
      <c r="G238" s="212">
        <v>2267</v>
      </c>
      <c r="H238" s="213" t="s">
        <v>122</v>
      </c>
      <c r="I238" s="214" t="s">
        <v>66</v>
      </c>
      <c r="J238" s="215">
        <v>8.6959999999999997</v>
      </c>
      <c r="K238" s="216" t="s">
        <v>144</v>
      </c>
      <c r="L238" s="217">
        <v>0.15</v>
      </c>
      <c r="M238" s="48"/>
      <c r="N238" s="48"/>
      <c r="O238" s="48"/>
      <c r="P238" s="48"/>
      <c r="Q238" s="49"/>
    </row>
    <row r="239" spans="1:17" ht="15" customHeight="1" x14ac:dyDescent="0.25">
      <c r="A239" s="212">
        <v>8001</v>
      </c>
      <c r="B239" s="212">
        <v>800</v>
      </c>
      <c r="C239" s="213" t="s">
        <v>135</v>
      </c>
      <c r="D239" s="213" t="s">
        <v>178</v>
      </c>
      <c r="E239" s="213" t="s">
        <v>134</v>
      </c>
      <c r="F239" s="213" t="s">
        <v>101</v>
      </c>
      <c r="G239" s="212">
        <v>3635</v>
      </c>
      <c r="H239" s="213" t="s">
        <v>102</v>
      </c>
      <c r="I239" s="214" t="s">
        <v>66</v>
      </c>
      <c r="J239" s="215">
        <v>2.7E-2</v>
      </c>
      <c r="K239" s="216" t="s">
        <v>275</v>
      </c>
      <c r="L239" s="217">
        <v>0.15</v>
      </c>
      <c r="M239" s="50"/>
      <c r="N239" s="48"/>
      <c r="O239" s="48"/>
      <c r="P239" s="48"/>
      <c r="Q239" s="49"/>
    </row>
    <row r="240" spans="1:17" ht="15" customHeight="1" x14ac:dyDescent="0.25">
      <c r="A240" s="212">
        <v>8001</v>
      </c>
      <c r="B240" s="212">
        <v>800</v>
      </c>
      <c r="C240" s="213" t="s">
        <v>135</v>
      </c>
      <c r="D240" s="213" t="s">
        <v>178</v>
      </c>
      <c r="E240" s="213" t="s">
        <v>134</v>
      </c>
      <c r="F240" s="213" t="s">
        <v>124</v>
      </c>
      <c r="G240" s="212">
        <v>3043</v>
      </c>
      <c r="H240" s="213" t="s">
        <v>124</v>
      </c>
      <c r="I240" s="214" t="s">
        <v>125</v>
      </c>
      <c r="J240" s="215">
        <v>5.0000000000000001E-3</v>
      </c>
      <c r="K240" s="216" t="s">
        <v>293</v>
      </c>
      <c r="L240" s="217">
        <v>0.15</v>
      </c>
      <c r="M240" s="48"/>
      <c r="N240" s="48"/>
      <c r="O240" s="48"/>
      <c r="P240" s="48"/>
      <c r="Q240" s="49"/>
    </row>
    <row r="241" spans="1:17" ht="15" customHeight="1" x14ac:dyDescent="0.25">
      <c r="A241" s="212">
        <v>8005</v>
      </c>
      <c r="B241" s="212">
        <v>805</v>
      </c>
      <c r="C241" s="213" t="s">
        <v>128</v>
      </c>
      <c r="D241" s="213" t="s">
        <v>129</v>
      </c>
      <c r="E241" s="213" t="s">
        <v>127</v>
      </c>
      <c r="F241" s="213" t="s">
        <v>106</v>
      </c>
      <c r="G241" s="212">
        <v>2680</v>
      </c>
      <c r="H241" s="213" t="s">
        <v>107</v>
      </c>
      <c r="I241" s="214" t="s">
        <v>29</v>
      </c>
      <c r="J241" s="215">
        <v>17.100000000000001</v>
      </c>
      <c r="K241" s="216" t="s">
        <v>290</v>
      </c>
      <c r="L241" s="217">
        <v>0.15</v>
      </c>
      <c r="M241" s="50"/>
      <c r="N241" s="48"/>
      <c r="O241" s="48"/>
      <c r="P241" s="48"/>
      <c r="Q241" s="49"/>
    </row>
    <row r="242" spans="1:17" ht="15" customHeight="1" x14ac:dyDescent="0.25">
      <c r="A242" s="212">
        <v>8005</v>
      </c>
      <c r="B242" s="212">
        <v>805</v>
      </c>
      <c r="C242" s="213" t="s">
        <v>128</v>
      </c>
      <c r="D242" s="213" t="s">
        <v>129</v>
      </c>
      <c r="E242" s="213" t="s">
        <v>127</v>
      </c>
      <c r="F242" s="213" t="s">
        <v>294</v>
      </c>
      <c r="G242" s="212">
        <v>4002</v>
      </c>
      <c r="H242" s="213" t="s">
        <v>110</v>
      </c>
      <c r="I242" s="214" t="s">
        <v>29</v>
      </c>
      <c r="J242" s="215">
        <v>0.9</v>
      </c>
      <c r="K242" s="216" t="s">
        <v>295</v>
      </c>
      <c r="L242" s="217">
        <v>0.15</v>
      </c>
      <c r="M242" s="50"/>
      <c r="N242" s="48"/>
      <c r="O242" s="48"/>
      <c r="P242" s="48"/>
      <c r="Q242" s="49"/>
    </row>
    <row r="243" spans="1:17" ht="15" customHeight="1" x14ac:dyDescent="0.25">
      <c r="A243" s="212">
        <v>8005</v>
      </c>
      <c r="B243" s="212">
        <v>805</v>
      </c>
      <c r="C243" s="213" t="s">
        <v>128</v>
      </c>
      <c r="D243" s="213" t="s">
        <v>129</v>
      </c>
      <c r="E243" s="213" t="s">
        <v>127</v>
      </c>
      <c r="F243" s="213" t="s">
        <v>121</v>
      </c>
      <c r="G243" s="212">
        <v>2267</v>
      </c>
      <c r="H243" s="213" t="s">
        <v>122</v>
      </c>
      <c r="I243" s="214" t="s">
        <v>66</v>
      </c>
      <c r="J243" s="215">
        <v>8.3330000000000002</v>
      </c>
      <c r="K243" s="216" t="s">
        <v>144</v>
      </c>
      <c r="L243" s="217">
        <v>0.15</v>
      </c>
      <c r="M243" s="48"/>
      <c r="N243" s="48"/>
      <c r="O243" s="48"/>
      <c r="P243" s="48"/>
      <c r="Q243" s="49"/>
    </row>
    <row r="244" spans="1:17" ht="15" customHeight="1" x14ac:dyDescent="0.25">
      <c r="A244" s="212">
        <v>8005</v>
      </c>
      <c r="B244" s="212">
        <v>805</v>
      </c>
      <c r="C244" s="213" t="s">
        <v>128</v>
      </c>
      <c r="D244" s="213" t="s">
        <v>129</v>
      </c>
      <c r="E244" s="213" t="s">
        <v>127</v>
      </c>
      <c r="F244" s="213" t="s">
        <v>124</v>
      </c>
      <c r="G244" s="212">
        <v>3043</v>
      </c>
      <c r="H244" s="213" t="s">
        <v>124</v>
      </c>
      <c r="I244" s="214" t="s">
        <v>125</v>
      </c>
      <c r="J244" s="215">
        <v>5.0000000000000001E-3</v>
      </c>
      <c r="K244" s="216" t="s">
        <v>293</v>
      </c>
      <c r="L244" s="217">
        <v>0.15</v>
      </c>
      <c r="M244" s="48"/>
      <c r="N244" s="48"/>
      <c r="O244" s="48"/>
      <c r="P244" s="48"/>
      <c r="Q244" s="49"/>
    </row>
    <row r="245" spans="1:17" ht="15" customHeight="1" x14ac:dyDescent="0.25">
      <c r="A245" s="212">
        <v>8011</v>
      </c>
      <c r="B245" s="212">
        <v>811</v>
      </c>
      <c r="C245" s="213" t="s">
        <v>128</v>
      </c>
      <c r="D245" s="213" t="s">
        <v>226</v>
      </c>
      <c r="E245" s="213" t="s">
        <v>127</v>
      </c>
      <c r="F245" s="213" t="s">
        <v>106</v>
      </c>
      <c r="G245" s="212">
        <v>2680</v>
      </c>
      <c r="H245" s="213" t="s">
        <v>107</v>
      </c>
      <c r="I245" s="214" t="s">
        <v>29</v>
      </c>
      <c r="J245" s="215">
        <v>17.46</v>
      </c>
      <c r="K245" s="216" t="s">
        <v>290</v>
      </c>
      <c r="L245" s="217">
        <v>0.15</v>
      </c>
      <c r="M245" s="48"/>
      <c r="N245" s="48"/>
      <c r="O245" s="48"/>
      <c r="P245" s="48"/>
      <c r="Q245" s="49"/>
    </row>
    <row r="246" spans="1:17" ht="15" customHeight="1" x14ac:dyDescent="0.25">
      <c r="A246" s="212">
        <v>8011</v>
      </c>
      <c r="B246" s="212">
        <v>811</v>
      </c>
      <c r="C246" s="213" t="s">
        <v>128</v>
      </c>
      <c r="D246" s="213" t="s">
        <v>226</v>
      </c>
      <c r="E246" s="213" t="s">
        <v>127</v>
      </c>
      <c r="F246" s="213" t="s">
        <v>294</v>
      </c>
      <c r="G246" s="212">
        <v>7412</v>
      </c>
      <c r="H246" s="213" t="s">
        <v>116</v>
      </c>
      <c r="I246" s="214" t="s">
        <v>29</v>
      </c>
      <c r="J246" s="215">
        <v>0.54</v>
      </c>
      <c r="K246" s="216" t="s">
        <v>295</v>
      </c>
      <c r="L246" s="217">
        <v>0.15</v>
      </c>
      <c r="M246" s="48"/>
      <c r="N246" s="48"/>
      <c r="O246" s="48"/>
      <c r="P246" s="48"/>
      <c r="Q246" s="49"/>
    </row>
    <row r="247" spans="1:17" ht="15" customHeight="1" x14ac:dyDescent="0.25">
      <c r="A247" s="212">
        <v>8011</v>
      </c>
      <c r="B247" s="212">
        <v>811</v>
      </c>
      <c r="C247" s="213" t="s">
        <v>128</v>
      </c>
      <c r="D247" s="213" t="s">
        <v>226</v>
      </c>
      <c r="E247" s="213" t="s">
        <v>127</v>
      </c>
      <c r="F247" s="213" t="s">
        <v>121</v>
      </c>
      <c r="G247" s="212">
        <v>2267</v>
      </c>
      <c r="H247" s="213" t="s">
        <v>122</v>
      </c>
      <c r="I247" s="214" t="s">
        <v>66</v>
      </c>
      <c r="J247" s="215">
        <v>8.3330000000000002</v>
      </c>
      <c r="K247" s="216" t="s">
        <v>144</v>
      </c>
      <c r="L247" s="217">
        <v>0.15</v>
      </c>
      <c r="M247" s="50"/>
      <c r="N247" s="48"/>
      <c r="O247" s="48"/>
      <c r="P247" s="48"/>
      <c r="Q247" s="49"/>
    </row>
    <row r="248" spans="1:17" ht="15" customHeight="1" x14ac:dyDescent="0.25">
      <c r="A248" s="212">
        <v>8011</v>
      </c>
      <c r="B248" s="212">
        <v>811</v>
      </c>
      <c r="C248" s="213" t="s">
        <v>128</v>
      </c>
      <c r="D248" s="213" t="s">
        <v>226</v>
      </c>
      <c r="E248" s="213" t="s">
        <v>127</v>
      </c>
      <c r="F248" s="213" t="s">
        <v>124</v>
      </c>
      <c r="G248" s="212">
        <v>3043</v>
      </c>
      <c r="H248" s="213" t="s">
        <v>124</v>
      </c>
      <c r="I248" s="214" t="s">
        <v>125</v>
      </c>
      <c r="J248" s="215">
        <v>5.0000000000000001E-3</v>
      </c>
      <c r="K248" s="216" t="s">
        <v>293</v>
      </c>
      <c r="L248" s="217">
        <v>0.15</v>
      </c>
      <c r="M248" s="50"/>
      <c r="N248" s="48"/>
      <c r="O248" s="48"/>
      <c r="P248" s="48"/>
      <c r="Q248" s="49"/>
    </row>
    <row r="249" spans="1:17" ht="15" customHeight="1" x14ac:dyDescent="0.25">
      <c r="A249" s="212">
        <v>8012</v>
      </c>
      <c r="B249" s="212">
        <v>812</v>
      </c>
      <c r="C249" s="213" t="s">
        <v>128</v>
      </c>
      <c r="D249" s="213" t="s">
        <v>227</v>
      </c>
      <c r="E249" s="213" t="s">
        <v>127</v>
      </c>
      <c r="F249" s="213" t="s">
        <v>106</v>
      </c>
      <c r="G249" s="212">
        <v>2680</v>
      </c>
      <c r="H249" s="213" t="s">
        <v>107</v>
      </c>
      <c r="I249" s="214" t="s">
        <v>29</v>
      </c>
      <c r="J249" s="215">
        <v>17.100000000000001</v>
      </c>
      <c r="K249" s="216" t="s">
        <v>290</v>
      </c>
      <c r="L249" s="217">
        <v>0.15</v>
      </c>
      <c r="M249" s="48"/>
      <c r="N249" s="48"/>
      <c r="O249" s="48"/>
      <c r="P249" s="48"/>
      <c r="Q249" s="49"/>
    </row>
    <row r="250" spans="1:17" ht="15" customHeight="1" x14ac:dyDescent="0.25">
      <c r="A250" s="212">
        <v>8012</v>
      </c>
      <c r="B250" s="212">
        <v>812</v>
      </c>
      <c r="C250" s="213" t="s">
        <v>128</v>
      </c>
      <c r="D250" s="213" t="s">
        <v>227</v>
      </c>
      <c r="E250" s="213" t="s">
        <v>127</v>
      </c>
      <c r="F250" s="213" t="s">
        <v>294</v>
      </c>
      <c r="G250" s="212">
        <v>5816</v>
      </c>
      <c r="H250" s="213" t="s">
        <v>113</v>
      </c>
      <c r="I250" s="214" t="s">
        <v>29</v>
      </c>
      <c r="J250" s="215">
        <v>0.9</v>
      </c>
      <c r="K250" s="216" t="s">
        <v>295</v>
      </c>
      <c r="L250" s="217">
        <v>0.15</v>
      </c>
      <c r="M250" s="48"/>
      <c r="N250" s="48"/>
      <c r="O250" s="48"/>
      <c r="P250" s="48"/>
      <c r="Q250" s="49"/>
    </row>
    <row r="251" spans="1:17" ht="15" customHeight="1" x14ac:dyDescent="0.25">
      <c r="A251" s="212">
        <v>8012</v>
      </c>
      <c r="B251" s="212">
        <v>812</v>
      </c>
      <c r="C251" s="213" t="s">
        <v>128</v>
      </c>
      <c r="D251" s="213" t="s">
        <v>227</v>
      </c>
      <c r="E251" s="213" t="s">
        <v>127</v>
      </c>
      <c r="F251" s="213" t="s">
        <v>121</v>
      </c>
      <c r="G251" s="212">
        <v>2267</v>
      </c>
      <c r="H251" s="213" t="s">
        <v>122</v>
      </c>
      <c r="I251" s="214" t="s">
        <v>66</v>
      </c>
      <c r="J251" s="215">
        <v>8.3330000000000002</v>
      </c>
      <c r="K251" s="216" t="s">
        <v>144</v>
      </c>
      <c r="L251" s="217">
        <v>0.15</v>
      </c>
      <c r="M251" s="48"/>
      <c r="N251" s="48"/>
      <c r="O251" s="48"/>
      <c r="P251" s="48"/>
      <c r="Q251" s="49"/>
    </row>
    <row r="252" spans="1:17" ht="15" customHeight="1" x14ac:dyDescent="0.25">
      <c r="A252" s="212">
        <v>8012</v>
      </c>
      <c r="B252" s="212">
        <v>812</v>
      </c>
      <c r="C252" s="213" t="s">
        <v>128</v>
      </c>
      <c r="D252" s="213" t="s">
        <v>227</v>
      </c>
      <c r="E252" s="213" t="s">
        <v>127</v>
      </c>
      <c r="F252" s="213" t="s">
        <v>124</v>
      </c>
      <c r="G252" s="212">
        <v>3043</v>
      </c>
      <c r="H252" s="213" t="s">
        <v>124</v>
      </c>
      <c r="I252" s="214" t="s">
        <v>125</v>
      </c>
      <c r="J252" s="215">
        <v>5.0000000000000001E-3</v>
      </c>
      <c r="K252" s="216" t="s">
        <v>293</v>
      </c>
      <c r="L252" s="217">
        <v>0.15</v>
      </c>
      <c r="M252" s="48"/>
      <c r="N252" s="48"/>
      <c r="O252" s="48"/>
      <c r="P252" s="48"/>
      <c r="Q252" s="49"/>
    </row>
    <row r="253" spans="1:17" ht="15" customHeight="1" x14ac:dyDescent="0.25">
      <c r="A253" s="212">
        <v>8010</v>
      </c>
      <c r="B253" s="212">
        <v>810</v>
      </c>
      <c r="C253" s="213" t="s">
        <v>13</v>
      </c>
      <c r="D253" s="213" t="s">
        <v>133</v>
      </c>
      <c r="E253" s="213" t="s">
        <v>131</v>
      </c>
      <c r="F253" s="213" t="s">
        <v>106</v>
      </c>
      <c r="G253" s="212">
        <v>2680</v>
      </c>
      <c r="H253" s="213" t="s">
        <v>107</v>
      </c>
      <c r="I253" s="214" t="s">
        <v>29</v>
      </c>
      <c r="J253" s="215">
        <v>18</v>
      </c>
      <c r="K253" s="216" t="s">
        <v>290</v>
      </c>
      <c r="L253" s="217">
        <v>0.15</v>
      </c>
      <c r="M253" s="48"/>
      <c r="N253" s="48"/>
      <c r="O253" s="48"/>
      <c r="P253" s="48"/>
      <c r="Q253" s="49"/>
    </row>
    <row r="254" spans="1:17" ht="15" customHeight="1" x14ac:dyDescent="0.25">
      <c r="A254" s="212">
        <v>8010</v>
      </c>
      <c r="B254" s="212">
        <v>810</v>
      </c>
      <c r="C254" s="213" t="s">
        <v>13</v>
      </c>
      <c r="D254" s="213" t="s">
        <v>133</v>
      </c>
      <c r="E254" s="213" t="s">
        <v>131</v>
      </c>
      <c r="F254" s="213" t="s">
        <v>291</v>
      </c>
      <c r="G254" s="212">
        <v>5977</v>
      </c>
      <c r="H254" s="213" t="s">
        <v>97</v>
      </c>
      <c r="I254" s="214" t="s">
        <v>66</v>
      </c>
      <c r="J254" s="215">
        <v>1.667</v>
      </c>
      <c r="K254" s="216" t="s">
        <v>292</v>
      </c>
      <c r="L254" s="217">
        <v>0.15</v>
      </c>
      <c r="M254" s="48"/>
      <c r="N254" s="48"/>
      <c r="O254" s="48"/>
      <c r="P254" s="48"/>
      <c r="Q254" s="49"/>
    </row>
    <row r="255" spans="1:17" ht="15" customHeight="1" x14ac:dyDescent="0.25">
      <c r="A255" s="212">
        <v>8010</v>
      </c>
      <c r="B255" s="212">
        <v>810</v>
      </c>
      <c r="C255" s="213" t="s">
        <v>13</v>
      </c>
      <c r="D255" s="213" t="s">
        <v>133</v>
      </c>
      <c r="E255" s="213" t="s">
        <v>131</v>
      </c>
      <c r="F255" s="213" t="s">
        <v>121</v>
      </c>
      <c r="G255" s="212">
        <v>2267</v>
      </c>
      <c r="H255" s="213" t="s">
        <v>122</v>
      </c>
      <c r="I255" s="214" t="s">
        <v>66</v>
      </c>
      <c r="J255" s="215">
        <v>10</v>
      </c>
      <c r="K255" s="216" t="s">
        <v>144</v>
      </c>
      <c r="L255" s="217">
        <v>0.15</v>
      </c>
      <c r="M255" s="48"/>
      <c r="N255" s="48"/>
      <c r="O255" s="48"/>
      <c r="P255" s="48"/>
      <c r="Q255" s="49"/>
    </row>
    <row r="256" spans="1:17" ht="15" customHeight="1" x14ac:dyDescent="0.25">
      <c r="A256" s="212">
        <v>8010</v>
      </c>
      <c r="B256" s="212">
        <v>810</v>
      </c>
      <c r="C256" s="213" t="s">
        <v>13</v>
      </c>
      <c r="D256" s="213" t="s">
        <v>133</v>
      </c>
      <c r="E256" s="213" t="s">
        <v>131</v>
      </c>
      <c r="F256" s="213" t="s">
        <v>101</v>
      </c>
      <c r="G256" s="212">
        <v>3635</v>
      </c>
      <c r="H256" s="213" t="s">
        <v>102</v>
      </c>
      <c r="I256" s="214" t="s">
        <v>66</v>
      </c>
      <c r="J256" s="215">
        <v>4.2000000000000003E-2</v>
      </c>
      <c r="K256" s="216" t="s">
        <v>275</v>
      </c>
      <c r="L256" s="217">
        <v>0.15</v>
      </c>
      <c r="M256" s="50"/>
      <c r="N256" s="48"/>
      <c r="O256" s="48"/>
      <c r="P256" s="48"/>
      <c r="Q256" s="49"/>
    </row>
    <row r="257" spans="1:17" ht="15" customHeight="1" x14ac:dyDescent="0.25">
      <c r="A257" s="212">
        <v>8010</v>
      </c>
      <c r="B257" s="212">
        <v>810</v>
      </c>
      <c r="C257" s="213" t="s">
        <v>13</v>
      </c>
      <c r="D257" s="213" t="s">
        <v>133</v>
      </c>
      <c r="E257" s="213" t="s">
        <v>131</v>
      </c>
      <c r="F257" s="213" t="s">
        <v>124</v>
      </c>
      <c r="G257" s="212">
        <v>3043</v>
      </c>
      <c r="H257" s="213" t="s">
        <v>124</v>
      </c>
      <c r="I257" s="214" t="s">
        <v>125</v>
      </c>
      <c r="J257" s="215">
        <v>5.0000000000000001E-3</v>
      </c>
      <c r="K257" s="216" t="s">
        <v>293</v>
      </c>
      <c r="L257" s="217">
        <v>0.15</v>
      </c>
      <c r="M257" s="48"/>
      <c r="N257" s="48"/>
      <c r="O257" s="48"/>
      <c r="P257" s="48"/>
      <c r="Q257" s="49"/>
    </row>
    <row r="258" spans="1:17" ht="15" customHeight="1" x14ac:dyDescent="0.25">
      <c r="A258" s="212">
        <v>8006</v>
      </c>
      <c r="B258" s="212">
        <v>806</v>
      </c>
      <c r="C258" s="213" t="s">
        <v>128</v>
      </c>
      <c r="D258" s="213" t="s">
        <v>141</v>
      </c>
      <c r="E258" s="213" t="s">
        <v>140</v>
      </c>
      <c r="F258" s="213" t="s">
        <v>106</v>
      </c>
      <c r="G258" s="212">
        <v>2680</v>
      </c>
      <c r="H258" s="213" t="s">
        <v>107</v>
      </c>
      <c r="I258" s="214" t="s">
        <v>29</v>
      </c>
      <c r="J258" s="215">
        <v>23.75</v>
      </c>
      <c r="K258" s="216" t="s">
        <v>290</v>
      </c>
      <c r="L258" s="217">
        <v>0.15</v>
      </c>
      <c r="M258" s="48"/>
      <c r="N258" s="48"/>
      <c r="O258" s="48"/>
      <c r="P258" s="48"/>
      <c r="Q258" s="49"/>
    </row>
    <row r="259" spans="1:17" ht="15" customHeight="1" x14ac:dyDescent="0.25">
      <c r="A259" s="212">
        <v>8006</v>
      </c>
      <c r="B259" s="212">
        <v>806</v>
      </c>
      <c r="C259" s="213" t="s">
        <v>128</v>
      </c>
      <c r="D259" s="213" t="s">
        <v>141</v>
      </c>
      <c r="E259" s="213" t="s">
        <v>140</v>
      </c>
      <c r="F259" s="213" t="s">
        <v>294</v>
      </c>
      <c r="G259" s="212">
        <v>4002</v>
      </c>
      <c r="H259" s="213" t="s">
        <v>110</v>
      </c>
      <c r="I259" s="214" t="s">
        <v>29</v>
      </c>
      <c r="J259" s="215">
        <v>1.25</v>
      </c>
      <c r="K259" s="216" t="s">
        <v>295</v>
      </c>
      <c r="L259" s="217">
        <v>0.15</v>
      </c>
      <c r="M259" s="48"/>
      <c r="N259" s="48"/>
      <c r="O259" s="48"/>
      <c r="P259" s="48"/>
      <c r="Q259" s="49"/>
    </row>
    <row r="260" spans="1:17" ht="15" customHeight="1" x14ac:dyDescent="0.25">
      <c r="A260" s="212">
        <v>8006</v>
      </c>
      <c r="B260" s="212">
        <v>806</v>
      </c>
      <c r="C260" s="213" t="s">
        <v>128</v>
      </c>
      <c r="D260" s="213" t="s">
        <v>141</v>
      </c>
      <c r="E260" s="213" t="s">
        <v>140</v>
      </c>
      <c r="F260" s="213" t="s">
        <v>121</v>
      </c>
      <c r="G260" s="212">
        <v>3006</v>
      </c>
      <c r="H260" s="213" t="s">
        <v>145</v>
      </c>
      <c r="I260" s="214" t="s">
        <v>66</v>
      </c>
      <c r="J260" s="215">
        <v>8.3330000000000002</v>
      </c>
      <c r="K260" s="216" t="s">
        <v>144</v>
      </c>
      <c r="L260" s="217">
        <v>0.15</v>
      </c>
      <c r="M260" s="48"/>
      <c r="N260" s="48"/>
      <c r="O260" s="48"/>
      <c r="P260" s="48"/>
      <c r="Q260" s="49"/>
    </row>
    <row r="261" spans="1:17" ht="15" customHeight="1" x14ac:dyDescent="0.25">
      <c r="A261" s="212">
        <v>8006</v>
      </c>
      <c r="B261" s="212">
        <v>806</v>
      </c>
      <c r="C261" s="213" t="s">
        <v>128</v>
      </c>
      <c r="D261" s="213" t="s">
        <v>141</v>
      </c>
      <c r="E261" s="213" t="s">
        <v>140</v>
      </c>
      <c r="F261" s="213" t="s">
        <v>124</v>
      </c>
      <c r="G261" s="212">
        <v>3043</v>
      </c>
      <c r="H261" s="213" t="s">
        <v>124</v>
      </c>
      <c r="I261" s="214" t="s">
        <v>125</v>
      </c>
      <c r="J261" s="215">
        <v>5.0000000000000001E-3</v>
      </c>
      <c r="K261" s="216" t="s">
        <v>293</v>
      </c>
      <c r="L261" s="217">
        <v>0.15</v>
      </c>
      <c r="M261" s="48"/>
      <c r="N261" s="48"/>
      <c r="O261" s="48"/>
      <c r="P261" s="48"/>
      <c r="Q261" s="49"/>
    </row>
    <row r="262" spans="1:17" ht="15" customHeight="1" x14ac:dyDescent="0.25">
      <c r="A262" s="212">
        <v>8007</v>
      </c>
      <c r="B262" s="212">
        <v>807</v>
      </c>
      <c r="C262" s="213" t="s">
        <v>128</v>
      </c>
      <c r="D262" s="213" t="s">
        <v>228</v>
      </c>
      <c r="E262" s="213" t="s">
        <v>140</v>
      </c>
      <c r="F262" s="213" t="s">
        <v>106</v>
      </c>
      <c r="G262" s="212">
        <v>2680</v>
      </c>
      <c r="H262" s="213" t="s">
        <v>107</v>
      </c>
      <c r="I262" s="214" t="s">
        <v>29</v>
      </c>
      <c r="J262" s="215">
        <v>23.75</v>
      </c>
      <c r="K262" s="216" t="s">
        <v>290</v>
      </c>
      <c r="L262" s="217">
        <v>0.15</v>
      </c>
      <c r="M262" s="48"/>
      <c r="N262" s="48"/>
      <c r="O262" s="48"/>
      <c r="P262" s="48"/>
      <c r="Q262" s="49"/>
    </row>
    <row r="263" spans="1:17" ht="15" customHeight="1" x14ac:dyDescent="0.25">
      <c r="A263" s="212">
        <v>8007</v>
      </c>
      <c r="B263" s="212">
        <v>807</v>
      </c>
      <c r="C263" s="213" t="s">
        <v>128</v>
      </c>
      <c r="D263" s="213" t="s">
        <v>228</v>
      </c>
      <c r="E263" s="213" t="s">
        <v>140</v>
      </c>
      <c r="F263" s="213" t="s">
        <v>294</v>
      </c>
      <c r="G263" s="212">
        <v>5816</v>
      </c>
      <c r="H263" s="213" t="s">
        <v>113</v>
      </c>
      <c r="I263" s="214" t="s">
        <v>29</v>
      </c>
      <c r="J263" s="215">
        <v>1.25</v>
      </c>
      <c r="K263" s="216" t="s">
        <v>295</v>
      </c>
      <c r="L263" s="217">
        <v>0.15</v>
      </c>
      <c r="M263" s="48"/>
      <c r="N263" s="48"/>
      <c r="O263" s="48"/>
      <c r="P263" s="48"/>
      <c r="Q263" s="49"/>
    </row>
    <row r="264" spans="1:17" ht="15" customHeight="1" x14ac:dyDescent="0.25">
      <c r="A264" s="212">
        <v>8007</v>
      </c>
      <c r="B264" s="212">
        <v>807</v>
      </c>
      <c r="C264" s="213" t="s">
        <v>128</v>
      </c>
      <c r="D264" s="213" t="s">
        <v>228</v>
      </c>
      <c r="E264" s="213" t="s">
        <v>140</v>
      </c>
      <c r="F264" s="213" t="s">
        <v>121</v>
      </c>
      <c r="G264" s="212">
        <v>3006</v>
      </c>
      <c r="H264" s="213" t="s">
        <v>145</v>
      </c>
      <c r="I264" s="214" t="s">
        <v>66</v>
      </c>
      <c r="J264" s="215">
        <v>8.3330000000000002</v>
      </c>
      <c r="K264" s="216" t="s">
        <v>144</v>
      </c>
      <c r="L264" s="217">
        <v>0.15</v>
      </c>
      <c r="M264" s="48"/>
      <c r="N264" s="48"/>
      <c r="O264" s="48"/>
      <c r="P264" s="48"/>
      <c r="Q264" s="49"/>
    </row>
    <row r="265" spans="1:17" ht="15" customHeight="1" x14ac:dyDescent="0.25">
      <c r="A265" s="212">
        <v>8007</v>
      </c>
      <c r="B265" s="212">
        <v>807</v>
      </c>
      <c r="C265" s="213" t="s">
        <v>128</v>
      </c>
      <c r="D265" s="213" t="s">
        <v>228</v>
      </c>
      <c r="E265" s="213" t="s">
        <v>140</v>
      </c>
      <c r="F265" s="213" t="s">
        <v>124</v>
      </c>
      <c r="G265" s="212">
        <v>3043</v>
      </c>
      <c r="H265" s="213" t="s">
        <v>124</v>
      </c>
      <c r="I265" s="214" t="s">
        <v>125</v>
      </c>
      <c r="J265" s="215">
        <v>5.0000000000000001E-3</v>
      </c>
      <c r="K265" s="216" t="s">
        <v>293</v>
      </c>
      <c r="L265" s="217">
        <v>0.15</v>
      </c>
      <c r="M265" s="50"/>
      <c r="N265" s="48"/>
      <c r="O265" s="48"/>
      <c r="P265" s="48"/>
      <c r="Q265" s="49"/>
    </row>
    <row r="266" spans="1:17" ht="15" customHeight="1" x14ac:dyDescent="0.25">
      <c r="A266" s="212">
        <v>8016</v>
      </c>
      <c r="B266" s="212">
        <v>816</v>
      </c>
      <c r="C266" s="213" t="s">
        <v>128</v>
      </c>
      <c r="D266" s="213" t="s">
        <v>230</v>
      </c>
      <c r="E266" s="213" t="s">
        <v>140</v>
      </c>
      <c r="F266" s="213" t="s">
        <v>106</v>
      </c>
      <c r="G266" s="212">
        <v>2680</v>
      </c>
      <c r="H266" s="213" t="s">
        <v>107</v>
      </c>
      <c r="I266" s="214" t="s">
        <v>29</v>
      </c>
      <c r="J266" s="215">
        <v>23.75</v>
      </c>
      <c r="K266" s="216" t="s">
        <v>290</v>
      </c>
      <c r="L266" s="217">
        <v>0.15</v>
      </c>
      <c r="M266" s="48"/>
      <c r="N266" s="48"/>
      <c r="O266" s="48"/>
      <c r="P266" s="48"/>
      <c r="Q266" s="49"/>
    </row>
    <row r="267" spans="1:17" ht="15" customHeight="1" x14ac:dyDescent="0.25">
      <c r="A267" s="212">
        <v>8016</v>
      </c>
      <c r="B267" s="212">
        <v>816</v>
      </c>
      <c r="C267" s="213" t="s">
        <v>128</v>
      </c>
      <c r="D267" s="213" t="s">
        <v>230</v>
      </c>
      <c r="E267" s="213" t="s">
        <v>140</v>
      </c>
      <c r="F267" s="213" t="s">
        <v>294</v>
      </c>
      <c r="G267" s="212">
        <v>5816</v>
      </c>
      <c r="H267" s="213" t="s">
        <v>113</v>
      </c>
      <c r="I267" s="214" t="s">
        <v>29</v>
      </c>
      <c r="J267" s="215">
        <v>1.25</v>
      </c>
      <c r="K267" s="216" t="s">
        <v>295</v>
      </c>
      <c r="L267" s="217">
        <v>0.15</v>
      </c>
      <c r="M267" s="50"/>
      <c r="N267" s="48"/>
      <c r="O267" s="48"/>
      <c r="P267" s="48"/>
      <c r="Q267" s="49"/>
    </row>
    <row r="268" spans="1:17" ht="15" customHeight="1" x14ac:dyDescent="0.25">
      <c r="A268" s="212">
        <v>8016</v>
      </c>
      <c r="B268" s="212">
        <v>816</v>
      </c>
      <c r="C268" s="213" t="s">
        <v>128</v>
      </c>
      <c r="D268" s="213" t="s">
        <v>230</v>
      </c>
      <c r="E268" s="213" t="s">
        <v>140</v>
      </c>
      <c r="F268" s="213" t="s">
        <v>121</v>
      </c>
      <c r="G268" s="212">
        <v>3006</v>
      </c>
      <c r="H268" s="213" t="s">
        <v>145</v>
      </c>
      <c r="I268" s="214" t="s">
        <v>66</v>
      </c>
      <c r="J268" s="215">
        <v>8.3330000000000002</v>
      </c>
      <c r="K268" s="216" t="s">
        <v>144</v>
      </c>
      <c r="L268" s="217">
        <v>0.15</v>
      </c>
      <c r="M268" s="48"/>
      <c r="N268" s="48"/>
      <c r="O268" s="48"/>
      <c r="P268" s="48"/>
      <c r="Q268" s="49"/>
    </row>
    <row r="269" spans="1:17" ht="15" customHeight="1" x14ac:dyDescent="0.25">
      <c r="A269" s="212">
        <v>8016</v>
      </c>
      <c r="B269" s="212">
        <v>816</v>
      </c>
      <c r="C269" s="213" t="s">
        <v>128</v>
      </c>
      <c r="D269" s="213" t="s">
        <v>230</v>
      </c>
      <c r="E269" s="213" t="s">
        <v>140</v>
      </c>
      <c r="F269" s="213" t="s">
        <v>124</v>
      </c>
      <c r="G269" s="212">
        <v>3043</v>
      </c>
      <c r="H269" s="213" t="s">
        <v>124</v>
      </c>
      <c r="I269" s="214" t="s">
        <v>125</v>
      </c>
      <c r="J269" s="215">
        <v>5.0000000000000001E-3</v>
      </c>
      <c r="K269" s="216" t="s">
        <v>293</v>
      </c>
      <c r="L269" s="217">
        <v>0.15</v>
      </c>
      <c r="M269" s="48"/>
      <c r="N269" s="48"/>
      <c r="O269" s="48"/>
      <c r="P269" s="48"/>
      <c r="Q269" s="49"/>
    </row>
    <row r="270" spans="1:17" ht="15" customHeight="1" x14ac:dyDescent="0.25">
      <c r="A270" s="212">
        <v>8008</v>
      </c>
      <c r="B270" s="212">
        <v>808</v>
      </c>
      <c r="C270" s="213" t="s">
        <v>128</v>
      </c>
      <c r="D270" s="213" t="s">
        <v>231</v>
      </c>
      <c r="E270" s="213" t="s">
        <v>140</v>
      </c>
      <c r="F270" s="213" t="s">
        <v>106</v>
      </c>
      <c r="G270" s="212">
        <v>2680</v>
      </c>
      <c r="H270" s="213" t="s">
        <v>107</v>
      </c>
      <c r="I270" s="214" t="s">
        <v>29</v>
      </c>
      <c r="J270" s="215">
        <v>24.25</v>
      </c>
      <c r="K270" s="216" t="s">
        <v>290</v>
      </c>
      <c r="L270" s="217">
        <v>0.15</v>
      </c>
      <c r="M270" s="48"/>
      <c r="N270" s="48"/>
      <c r="O270" s="48"/>
      <c r="P270" s="48"/>
      <c r="Q270" s="49"/>
    </row>
    <row r="271" spans="1:17" ht="15" customHeight="1" x14ac:dyDescent="0.25">
      <c r="A271" s="212">
        <v>8008</v>
      </c>
      <c r="B271" s="212">
        <v>808</v>
      </c>
      <c r="C271" s="213" t="s">
        <v>128</v>
      </c>
      <c r="D271" s="213" t="s">
        <v>231</v>
      </c>
      <c r="E271" s="213" t="s">
        <v>140</v>
      </c>
      <c r="F271" s="213" t="s">
        <v>294</v>
      </c>
      <c r="G271" s="212">
        <v>7412</v>
      </c>
      <c r="H271" s="213" t="s">
        <v>116</v>
      </c>
      <c r="I271" s="214" t="s">
        <v>29</v>
      </c>
      <c r="J271" s="215">
        <v>0.75</v>
      </c>
      <c r="K271" s="216" t="s">
        <v>295</v>
      </c>
      <c r="L271" s="217">
        <v>0.15</v>
      </c>
      <c r="M271" s="48"/>
      <c r="N271" s="48"/>
      <c r="O271" s="48"/>
      <c r="P271" s="48"/>
      <c r="Q271" s="49"/>
    </row>
    <row r="272" spans="1:17" ht="15" customHeight="1" x14ac:dyDescent="0.25">
      <c r="A272" s="212">
        <v>8008</v>
      </c>
      <c r="B272" s="212">
        <v>808</v>
      </c>
      <c r="C272" s="213" t="s">
        <v>128</v>
      </c>
      <c r="D272" s="213" t="s">
        <v>231</v>
      </c>
      <c r="E272" s="213" t="s">
        <v>140</v>
      </c>
      <c r="F272" s="213" t="s">
        <v>121</v>
      </c>
      <c r="G272" s="212">
        <v>3006</v>
      </c>
      <c r="H272" s="213" t="s">
        <v>145</v>
      </c>
      <c r="I272" s="214" t="s">
        <v>66</v>
      </c>
      <c r="J272" s="215">
        <v>8.3330000000000002</v>
      </c>
      <c r="K272" s="216" t="s">
        <v>144</v>
      </c>
      <c r="L272" s="217">
        <v>0.15</v>
      </c>
      <c r="M272" s="48"/>
      <c r="N272" s="48"/>
      <c r="O272" s="48"/>
      <c r="P272" s="48"/>
      <c r="Q272" s="49"/>
    </row>
    <row r="273" spans="1:17" ht="15" customHeight="1" x14ac:dyDescent="0.25">
      <c r="A273" s="212">
        <v>8008</v>
      </c>
      <c r="B273" s="212">
        <v>808</v>
      </c>
      <c r="C273" s="213" t="s">
        <v>128</v>
      </c>
      <c r="D273" s="213" t="s">
        <v>231</v>
      </c>
      <c r="E273" s="213" t="s">
        <v>140</v>
      </c>
      <c r="F273" s="213" t="s">
        <v>124</v>
      </c>
      <c r="G273" s="212">
        <v>3043</v>
      </c>
      <c r="H273" s="213" t="s">
        <v>124</v>
      </c>
      <c r="I273" s="214" t="s">
        <v>125</v>
      </c>
      <c r="J273" s="215">
        <v>5.0000000000000001E-3</v>
      </c>
      <c r="K273" s="216" t="s">
        <v>293</v>
      </c>
      <c r="L273" s="217">
        <v>0.15</v>
      </c>
      <c r="M273" s="48"/>
      <c r="N273" s="48"/>
      <c r="O273" s="48"/>
      <c r="P273" s="48"/>
      <c r="Q273" s="49"/>
    </row>
    <row r="274" spans="1:17" ht="15" customHeight="1" x14ac:dyDescent="0.25">
      <c r="A274" s="212">
        <v>8009</v>
      </c>
      <c r="B274" s="212">
        <v>809</v>
      </c>
      <c r="C274" s="213" t="s">
        <v>13</v>
      </c>
      <c r="D274" s="213" t="s">
        <v>232</v>
      </c>
      <c r="E274" s="213" t="s">
        <v>233</v>
      </c>
      <c r="F274" s="213" t="s">
        <v>106</v>
      </c>
      <c r="G274" s="212">
        <v>2680</v>
      </c>
      <c r="H274" s="213" t="s">
        <v>107</v>
      </c>
      <c r="I274" s="214" t="s">
        <v>29</v>
      </c>
      <c r="J274" s="215">
        <v>25</v>
      </c>
      <c r="K274" s="216" t="s">
        <v>290</v>
      </c>
      <c r="L274" s="217">
        <v>0.15</v>
      </c>
      <c r="M274" s="48"/>
      <c r="N274" s="48"/>
      <c r="O274" s="48"/>
      <c r="P274" s="48"/>
      <c r="Q274" s="49"/>
    </row>
    <row r="275" spans="1:17" ht="15" customHeight="1" x14ac:dyDescent="0.25">
      <c r="A275" s="212">
        <v>8009</v>
      </c>
      <c r="B275" s="212">
        <v>809</v>
      </c>
      <c r="C275" s="213" t="s">
        <v>13</v>
      </c>
      <c r="D275" s="213" t="s">
        <v>232</v>
      </c>
      <c r="E275" s="213" t="s">
        <v>233</v>
      </c>
      <c r="F275" s="213" t="s">
        <v>291</v>
      </c>
      <c r="G275" s="212">
        <v>3621</v>
      </c>
      <c r="H275" s="213" t="s">
        <v>296</v>
      </c>
      <c r="I275" s="214" t="s">
        <v>66</v>
      </c>
      <c r="J275" s="215">
        <v>7.1429999999999998</v>
      </c>
      <c r="K275" s="216" t="s">
        <v>292</v>
      </c>
      <c r="L275" s="217">
        <v>0.15</v>
      </c>
      <c r="M275" s="48"/>
      <c r="N275" s="48"/>
      <c r="O275" s="48"/>
      <c r="P275" s="48"/>
      <c r="Q275" s="49"/>
    </row>
    <row r="276" spans="1:17" ht="15" customHeight="1" x14ac:dyDescent="0.25">
      <c r="A276" s="212">
        <v>8009</v>
      </c>
      <c r="B276" s="212">
        <v>809</v>
      </c>
      <c r="C276" s="213" t="s">
        <v>13</v>
      </c>
      <c r="D276" s="213" t="s">
        <v>232</v>
      </c>
      <c r="E276" s="213" t="s">
        <v>233</v>
      </c>
      <c r="F276" s="213" t="s">
        <v>121</v>
      </c>
      <c r="G276" s="212">
        <v>3006</v>
      </c>
      <c r="H276" s="213" t="s">
        <v>145</v>
      </c>
      <c r="I276" s="214" t="s">
        <v>66</v>
      </c>
      <c r="J276" s="215">
        <v>11.111000000000001</v>
      </c>
      <c r="K276" s="216" t="s">
        <v>144</v>
      </c>
      <c r="L276" s="217">
        <v>0.15</v>
      </c>
      <c r="M276" s="48"/>
      <c r="N276" s="48"/>
      <c r="O276" s="48"/>
      <c r="P276" s="48"/>
      <c r="Q276" s="49"/>
    </row>
    <row r="277" spans="1:17" ht="15" customHeight="1" x14ac:dyDescent="0.25">
      <c r="A277" s="212">
        <v>8009</v>
      </c>
      <c r="B277" s="212">
        <v>809</v>
      </c>
      <c r="C277" s="213" t="s">
        <v>13</v>
      </c>
      <c r="D277" s="213" t="s">
        <v>232</v>
      </c>
      <c r="E277" s="213" t="s">
        <v>233</v>
      </c>
      <c r="F277" s="213" t="s">
        <v>101</v>
      </c>
      <c r="G277" s="212">
        <v>3635</v>
      </c>
      <c r="H277" s="213" t="s">
        <v>102</v>
      </c>
      <c r="I277" s="214" t="s">
        <v>66</v>
      </c>
      <c r="J277" s="215">
        <v>0.17899999999999999</v>
      </c>
      <c r="K277" s="216" t="s">
        <v>275</v>
      </c>
      <c r="L277" s="217">
        <v>0.15</v>
      </c>
      <c r="M277" s="48"/>
      <c r="N277" s="48"/>
      <c r="O277" s="48"/>
      <c r="P277" s="48"/>
      <c r="Q277" s="49"/>
    </row>
    <row r="278" spans="1:17" ht="15" customHeight="1" x14ac:dyDescent="0.25">
      <c r="A278" s="212">
        <v>8009</v>
      </c>
      <c r="B278" s="212">
        <v>809</v>
      </c>
      <c r="C278" s="213" t="s">
        <v>13</v>
      </c>
      <c r="D278" s="213" t="s">
        <v>232</v>
      </c>
      <c r="E278" s="213" t="s">
        <v>233</v>
      </c>
      <c r="F278" s="213" t="s">
        <v>124</v>
      </c>
      <c r="G278" s="212">
        <v>3043</v>
      </c>
      <c r="H278" s="213" t="s">
        <v>124</v>
      </c>
      <c r="I278" s="214" t="s">
        <v>125</v>
      </c>
      <c r="J278" s="215">
        <v>5.0000000000000001E-3</v>
      </c>
      <c r="K278" s="216" t="s">
        <v>293</v>
      </c>
      <c r="L278" s="217">
        <v>0.15</v>
      </c>
      <c r="M278" s="169"/>
    </row>
    <row r="279" spans="1:17" ht="15" customHeight="1" x14ac:dyDescent="0.25">
      <c r="A279" s="212">
        <v>8013</v>
      </c>
      <c r="B279" s="212">
        <v>813</v>
      </c>
      <c r="C279" s="213" t="s">
        <v>13</v>
      </c>
      <c r="D279" s="213" t="s">
        <v>234</v>
      </c>
      <c r="E279" s="213" t="s">
        <v>235</v>
      </c>
      <c r="F279" s="213" t="s">
        <v>106</v>
      </c>
      <c r="G279" s="212">
        <v>2680</v>
      </c>
      <c r="H279" s="213" t="s">
        <v>107</v>
      </c>
      <c r="I279" s="214" t="s">
        <v>29</v>
      </c>
      <c r="J279" s="215">
        <v>50</v>
      </c>
      <c r="K279" s="216" t="s">
        <v>290</v>
      </c>
      <c r="L279" s="217">
        <v>0.15</v>
      </c>
      <c r="M279" s="169"/>
    </row>
    <row r="280" spans="1:17" ht="15" customHeight="1" x14ac:dyDescent="0.25">
      <c r="A280" s="212">
        <v>8013</v>
      </c>
      <c r="B280" s="212">
        <v>813</v>
      </c>
      <c r="C280" s="213" t="s">
        <v>13</v>
      </c>
      <c r="D280" s="213" t="s">
        <v>234</v>
      </c>
      <c r="E280" s="213" t="s">
        <v>235</v>
      </c>
      <c r="F280" s="213" t="s">
        <v>291</v>
      </c>
      <c r="G280" s="212">
        <v>3621</v>
      </c>
      <c r="H280" s="213" t="s">
        <v>296</v>
      </c>
      <c r="I280" s="214" t="s">
        <v>66</v>
      </c>
      <c r="J280" s="215">
        <v>2.778</v>
      </c>
      <c r="K280" s="216" t="s">
        <v>292</v>
      </c>
      <c r="L280" s="217">
        <v>0.15</v>
      </c>
      <c r="M280" s="169"/>
    </row>
    <row r="281" spans="1:17" ht="15" customHeight="1" x14ac:dyDescent="0.25">
      <c r="A281" s="212">
        <v>8013</v>
      </c>
      <c r="B281" s="212">
        <v>813</v>
      </c>
      <c r="C281" s="213" t="s">
        <v>13</v>
      </c>
      <c r="D281" s="213" t="s">
        <v>234</v>
      </c>
      <c r="E281" s="213" t="s">
        <v>235</v>
      </c>
      <c r="F281" s="213" t="s">
        <v>121</v>
      </c>
      <c r="G281" s="212">
        <v>3006</v>
      </c>
      <c r="H281" s="213" t="s">
        <v>145</v>
      </c>
      <c r="I281" s="214" t="s">
        <v>66</v>
      </c>
      <c r="J281" s="215">
        <v>16.667000000000002</v>
      </c>
      <c r="K281" s="216" t="s">
        <v>144</v>
      </c>
      <c r="L281" s="217">
        <v>0.15</v>
      </c>
      <c r="M281" s="169"/>
    </row>
    <row r="282" spans="1:17" ht="15" customHeight="1" x14ac:dyDescent="0.25">
      <c r="A282" s="212">
        <v>8013</v>
      </c>
      <c r="B282" s="212">
        <v>813</v>
      </c>
      <c r="C282" s="213" t="s">
        <v>13</v>
      </c>
      <c r="D282" s="213" t="s">
        <v>234</v>
      </c>
      <c r="E282" s="213" t="s">
        <v>235</v>
      </c>
      <c r="F282" s="213" t="s">
        <v>101</v>
      </c>
      <c r="G282" s="212">
        <v>3635</v>
      </c>
      <c r="H282" s="213" t="s">
        <v>102</v>
      </c>
      <c r="I282" s="214" t="s">
        <v>66</v>
      </c>
      <c r="J282" s="215">
        <v>6.9000000000000006E-2</v>
      </c>
      <c r="K282" s="216" t="s">
        <v>275</v>
      </c>
      <c r="L282" s="217">
        <v>0.15</v>
      </c>
      <c r="M282" s="48"/>
      <c r="N282" s="48"/>
      <c r="O282" s="48"/>
      <c r="P282" s="48"/>
      <c r="Q282" s="49"/>
    </row>
    <row r="283" spans="1:17" ht="15" customHeight="1" x14ac:dyDescent="0.25">
      <c r="A283" s="212">
        <v>8013</v>
      </c>
      <c r="B283" s="212">
        <v>813</v>
      </c>
      <c r="C283" s="213" t="s">
        <v>13</v>
      </c>
      <c r="D283" s="213" t="s">
        <v>234</v>
      </c>
      <c r="E283" s="213" t="s">
        <v>235</v>
      </c>
      <c r="F283" s="213" t="s">
        <v>124</v>
      </c>
      <c r="G283" s="212">
        <v>3043</v>
      </c>
      <c r="H283" s="213" t="s">
        <v>124</v>
      </c>
      <c r="I283" s="214" t="s">
        <v>125</v>
      </c>
      <c r="J283" s="215">
        <v>5.0000000000000001E-3</v>
      </c>
      <c r="K283" s="216" t="s">
        <v>293</v>
      </c>
      <c r="L283" s="217">
        <v>0.15</v>
      </c>
      <c r="M283" s="48"/>
      <c r="N283" s="48"/>
      <c r="O283" s="48"/>
      <c r="P283" s="48"/>
      <c r="Q283" s="49"/>
    </row>
    <row r="284" spans="1:17" ht="15" customHeight="1" x14ac:dyDescent="0.25">
      <c r="A284" s="212">
        <v>8014</v>
      </c>
      <c r="B284" s="212">
        <v>814</v>
      </c>
      <c r="C284" s="213" t="s">
        <v>128</v>
      </c>
      <c r="D284" s="213" t="s">
        <v>229</v>
      </c>
      <c r="E284" s="213" t="s">
        <v>140</v>
      </c>
      <c r="F284" s="213" t="s">
        <v>106</v>
      </c>
      <c r="G284" s="212">
        <v>2680</v>
      </c>
      <c r="H284" s="213" t="s">
        <v>107</v>
      </c>
      <c r="I284" s="214" t="s">
        <v>29</v>
      </c>
      <c r="J284" s="215">
        <v>23.75</v>
      </c>
      <c r="K284" s="216" t="s">
        <v>290</v>
      </c>
      <c r="L284" s="217">
        <v>0.15</v>
      </c>
      <c r="M284" s="48"/>
      <c r="N284" s="48"/>
      <c r="O284" s="48"/>
      <c r="P284" s="48"/>
      <c r="Q284" s="49"/>
    </row>
    <row r="285" spans="1:17" ht="15" customHeight="1" x14ac:dyDescent="0.25">
      <c r="A285" s="212">
        <v>8014</v>
      </c>
      <c r="B285" s="212">
        <v>814</v>
      </c>
      <c r="C285" s="213" t="s">
        <v>128</v>
      </c>
      <c r="D285" s="213" t="s">
        <v>229</v>
      </c>
      <c r="E285" s="213" t="s">
        <v>140</v>
      </c>
      <c r="F285" s="213" t="s">
        <v>121</v>
      </c>
      <c r="G285" s="212">
        <v>3006</v>
      </c>
      <c r="H285" s="213" t="s">
        <v>145</v>
      </c>
      <c r="I285" s="214" t="s">
        <v>66</v>
      </c>
      <c r="J285" s="215">
        <v>8.3330000000000002</v>
      </c>
      <c r="K285" s="216" t="s">
        <v>144</v>
      </c>
      <c r="L285" s="217">
        <v>0.15</v>
      </c>
      <c r="M285" s="48"/>
      <c r="N285" s="48"/>
      <c r="O285" s="48"/>
      <c r="P285" s="48"/>
      <c r="Q285" s="49"/>
    </row>
    <row r="286" spans="1:17" ht="15" customHeight="1" x14ac:dyDescent="0.25">
      <c r="A286" s="212">
        <v>8014</v>
      </c>
      <c r="B286" s="212">
        <v>814</v>
      </c>
      <c r="C286" s="213" t="s">
        <v>128</v>
      </c>
      <c r="D286" s="213" t="s">
        <v>229</v>
      </c>
      <c r="E286" s="213" t="s">
        <v>140</v>
      </c>
      <c r="F286" s="213" t="s">
        <v>124</v>
      </c>
      <c r="G286" s="212">
        <v>3043</v>
      </c>
      <c r="H286" s="213" t="s">
        <v>124</v>
      </c>
      <c r="I286" s="214" t="s">
        <v>125</v>
      </c>
      <c r="J286" s="215">
        <v>5.0000000000000001E-3</v>
      </c>
      <c r="K286" s="216" t="s">
        <v>293</v>
      </c>
      <c r="L286" s="217">
        <v>0.15</v>
      </c>
      <c r="M286" s="50"/>
      <c r="N286" s="48"/>
      <c r="O286" s="48"/>
      <c r="P286" s="48"/>
      <c r="Q286" s="49"/>
    </row>
    <row r="287" spans="1:17" ht="15" customHeight="1" x14ac:dyDescent="0.25">
      <c r="A287" s="212">
        <v>2909</v>
      </c>
      <c r="B287" s="212">
        <v>56</v>
      </c>
      <c r="C287" s="213" t="s">
        <v>297</v>
      </c>
      <c r="D287" s="213" t="s">
        <v>216</v>
      </c>
      <c r="E287" s="213">
        <v>30</v>
      </c>
      <c r="F287" s="213" t="s">
        <v>276</v>
      </c>
      <c r="G287" s="212">
        <v>406</v>
      </c>
      <c r="H287" s="213" t="s">
        <v>39</v>
      </c>
      <c r="I287" s="214" t="s">
        <v>29</v>
      </c>
      <c r="J287" s="215">
        <v>8</v>
      </c>
      <c r="K287" s="216" t="s">
        <v>27</v>
      </c>
      <c r="L287" s="217">
        <v>0.1</v>
      </c>
      <c r="M287" s="48"/>
      <c r="N287" s="48"/>
      <c r="O287" s="48"/>
      <c r="P287" s="48"/>
      <c r="Q287" s="49"/>
    </row>
    <row r="288" spans="1:17" ht="15" customHeight="1" x14ac:dyDescent="0.25">
      <c r="A288" s="212">
        <v>2909</v>
      </c>
      <c r="B288" s="212">
        <v>56</v>
      </c>
      <c r="C288" s="213" t="s">
        <v>297</v>
      </c>
      <c r="D288" s="213" t="s">
        <v>216</v>
      </c>
      <c r="E288" s="213">
        <v>30</v>
      </c>
      <c r="F288" s="213" t="s">
        <v>50</v>
      </c>
      <c r="G288" s="212">
        <v>3595</v>
      </c>
      <c r="H288" s="213" t="s">
        <v>268</v>
      </c>
      <c r="I288" s="214" t="s">
        <v>29</v>
      </c>
      <c r="J288" s="215">
        <v>0.67</v>
      </c>
      <c r="K288" s="216" t="s">
        <v>50</v>
      </c>
      <c r="L288" s="217">
        <v>0.1</v>
      </c>
      <c r="M288" s="48"/>
      <c r="N288" s="48"/>
      <c r="O288" s="48"/>
      <c r="P288" s="48"/>
      <c r="Q288" s="49"/>
    </row>
    <row r="289" spans="1:17" ht="15" customHeight="1" x14ac:dyDescent="0.25">
      <c r="A289" s="212">
        <v>2909</v>
      </c>
      <c r="B289" s="212">
        <v>56</v>
      </c>
      <c r="C289" s="213" t="s">
        <v>297</v>
      </c>
      <c r="D289" s="213" t="s">
        <v>216</v>
      </c>
      <c r="E289" s="213">
        <v>30</v>
      </c>
      <c r="F289" s="213" t="s">
        <v>88</v>
      </c>
      <c r="G289" s="212">
        <v>45</v>
      </c>
      <c r="H289" s="213" t="s">
        <v>298</v>
      </c>
      <c r="I289" s="214" t="s">
        <v>299</v>
      </c>
      <c r="J289" s="215">
        <v>6.6665999999999999</v>
      </c>
      <c r="K289" s="216" t="s">
        <v>88</v>
      </c>
      <c r="L289" s="217">
        <v>0.1</v>
      </c>
      <c r="M289" s="48"/>
      <c r="N289" s="48"/>
      <c r="O289" s="48"/>
      <c r="P289" s="48"/>
      <c r="Q289" s="49"/>
    </row>
    <row r="290" spans="1:17" ht="15" customHeight="1" x14ac:dyDescent="0.25">
      <c r="A290" s="212">
        <v>2909</v>
      </c>
      <c r="B290" s="212">
        <v>56</v>
      </c>
      <c r="C290" s="213" t="s">
        <v>297</v>
      </c>
      <c r="D290" s="213" t="s">
        <v>216</v>
      </c>
      <c r="E290" s="213">
        <v>30</v>
      </c>
      <c r="F290" s="213" t="s">
        <v>300</v>
      </c>
      <c r="G290" s="212">
        <v>194</v>
      </c>
      <c r="H290" s="213" t="s">
        <v>99</v>
      </c>
      <c r="I290" s="214" t="s">
        <v>29</v>
      </c>
      <c r="J290" s="215">
        <v>8.3199999999999993E-3</v>
      </c>
      <c r="K290" s="216" t="s">
        <v>29</v>
      </c>
      <c r="L290" s="217">
        <v>0.1</v>
      </c>
      <c r="M290" s="48"/>
      <c r="N290" s="48"/>
      <c r="O290" s="48"/>
      <c r="P290" s="48"/>
      <c r="Q290" s="49"/>
    </row>
    <row r="291" spans="1:17" ht="15" customHeight="1" x14ac:dyDescent="0.25">
      <c r="A291" s="212">
        <v>2909</v>
      </c>
      <c r="B291" s="212">
        <v>56</v>
      </c>
      <c r="C291" s="213" t="s">
        <v>297</v>
      </c>
      <c r="D291" s="213" t="s">
        <v>216</v>
      </c>
      <c r="E291" s="213">
        <v>30</v>
      </c>
      <c r="F291" s="213" t="s">
        <v>43</v>
      </c>
      <c r="G291" s="212">
        <v>4155</v>
      </c>
      <c r="H291" s="213" t="s">
        <v>49</v>
      </c>
      <c r="I291" s="214" t="s">
        <v>29</v>
      </c>
      <c r="J291" s="215">
        <v>0.28000000000000003</v>
      </c>
      <c r="K291" s="216" t="s">
        <v>43</v>
      </c>
      <c r="L291" s="217">
        <v>0.1</v>
      </c>
      <c r="M291" s="50"/>
      <c r="N291" s="48"/>
      <c r="O291" s="48"/>
      <c r="P291" s="48"/>
      <c r="Q291" s="49"/>
    </row>
    <row r="292" spans="1:17" ht="15" customHeight="1" x14ac:dyDescent="0.25">
      <c r="A292" s="212">
        <v>2909</v>
      </c>
      <c r="B292" s="212">
        <v>56</v>
      </c>
      <c r="C292" s="213" t="s">
        <v>297</v>
      </c>
      <c r="D292" s="213" t="s">
        <v>216</v>
      </c>
      <c r="E292" s="213">
        <v>30</v>
      </c>
      <c r="F292" s="213" t="s">
        <v>101</v>
      </c>
      <c r="G292" s="212">
        <v>3635</v>
      </c>
      <c r="H292" s="213" t="s">
        <v>102</v>
      </c>
      <c r="I292" s="214" t="s">
        <v>66</v>
      </c>
      <c r="J292" s="215">
        <v>0.156</v>
      </c>
      <c r="K292" s="216" t="s">
        <v>101</v>
      </c>
      <c r="L292" s="217">
        <v>0.1</v>
      </c>
      <c r="M292" s="48"/>
      <c r="N292" s="48"/>
      <c r="O292" s="48"/>
      <c r="P292" s="48"/>
      <c r="Q292" s="49"/>
    </row>
    <row r="293" spans="1:17" ht="15" customHeight="1" x14ac:dyDescent="0.25">
      <c r="A293" s="212">
        <v>4227</v>
      </c>
      <c r="B293" s="212">
        <v>20</v>
      </c>
      <c r="C293" s="213" t="s">
        <v>205</v>
      </c>
      <c r="D293" s="213" t="s">
        <v>206</v>
      </c>
      <c r="E293" s="213">
        <v>25</v>
      </c>
      <c r="F293" s="213" t="s">
        <v>27</v>
      </c>
      <c r="G293" s="212">
        <v>6</v>
      </c>
      <c r="H293" s="213" t="s">
        <v>36</v>
      </c>
      <c r="I293" s="214" t="s">
        <v>29</v>
      </c>
      <c r="J293" s="215">
        <v>5.9170999999999996</v>
      </c>
      <c r="K293" s="216" t="s">
        <v>27</v>
      </c>
      <c r="L293" s="217">
        <v>0.1</v>
      </c>
      <c r="M293" s="48"/>
      <c r="N293" s="48"/>
      <c r="O293" s="48"/>
      <c r="P293" s="48"/>
      <c r="Q293" s="49"/>
    </row>
    <row r="294" spans="1:17" ht="15" customHeight="1" x14ac:dyDescent="0.25">
      <c r="A294" s="212">
        <v>4227</v>
      </c>
      <c r="B294" s="212">
        <v>20</v>
      </c>
      <c r="C294" s="213" t="s">
        <v>205</v>
      </c>
      <c r="D294" s="213" t="s">
        <v>206</v>
      </c>
      <c r="E294" s="213">
        <v>25</v>
      </c>
      <c r="F294" s="213" t="s">
        <v>62</v>
      </c>
      <c r="G294" s="212">
        <v>186</v>
      </c>
      <c r="H294" s="213" t="s">
        <v>63</v>
      </c>
      <c r="I294" s="214" t="s">
        <v>29</v>
      </c>
      <c r="J294" s="215">
        <v>0.09</v>
      </c>
      <c r="K294" s="216" t="s">
        <v>62</v>
      </c>
      <c r="L294" s="217">
        <v>0.1</v>
      </c>
      <c r="M294" s="48"/>
    </row>
    <row r="295" spans="1:17" ht="15" customHeight="1" x14ac:dyDescent="0.25">
      <c r="A295" s="212">
        <v>4227</v>
      </c>
      <c r="B295" s="212">
        <v>20</v>
      </c>
      <c r="C295" s="213" t="s">
        <v>205</v>
      </c>
      <c r="D295" s="213" t="s">
        <v>206</v>
      </c>
      <c r="E295" s="213">
        <v>25</v>
      </c>
      <c r="F295" s="213" t="s">
        <v>64</v>
      </c>
      <c r="G295" s="212">
        <v>3522</v>
      </c>
      <c r="H295" s="213" t="s">
        <v>84</v>
      </c>
      <c r="I295" s="214" t="s">
        <v>66</v>
      </c>
      <c r="J295" s="215">
        <v>1000</v>
      </c>
      <c r="K295" s="216" t="s">
        <v>64</v>
      </c>
      <c r="L295" s="217">
        <v>0.02</v>
      </c>
      <c r="M295" s="48"/>
    </row>
    <row r="296" spans="1:17" ht="15" customHeight="1" x14ac:dyDescent="0.25">
      <c r="A296" s="212">
        <v>4227</v>
      </c>
      <c r="B296" s="212">
        <v>20</v>
      </c>
      <c r="C296" s="213" t="s">
        <v>205</v>
      </c>
      <c r="D296" s="213" t="s">
        <v>206</v>
      </c>
      <c r="E296" s="213">
        <v>25</v>
      </c>
      <c r="F296" s="213" t="s">
        <v>88</v>
      </c>
      <c r="G296" s="212">
        <v>3598</v>
      </c>
      <c r="H296" s="213" t="s">
        <v>301</v>
      </c>
      <c r="I296" s="214" t="s">
        <v>66</v>
      </c>
      <c r="J296" s="215">
        <v>2.9761000000000002</v>
      </c>
      <c r="K296" s="216" t="s">
        <v>88</v>
      </c>
      <c r="L296" s="217">
        <v>0.1</v>
      </c>
      <c r="M296" s="48"/>
      <c r="N296" s="48"/>
      <c r="O296" s="48"/>
      <c r="P296" s="48"/>
      <c r="Q296" s="49"/>
    </row>
    <row r="297" spans="1:17" ht="15" customHeight="1" x14ac:dyDescent="0.25">
      <c r="A297" s="212">
        <v>4227</v>
      </c>
      <c r="B297" s="212">
        <v>20</v>
      </c>
      <c r="C297" s="213" t="s">
        <v>205</v>
      </c>
      <c r="D297" s="213" t="s">
        <v>206</v>
      </c>
      <c r="E297" s="213">
        <v>25</v>
      </c>
      <c r="F297" s="213" t="s">
        <v>98</v>
      </c>
      <c r="G297" s="212">
        <v>194</v>
      </c>
      <c r="H297" s="213" t="s">
        <v>99</v>
      </c>
      <c r="I297" s="214" t="s">
        <v>29</v>
      </c>
      <c r="J297" s="215">
        <v>8.3199999999999993E-3</v>
      </c>
      <c r="K297" s="216" t="s">
        <v>98</v>
      </c>
      <c r="L297" s="217">
        <v>0.1</v>
      </c>
      <c r="M297" s="48"/>
      <c r="N297" s="48"/>
      <c r="O297" s="48"/>
      <c r="P297" s="48"/>
      <c r="Q297" s="49"/>
    </row>
    <row r="298" spans="1:17" ht="15" customHeight="1" x14ac:dyDescent="0.25">
      <c r="A298" s="212">
        <v>4227</v>
      </c>
      <c r="B298" s="212">
        <v>20</v>
      </c>
      <c r="C298" s="213" t="s">
        <v>205</v>
      </c>
      <c r="D298" s="213" t="s">
        <v>206</v>
      </c>
      <c r="E298" s="213">
        <v>25</v>
      </c>
      <c r="F298" s="213" t="s">
        <v>43</v>
      </c>
      <c r="G298" s="212">
        <v>4155</v>
      </c>
      <c r="H298" s="213" t="s">
        <v>49</v>
      </c>
      <c r="I298" s="214" t="s">
        <v>29</v>
      </c>
      <c r="J298" s="215">
        <v>0.42020000000000002</v>
      </c>
      <c r="K298" s="216" t="s">
        <v>43</v>
      </c>
      <c r="L298" s="217">
        <v>0.1</v>
      </c>
      <c r="M298" s="48"/>
      <c r="N298" s="48"/>
      <c r="O298" s="48"/>
      <c r="P298" s="48"/>
      <c r="Q298" s="49"/>
    </row>
    <row r="299" spans="1:17" ht="15" customHeight="1" x14ac:dyDescent="0.25">
      <c r="A299" s="212">
        <v>4227</v>
      </c>
      <c r="B299" s="212">
        <v>20</v>
      </c>
      <c r="C299" s="213" t="s">
        <v>205</v>
      </c>
      <c r="D299" s="213" t="s">
        <v>206</v>
      </c>
      <c r="E299" s="213">
        <v>25</v>
      </c>
      <c r="F299" s="213" t="s">
        <v>101</v>
      </c>
      <c r="G299" s="212">
        <v>3635</v>
      </c>
      <c r="H299" s="213" t="s">
        <v>102</v>
      </c>
      <c r="I299" s="214" t="s">
        <v>66</v>
      </c>
      <c r="J299" s="215">
        <v>7.9000000000000001E-2</v>
      </c>
      <c r="K299" s="216" t="s">
        <v>101</v>
      </c>
      <c r="L299" s="217">
        <v>0.1</v>
      </c>
      <c r="M299" s="50"/>
      <c r="N299" s="48"/>
      <c r="O299" s="48"/>
      <c r="P299" s="48"/>
      <c r="Q299" s="49"/>
    </row>
    <row r="300" spans="1:17" ht="15" customHeight="1" x14ac:dyDescent="0.25">
      <c r="A300" s="212">
        <v>5389</v>
      </c>
      <c r="B300" s="212">
        <v>35</v>
      </c>
      <c r="C300" s="213" t="s">
        <v>128</v>
      </c>
      <c r="D300" s="213" t="s">
        <v>170</v>
      </c>
      <c r="E300" s="213">
        <v>25</v>
      </c>
      <c r="F300" s="213" t="s">
        <v>27</v>
      </c>
      <c r="G300" s="212">
        <v>6</v>
      </c>
      <c r="H300" s="213" t="s">
        <v>36</v>
      </c>
      <c r="I300" s="214" t="s">
        <v>29</v>
      </c>
      <c r="J300" s="215">
        <v>5.9169999999999998</v>
      </c>
      <c r="K300" s="216" t="s">
        <v>267</v>
      </c>
      <c r="L300" s="217">
        <v>0.1</v>
      </c>
      <c r="M300" s="50"/>
      <c r="N300" s="48"/>
      <c r="O300" s="48"/>
      <c r="P300" s="48"/>
      <c r="Q300" s="49"/>
    </row>
    <row r="301" spans="1:17" ht="15" customHeight="1" x14ac:dyDescent="0.25">
      <c r="A301" s="212">
        <v>5389</v>
      </c>
      <c r="B301" s="212">
        <v>35</v>
      </c>
      <c r="C301" s="213" t="s">
        <v>128</v>
      </c>
      <c r="D301" s="213" t="s">
        <v>170</v>
      </c>
      <c r="E301" s="213">
        <v>25</v>
      </c>
      <c r="F301" s="213" t="s">
        <v>50</v>
      </c>
      <c r="G301" s="212">
        <v>3595</v>
      </c>
      <c r="H301" s="213" t="s">
        <v>268</v>
      </c>
      <c r="I301" s="214" t="s">
        <v>29</v>
      </c>
      <c r="J301" s="215">
        <v>0.61199999999999999</v>
      </c>
      <c r="K301" s="216" t="s">
        <v>269</v>
      </c>
      <c r="L301" s="217">
        <v>0.1</v>
      </c>
      <c r="M301" s="50"/>
      <c r="N301" s="48"/>
      <c r="O301" s="48"/>
      <c r="P301" s="48"/>
      <c r="Q301" s="49"/>
    </row>
    <row r="302" spans="1:17" ht="15" customHeight="1" x14ac:dyDescent="0.25">
      <c r="A302" s="212">
        <v>5389</v>
      </c>
      <c r="B302" s="212">
        <v>35</v>
      </c>
      <c r="C302" s="213" t="s">
        <v>128</v>
      </c>
      <c r="D302" s="213" t="s">
        <v>170</v>
      </c>
      <c r="E302" s="213">
        <v>25</v>
      </c>
      <c r="F302" s="213" t="s">
        <v>64</v>
      </c>
      <c r="G302" s="212">
        <v>68</v>
      </c>
      <c r="H302" s="213" t="s">
        <v>80</v>
      </c>
      <c r="I302" s="214" t="s">
        <v>66</v>
      </c>
      <c r="J302" s="215">
        <v>1000</v>
      </c>
      <c r="K302" s="216" t="s">
        <v>270</v>
      </c>
      <c r="L302" s="217">
        <v>0.02</v>
      </c>
      <c r="M302" s="50"/>
      <c r="N302" s="48"/>
      <c r="O302" s="48"/>
      <c r="P302" s="48"/>
      <c r="Q302" s="49"/>
    </row>
    <row r="303" spans="1:17" ht="15" customHeight="1" x14ac:dyDescent="0.25">
      <c r="A303" s="212">
        <v>5389</v>
      </c>
      <c r="B303" s="212">
        <v>35</v>
      </c>
      <c r="C303" s="213" t="s">
        <v>128</v>
      </c>
      <c r="D303" s="213" t="s">
        <v>170</v>
      </c>
      <c r="E303" s="213">
        <v>25</v>
      </c>
      <c r="F303" s="213" t="s">
        <v>88</v>
      </c>
      <c r="G303" s="212">
        <v>3598</v>
      </c>
      <c r="H303" s="213" t="s">
        <v>94</v>
      </c>
      <c r="I303" s="214" t="s">
        <v>66</v>
      </c>
      <c r="J303" s="215">
        <v>2.976</v>
      </c>
      <c r="K303" s="216" t="s">
        <v>271</v>
      </c>
      <c r="L303" s="217">
        <v>0.1</v>
      </c>
      <c r="M303" s="50"/>
      <c r="N303" s="48"/>
      <c r="O303" s="48"/>
      <c r="P303" s="48"/>
      <c r="Q303" s="49"/>
    </row>
    <row r="304" spans="1:17" ht="15" customHeight="1" x14ac:dyDescent="0.25">
      <c r="A304" s="212">
        <v>5389</v>
      </c>
      <c r="B304" s="212">
        <v>35</v>
      </c>
      <c r="C304" s="213" t="s">
        <v>128</v>
      </c>
      <c r="D304" s="213" t="s">
        <v>170</v>
      </c>
      <c r="E304" s="213">
        <v>25</v>
      </c>
      <c r="F304" s="213" t="s">
        <v>98</v>
      </c>
      <c r="G304" s="212">
        <v>194</v>
      </c>
      <c r="H304" s="213" t="s">
        <v>99</v>
      </c>
      <c r="I304" s="214" t="s">
        <v>29</v>
      </c>
      <c r="J304" s="215">
        <v>6.1500000000000001E-3</v>
      </c>
      <c r="K304" s="216" t="s">
        <v>272</v>
      </c>
      <c r="L304" s="217">
        <v>0.1</v>
      </c>
      <c r="M304" s="50"/>
      <c r="N304" s="48"/>
      <c r="O304" s="48"/>
      <c r="P304" s="48"/>
      <c r="Q304" s="49"/>
    </row>
    <row r="305" spans="1:17" ht="15" customHeight="1" x14ac:dyDescent="0.25">
      <c r="A305" s="212">
        <v>5389</v>
      </c>
      <c r="B305" s="212">
        <v>35</v>
      </c>
      <c r="C305" s="213" t="s">
        <v>128</v>
      </c>
      <c r="D305" s="213" t="s">
        <v>170</v>
      </c>
      <c r="E305" s="213">
        <v>25</v>
      </c>
      <c r="F305" s="213" t="s">
        <v>43</v>
      </c>
      <c r="G305" s="212">
        <v>4155</v>
      </c>
      <c r="H305" s="213" t="s">
        <v>49</v>
      </c>
      <c r="I305" s="214" t="s">
        <v>46</v>
      </c>
      <c r="J305" s="215">
        <v>0.29199999999999998</v>
      </c>
      <c r="K305" s="216" t="s">
        <v>273</v>
      </c>
      <c r="L305" s="217">
        <v>0.1</v>
      </c>
      <c r="M305" s="50"/>
      <c r="N305" s="48"/>
      <c r="O305" s="48"/>
      <c r="P305" s="48"/>
      <c r="Q305" s="49"/>
    </row>
    <row r="306" spans="1:17" ht="15" customHeight="1" x14ac:dyDescent="0.25">
      <c r="A306" s="212">
        <v>5389</v>
      </c>
      <c r="B306" s="212">
        <v>35</v>
      </c>
      <c r="C306" s="213" t="s">
        <v>128</v>
      </c>
      <c r="D306" s="213" t="s">
        <v>170</v>
      </c>
      <c r="E306" s="213">
        <v>25</v>
      </c>
      <c r="F306" s="213" t="s">
        <v>101</v>
      </c>
      <c r="G306" s="212">
        <v>3635</v>
      </c>
      <c r="H306" s="213" t="s">
        <v>102</v>
      </c>
      <c r="I306" s="214" t="s">
        <v>66</v>
      </c>
      <c r="J306" s="215">
        <v>7.9000000000000001E-2</v>
      </c>
      <c r="K306" s="216" t="s">
        <v>275</v>
      </c>
      <c r="L306" s="217">
        <v>0.1</v>
      </c>
      <c r="M306" s="50"/>
      <c r="N306" s="48"/>
      <c r="O306" s="48"/>
      <c r="P306" s="48"/>
      <c r="Q306" s="49"/>
    </row>
    <row r="307" spans="1:17" ht="15" customHeight="1" x14ac:dyDescent="0.25">
      <c r="A307" s="212">
        <v>6151</v>
      </c>
      <c r="B307" s="212">
        <v>146</v>
      </c>
      <c r="C307" s="213" t="s">
        <v>217</v>
      </c>
      <c r="D307" s="213" t="s">
        <v>218</v>
      </c>
      <c r="E307" s="213">
        <v>30</v>
      </c>
      <c r="F307" s="213" t="s">
        <v>276</v>
      </c>
      <c r="G307" s="212">
        <v>406</v>
      </c>
      <c r="H307" s="213" t="s">
        <v>39</v>
      </c>
      <c r="I307" s="214" t="s">
        <v>29</v>
      </c>
      <c r="J307" s="215">
        <v>8</v>
      </c>
      <c r="K307" s="216" t="s">
        <v>27</v>
      </c>
      <c r="L307" s="217">
        <v>0.1</v>
      </c>
      <c r="M307" s="50"/>
      <c r="N307" s="48"/>
      <c r="O307" s="48"/>
      <c r="P307" s="48"/>
      <c r="Q307" s="49"/>
    </row>
    <row r="308" spans="1:17" ht="15" customHeight="1" x14ac:dyDescent="0.25">
      <c r="A308" s="212">
        <v>6151</v>
      </c>
      <c r="B308" s="212">
        <v>146</v>
      </c>
      <c r="C308" s="213" t="s">
        <v>217</v>
      </c>
      <c r="D308" s="213" t="s">
        <v>218</v>
      </c>
      <c r="E308" s="213">
        <v>30</v>
      </c>
      <c r="F308" s="213" t="s">
        <v>50</v>
      </c>
      <c r="G308" s="212">
        <v>3595</v>
      </c>
      <c r="H308" s="213" t="s">
        <v>268</v>
      </c>
      <c r="I308" s="214" t="s">
        <v>29</v>
      </c>
      <c r="J308" s="215">
        <v>0.67</v>
      </c>
      <c r="K308" s="216" t="s">
        <v>50</v>
      </c>
      <c r="L308" s="217">
        <v>0.1</v>
      </c>
      <c r="M308" s="50"/>
      <c r="N308" s="48"/>
      <c r="O308" s="48"/>
      <c r="P308" s="48"/>
      <c r="Q308" s="49"/>
    </row>
    <row r="309" spans="1:17" ht="15" customHeight="1" x14ac:dyDescent="0.25">
      <c r="A309" s="212">
        <v>6151</v>
      </c>
      <c r="B309" s="212">
        <v>146</v>
      </c>
      <c r="C309" s="213" t="s">
        <v>217</v>
      </c>
      <c r="D309" s="213" t="s">
        <v>218</v>
      </c>
      <c r="E309" s="213">
        <v>30</v>
      </c>
      <c r="F309" s="213" t="s">
        <v>62</v>
      </c>
      <c r="G309" s="212">
        <v>186</v>
      </c>
      <c r="H309" s="213" t="s">
        <v>63</v>
      </c>
      <c r="I309" s="214" t="s">
        <v>29</v>
      </c>
      <c r="J309" s="215">
        <v>0.28000000000000003</v>
      </c>
      <c r="K309" s="216" t="s">
        <v>62</v>
      </c>
      <c r="L309" s="217">
        <v>0.1</v>
      </c>
      <c r="M309" s="50"/>
      <c r="N309" s="48"/>
      <c r="O309" s="48"/>
      <c r="P309" s="48"/>
      <c r="Q309" s="49"/>
    </row>
    <row r="310" spans="1:17" ht="15" customHeight="1" x14ac:dyDescent="0.25">
      <c r="A310" s="212">
        <v>6151</v>
      </c>
      <c r="B310" s="212">
        <v>146</v>
      </c>
      <c r="C310" s="213" t="s">
        <v>217</v>
      </c>
      <c r="D310" s="213" t="s">
        <v>218</v>
      </c>
      <c r="E310" s="213">
        <v>30</v>
      </c>
      <c r="F310" s="213" t="s">
        <v>64</v>
      </c>
      <c r="G310" s="212">
        <v>578</v>
      </c>
      <c r="H310" s="213" t="s">
        <v>302</v>
      </c>
      <c r="I310" s="214" t="s">
        <v>299</v>
      </c>
      <c r="J310" s="215">
        <v>1000</v>
      </c>
      <c r="K310" s="216" t="s">
        <v>64</v>
      </c>
      <c r="L310" s="217">
        <v>0.02</v>
      </c>
      <c r="M310" s="50"/>
      <c r="N310" s="48"/>
      <c r="O310" s="48"/>
      <c r="P310" s="48"/>
      <c r="Q310" s="49"/>
    </row>
    <row r="311" spans="1:17" ht="15" customHeight="1" x14ac:dyDescent="0.25">
      <c r="A311" s="212">
        <v>6151</v>
      </c>
      <c r="B311" s="212">
        <v>146</v>
      </c>
      <c r="C311" s="213" t="s">
        <v>217</v>
      </c>
      <c r="D311" s="213" t="s">
        <v>218</v>
      </c>
      <c r="E311" s="213">
        <v>30</v>
      </c>
      <c r="F311" s="213" t="s">
        <v>88</v>
      </c>
      <c r="G311" s="212">
        <v>3988</v>
      </c>
      <c r="H311" s="213" t="s">
        <v>303</v>
      </c>
      <c r="I311" s="214" t="s">
        <v>299</v>
      </c>
      <c r="J311" s="215">
        <v>4.2016</v>
      </c>
      <c r="K311" s="216" t="s">
        <v>88</v>
      </c>
      <c r="L311" s="217">
        <v>0.1</v>
      </c>
      <c r="M311" s="50"/>
      <c r="N311" s="48"/>
      <c r="O311" s="48"/>
      <c r="P311" s="48"/>
      <c r="Q311" s="49"/>
    </row>
    <row r="312" spans="1:17" ht="15" customHeight="1" x14ac:dyDescent="0.25">
      <c r="A312" s="212">
        <v>6151</v>
      </c>
      <c r="B312" s="212">
        <v>146</v>
      </c>
      <c r="C312" s="213" t="s">
        <v>217</v>
      </c>
      <c r="D312" s="213" t="s">
        <v>218</v>
      </c>
      <c r="E312" s="213">
        <v>30</v>
      </c>
      <c r="F312" s="213" t="s">
        <v>300</v>
      </c>
      <c r="G312" s="212">
        <v>194</v>
      </c>
      <c r="H312" s="213" t="s">
        <v>99</v>
      </c>
      <c r="I312" s="214" t="s">
        <v>29</v>
      </c>
      <c r="J312" s="215">
        <v>8.3199999999999993E-3</v>
      </c>
      <c r="K312" s="216" t="s">
        <v>29</v>
      </c>
      <c r="L312" s="217">
        <v>0.1</v>
      </c>
      <c r="M312" s="50"/>
      <c r="N312" s="48"/>
      <c r="O312" s="48"/>
      <c r="P312" s="48"/>
      <c r="Q312" s="49"/>
    </row>
    <row r="313" spans="1:17" ht="15" customHeight="1" x14ac:dyDescent="0.25">
      <c r="A313" s="212">
        <v>6151</v>
      </c>
      <c r="B313" s="212">
        <v>146</v>
      </c>
      <c r="C313" s="213" t="s">
        <v>217</v>
      </c>
      <c r="D313" s="213" t="s">
        <v>218</v>
      </c>
      <c r="E313" s="213">
        <v>30</v>
      </c>
      <c r="F313" s="213" t="s">
        <v>43</v>
      </c>
      <c r="G313" s="212">
        <v>4155</v>
      </c>
      <c r="H313" s="213" t="s">
        <v>49</v>
      </c>
      <c r="I313" s="214" t="s">
        <v>29</v>
      </c>
      <c r="J313" s="215">
        <v>0.28000000000000003</v>
      </c>
      <c r="K313" s="216" t="s">
        <v>43</v>
      </c>
      <c r="L313" s="217">
        <v>0.1</v>
      </c>
      <c r="M313" s="50"/>
      <c r="N313" s="48"/>
      <c r="O313" s="48"/>
      <c r="P313" s="48"/>
      <c r="Q313" s="49"/>
    </row>
    <row r="314" spans="1:17" ht="15" customHeight="1" x14ac:dyDescent="0.25">
      <c r="A314" s="212">
        <v>6151</v>
      </c>
      <c r="B314" s="212">
        <v>146</v>
      </c>
      <c r="C314" s="213" t="s">
        <v>217</v>
      </c>
      <c r="D314" s="213" t="s">
        <v>218</v>
      </c>
      <c r="E314" s="213">
        <v>30</v>
      </c>
      <c r="F314" s="213" t="s">
        <v>101</v>
      </c>
      <c r="G314" s="212">
        <v>3635</v>
      </c>
      <c r="H314" s="213" t="s">
        <v>102</v>
      </c>
      <c r="I314" s="214" t="s">
        <v>66</v>
      </c>
      <c r="J314" s="215">
        <v>0.156</v>
      </c>
      <c r="K314" s="216" t="s">
        <v>101</v>
      </c>
      <c r="L314" s="217">
        <v>0.1</v>
      </c>
      <c r="M314" s="50"/>
      <c r="N314" s="48"/>
      <c r="O314" s="48"/>
      <c r="P314" s="48"/>
      <c r="Q314" s="49"/>
    </row>
    <row r="315" spans="1:17" ht="15" customHeight="1" x14ac:dyDescent="0.25">
      <c r="A315" s="212">
        <v>6151</v>
      </c>
      <c r="B315" s="212">
        <v>146</v>
      </c>
      <c r="C315" s="213" t="s">
        <v>217</v>
      </c>
      <c r="D315" s="213" t="s">
        <v>218</v>
      </c>
      <c r="E315" s="213">
        <v>30</v>
      </c>
      <c r="F315" s="213" t="s">
        <v>282</v>
      </c>
      <c r="G315" s="212">
        <v>6935</v>
      </c>
      <c r="H315" s="213" t="s">
        <v>287</v>
      </c>
      <c r="I315" s="214" t="s">
        <v>29</v>
      </c>
      <c r="J315" s="215">
        <v>3.3000000000000002E-2</v>
      </c>
      <c r="K315" s="216" t="s">
        <v>282</v>
      </c>
      <c r="L315" s="217">
        <v>0.1</v>
      </c>
      <c r="M315" s="50"/>
      <c r="N315" s="48"/>
      <c r="O315" s="48"/>
      <c r="P315" s="48"/>
      <c r="Q315" s="49"/>
    </row>
    <row r="316" spans="1:17" ht="15" customHeight="1" x14ac:dyDescent="0.25">
      <c r="A316" s="212">
        <v>6623</v>
      </c>
      <c r="B316" s="212">
        <v>193</v>
      </c>
      <c r="C316" s="213" t="s">
        <v>128</v>
      </c>
      <c r="D316" s="213" t="s">
        <v>186</v>
      </c>
      <c r="E316" s="213">
        <v>19</v>
      </c>
      <c r="F316" s="213" t="s">
        <v>27</v>
      </c>
      <c r="G316" s="212">
        <v>19</v>
      </c>
      <c r="H316" s="213" t="s">
        <v>34</v>
      </c>
      <c r="I316" s="214" t="s">
        <v>29</v>
      </c>
      <c r="J316" s="215">
        <v>3.367</v>
      </c>
      <c r="K316" s="216" t="s">
        <v>27</v>
      </c>
      <c r="L316" s="217">
        <v>0.1</v>
      </c>
      <c r="M316" s="50"/>
      <c r="N316" s="48"/>
      <c r="O316" s="48"/>
      <c r="P316" s="48"/>
      <c r="Q316" s="49"/>
    </row>
    <row r="317" spans="1:17" ht="15" customHeight="1" x14ac:dyDescent="0.25">
      <c r="A317" s="212">
        <v>6623</v>
      </c>
      <c r="B317" s="212">
        <v>193</v>
      </c>
      <c r="C317" s="213" t="s">
        <v>128</v>
      </c>
      <c r="D317" s="213" t="s">
        <v>186</v>
      </c>
      <c r="E317" s="213">
        <v>19</v>
      </c>
      <c r="F317" s="213" t="s">
        <v>50</v>
      </c>
      <c r="G317" s="212">
        <v>3595</v>
      </c>
      <c r="H317" s="213" t="s">
        <v>304</v>
      </c>
      <c r="I317" s="214" t="s">
        <v>29</v>
      </c>
      <c r="J317" s="215">
        <v>0.31</v>
      </c>
      <c r="K317" s="216" t="s">
        <v>50</v>
      </c>
      <c r="L317" s="217">
        <v>0.1</v>
      </c>
      <c r="M317" s="50"/>
      <c r="N317" s="48"/>
      <c r="O317" s="48"/>
      <c r="P317" s="48"/>
      <c r="Q317" s="49"/>
    </row>
    <row r="318" spans="1:17" ht="15" customHeight="1" x14ac:dyDescent="0.25">
      <c r="A318" s="212">
        <v>6623</v>
      </c>
      <c r="B318" s="212">
        <v>193</v>
      </c>
      <c r="C318" s="213" t="s">
        <v>128</v>
      </c>
      <c r="D318" s="213" t="s">
        <v>186</v>
      </c>
      <c r="E318" s="213">
        <v>19</v>
      </c>
      <c r="F318" s="213" t="s">
        <v>64</v>
      </c>
      <c r="G318" s="212">
        <v>80</v>
      </c>
      <c r="H318" s="213" t="s">
        <v>70</v>
      </c>
      <c r="I318" s="214" t="s">
        <v>299</v>
      </c>
      <c r="J318" s="215">
        <v>1000</v>
      </c>
      <c r="K318" s="216" t="s">
        <v>64</v>
      </c>
      <c r="L318" s="217">
        <v>0.02</v>
      </c>
      <c r="M318" s="50"/>
      <c r="N318" s="48"/>
      <c r="O318" s="48"/>
      <c r="P318" s="48"/>
      <c r="Q318" s="49"/>
    </row>
    <row r="319" spans="1:17" ht="15" customHeight="1" x14ac:dyDescent="0.25">
      <c r="A319" s="212">
        <v>6623</v>
      </c>
      <c r="B319" s="212">
        <v>193</v>
      </c>
      <c r="C319" s="213" t="s">
        <v>128</v>
      </c>
      <c r="D319" s="213" t="s">
        <v>186</v>
      </c>
      <c r="E319" s="213">
        <v>19</v>
      </c>
      <c r="F319" s="213" t="s">
        <v>88</v>
      </c>
      <c r="G319" s="212">
        <v>3619</v>
      </c>
      <c r="H319" s="213" t="s">
        <v>305</v>
      </c>
      <c r="I319" s="214" t="s">
        <v>299</v>
      </c>
      <c r="J319" s="215">
        <v>1.7</v>
      </c>
      <c r="K319" s="216" t="s">
        <v>88</v>
      </c>
      <c r="L319" s="217">
        <v>0.1</v>
      </c>
      <c r="M319" s="50"/>
      <c r="N319" s="48"/>
      <c r="O319" s="48"/>
      <c r="P319" s="48"/>
      <c r="Q319" s="49"/>
    </row>
    <row r="320" spans="1:17" ht="15" customHeight="1" x14ac:dyDescent="0.25">
      <c r="A320" s="212">
        <v>6623</v>
      </c>
      <c r="B320" s="212">
        <v>193</v>
      </c>
      <c r="C320" s="213" t="s">
        <v>128</v>
      </c>
      <c r="D320" s="213" t="s">
        <v>186</v>
      </c>
      <c r="E320" s="213">
        <v>19</v>
      </c>
      <c r="F320" s="213" t="s">
        <v>98</v>
      </c>
      <c r="G320" s="212">
        <v>194</v>
      </c>
      <c r="H320" s="213" t="s">
        <v>99</v>
      </c>
      <c r="I320" s="214" t="s">
        <v>29</v>
      </c>
      <c r="J320" s="215">
        <v>3.3999999999999998E-3</v>
      </c>
      <c r="K320" s="216" t="s">
        <v>98</v>
      </c>
      <c r="L320" s="217">
        <v>0.1</v>
      </c>
      <c r="M320" s="50"/>
      <c r="N320" s="48"/>
      <c r="O320" s="48"/>
      <c r="P320" s="48"/>
      <c r="Q320" s="49"/>
    </row>
    <row r="321" spans="1:17" ht="15" customHeight="1" x14ac:dyDescent="0.25">
      <c r="A321" s="212">
        <v>6623</v>
      </c>
      <c r="B321" s="212">
        <v>193</v>
      </c>
      <c r="C321" s="213" t="s">
        <v>128</v>
      </c>
      <c r="D321" s="213" t="s">
        <v>186</v>
      </c>
      <c r="E321" s="213">
        <v>19</v>
      </c>
      <c r="F321" s="213" t="s">
        <v>43</v>
      </c>
      <c r="G321" s="212">
        <v>4155</v>
      </c>
      <c r="H321" s="213" t="s">
        <v>49</v>
      </c>
      <c r="I321" s="214" t="s">
        <v>46</v>
      </c>
      <c r="J321" s="215">
        <v>0.1449</v>
      </c>
      <c r="K321" s="216" t="s">
        <v>43</v>
      </c>
      <c r="L321" s="217">
        <v>0.1</v>
      </c>
      <c r="M321" s="50"/>
      <c r="N321" s="48"/>
      <c r="O321" s="48"/>
      <c r="P321" s="48"/>
      <c r="Q321" s="49"/>
    </row>
    <row r="322" spans="1:17" ht="15" customHeight="1" x14ac:dyDescent="0.25">
      <c r="A322" s="212">
        <v>6623</v>
      </c>
      <c r="B322" s="212">
        <v>193</v>
      </c>
      <c r="C322" s="213" t="s">
        <v>128</v>
      </c>
      <c r="D322" s="213" t="s">
        <v>186</v>
      </c>
      <c r="E322" s="213">
        <v>19</v>
      </c>
      <c r="F322" s="213" t="s">
        <v>101</v>
      </c>
      <c r="G322" s="212">
        <v>3635</v>
      </c>
      <c r="H322" s="213" t="s">
        <v>102</v>
      </c>
      <c r="I322" s="214" t="s">
        <v>66</v>
      </c>
      <c r="J322" s="215">
        <v>5.8999999999999997E-2</v>
      </c>
      <c r="K322" s="216" t="s">
        <v>101</v>
      </c>
      <c r="L322" s="217">
        <v>0.1</v>
      </c>
      <c r="M322" s="50"/>
      <c r="N322" s="48"/>
      <c r="O322" s="48"/>
      <c r="P322" s="48"/>
      <c r="Q322" s="49"/>
    </row>
    <row r="323" spans="1:17" ht="15" customHeight="1" x14ac:dyDescent="0.25">
      <c r="A323" s="212">
        <v>6624</v>
      </c>
      <c r="B323" s="212">
        <v>192</v>
      </c>
      <c r="C323" s="213" t="s">
        <v>128</v>
      </c>
      <c r="D323" s="213" t="s">
        <v>185</v>
      </c>
      <c r="E323" s="213">
        <v>19</v>
      </c>
      <c r="F323" s="213" t="s">
        <v>27</v>
      </c>
      <c r="G323" s="212">
        <v>19</v>
      </c>
      <c r="H323" s="213" t="s">
        <v>34</v>
      </c>
      <c r="I323" s="214" t="s">
        <v>29</v>
      </c>
      <c r="J323" s="215">
        <v>3.367</v>
      </c>
      <c r="K323" s="216" t="s">
        <v>27</v>
      </c>
      <c r="L323" s="217">
        <v>0.1</v>
      </c>
      <c r="M323" s="50"/>
      <c r="N323" s="48"/>
      <c r="O323" s="48"/>
      <c r="P323" s="48"/>
      <c r="Q323" s="49"/>
    </row>
    <row r="324" spans="1:17" ht="15" customHeight="1" x14ac:dyDescent="0.25">
      <c r="A324" s="212">
        <v>6624</v>
      </c>
      <c r="B324" s="212">
        <v>192</v>
      </c>
      <c r="C324" s="213" t="s">
        <v>128</v>
      </c>
      <c r="D324" s="213" t="s">
        <v>185</v>
      </c>
      <c r="E324" s="213">
        <v>19</v>
      </c>
      <c r="F324" s="213" t="s">
        <v>50</v>
      </c>
      <c r="G324" s="212">
        <v>3595</v>
      </c>
      <c r="H324" s="213" t="s">
        <v>304</v>
      </c>
      <c r="I324" s="214" t="s">
        <v>29</v>
      </c>
      <c r="J324" s="215">
        <v>0.31</v>
      </c>
      <c r="K324" s="216" t="s">
        <v>50</v>
      </c>
      <c r="L324" s="217">
        <v>0.1</v>
      </c>
      <c r="M324" s="50"/>
      <c r="N324" s="48"/>
      <c r="O324" s="48"/>
      <c r="P324" s="48"/>
      <c r="Q324" s="49"/>
    </row>
    <row r="325" spans="1:17" ht="15" customHeight="1" x14ac:dyDescent="0.25">
      <c r="A325" s="212">
        <v>6624</v>
      </c>
      <c r="B325" s="212">
        <v>192</v>
      </c>
      <c r="C325" s="213" t="s">
        <v>128</v>
      </c>
      <c r="D325" s="213" t="s">
        <v>185</v>
      </c>
      <c r="E325" s="213">
        <v>19</v>
      </c>
      <c r="F325" s="213" t="s">
        <v>64</v>
      </c>
      <c r="G325" s="212">
        <v>80</v>
      </c>
      <c r="H325" s="213" t="s">
        <v>70</v>
      </c>
      <c r="I325" s="214" t="s">
        <v>299</v>
      </c>
      <c r="J325" s="215">
        <v>1000</v>
      </c>
      <c r="K325" s="216" t="s">
        <v>64</v>
      </c>
      <c r="L325" s="217">
        <v>0.02</v>
      </c>
      <c r="M325" s="50"/>
      <c r="N325" s="48"/>
      <c r="O325" s="48"/>
      <c r="P325" s="48"/>
      <c r="Q325" s="49"/>
    </row>
    <row r="326" spans="1:17" ht="15" customHeight="1" x14ac:dyDescent="0.25">
      <c r="A326" s="212">
        <v>6624</v>
      </c>
      <c r="B326" s="212">
        <v>192</v>
      </c>
      <c r="C326" s="213" t="s">
        <v>128</v>
      </c>
      <c r="D326" s="213" t="s">
        <v>185</v>
      </c>
      <c r="E326" s="213">
        <v>19</v>
      </c>
      <c r="F326" s="213" t="s">
        <v>88</v>
      </c>
      <c r="G326" s="212">
        <v>3619</v>
      </c>
      <c r="H326" s="213" t="s">
        <v>305</v>
      </c>
      <c r="I326" s="214" t="s">
        <v>299</v>
      </c>
      <c r="J326" s="215">
        <v>1.7</v>
      </c>
      <c r="K326" s="216" t="s">
        <v>88</v>
      </c>
      <c r="L326" s="217">
        <v>0.1</v>
      </c>
      <c r="M326" s="50"/>
      <c r="N326" s="48"/>
      <c r="O326" s="48"/>
      <c r="P326" s="48"/>
      <c r="Q326" s="49"/>
    </row>
    <row r="327" spans="1:17" ht="15" customHeight="1" x14ac:dyDescent="0.25">
      <c r="A327" s="212">
        <v>6624</v>
      </c>
      <c r="B327" s="212">
        <v>192</v>
      </c>
      <c r="C327" s="213" t="s">
        <v>128</v>
      </c>
      <c r="D327" s="213" t="s">
        <v>185</v>
      </c>
      <c r="E327" s="213">
        <v>19</v>
      </c>
      <c r="F327" s="213" t="s">
        <v>98</v>
      </c>
      <c r="G327" s="212">
        <v>194</v>
      </c>
      <c r="H327" s="213" t="s">
        <v>99</v>
      </c>
      <c r="I327" s="214" t="s">
        <v>29</v>
      </c>
      <c r="J327" s="215">
        <v>3.3999999999999998E-3</v>
      </c>
      <c r="K327" s="216" t="s">
        <v>98</v>
      </c>
      <c r="L327" s="217">
        <v>0.1</v>
      </c>
      <c r="M327" s="50"/>
      <c r="N327" s="48"/>
      <c r="O327" s="48"/>
      <c r="P327" s="48"/>
      <c r="Q327" s="49"/>
    </row>
    <row r="328" spans="1:17" ht="15" customHeight="1" x14ac:dyDescent="0.25">
      <c r="A328" s="212">
        <v>6624</v>
      </c>
      <c r="B328" s="212">
        <v>192</v>
      </c>
      <c r="C328" s="213" t="s">
        <v>128</v>
      </c>
      <c r="D328" s="213" t="s">
        <v>185</v>
      </c>
      <c r="E328" s="213">
        <v>19</v>
      </c>
      <c r="F328" s="213" t="s">
        <v>43</v>
      </c>
      <c r="G328" s="212">
        <v>4155</v>
      </c>
      <c r="H328" s="213" t="s">
        <v>49</v>
      </c>
      <c r="I328" s="214" t="s">
        <v>46</v>
      </c>
      <c r="J328" s="215">
        <v>0.1449</v>
      </c>
      <c r="K328" s="216" t="s">
        <v>43</v>
      </c>
      <c r="L328" s="217">
        <v>0.1</v>
      </c>
      <c r="M328" s="50"/>
      <c r="N328" s="48"/>
      <c r="O328" s="48"/>
      <c r="P328" s="48"/>
      <c r="Q328" s="49"/>
    </row>
    <row r="329" spans="1:17" ht="15" customHeight="1" x14ac:dyDescent="0.25">
      <c r="A329" s="212">
        <v>6624</v>
      </c>
      <c r="B329" s="212">
        <v>192</v>
      </c>
      <c r="C329" s="213" t="s">
        <v>128</v>
      </c>
      <c r="D329" s="213" t="s">
        <v>185</v>
      </c>
      <c r="E329" s="213">
        <v>19</v>
      </c>
      <c r="F329" s="213" t="s">
        <v>101</v>
      </c>
      <c r="G329" s="212">
        <v>3635</v>
      </c>
      <c r="H329" s="213" t="s">
        <v>102</v>
      </c>
      <c r="I329" s="214" t="s">
        <v>66</v>
      </c>
      <c r="J329" s="215">
        <v>5.8999999999999997E-2</v>
      </c>
      <c r="K329" s="216" t="s">
        <v>101</v>
      </c>
      <c r="L329" s="217">
        <v>0.1</v>
      </c>
      <c r="M329" s="50"/>
    </row>
    <row r="330" spans="1:17" ht="15" customHeight="1" x14ac:dyDescent="0.25">
      <c r="A330" s="212">
        <v>8015</v>
      </c>
      <c r="B330" s="212"/>
      <c r="C330" s="213" t="s">
        <v>13</v>
      </c>
      <c r="D330" s="213" t="s">
        <v>132</v>
      </c>
      <c r="E330" s="213" t="s">
        <v>131</v>
      </c>
      <c r="F330" s="213" t="s">
        <v>106</v>
      </c>
      <c r="G330" s="212">
        <v>2680</v>
      </c>
      <c r="H330" s="213" t="s">
        <v>107</v>
      </c>
      <c r="I330" s="214" t="s">
        <v>29</v>
      </c>
      <c r="J330" s="215">
        <v>17.100000000000001</v>
      </c>
      <c r="K330" s="216" t="s">
        <v>290</v>
      </c>
      <c r="L330" s="217">
        <v>0.15</v>
      </c>
      <c r="M330" s="50"/>
    </row>
    <row r="331" spans="1:17" ht="15" customHeight="1" x14ac:dyDescent="0.25">
      <c r="A331" s="212">
        <v>8015</v>
      </c>
      <c r="B331" s="212"/>
      <c r="C331" s="213" t="s">
        <v>13</v>
      </c>
      <c r="D331" s="213" t="s">
        <v>132</v>
      </c>
      <c r="E331" s="213" t="s">
        <v>131</v>
      </c>
      <c r="F331" s="213" t="s">
        <v>294</v>
      </c>
      <c r="G331" s="212">
        <v>5816</v>
      </c>
      <c r="H331" s="213" t="s">
        <v>113</v>
      </c>
      <c r="I331" s="214" t="s">
        <v>29</v>
      </c>
      <c r="J331" s="215">
        <v>0.9</v>
      </c>
      <c r="K331" s="216" t="s">
        <v>306</v>
      </c>
      <c r="L331" s="217">
        <v>0.15</v>
      </c>
      <c r="M331" s="50"/>
    </row>
    <row r="332" spans="1:17" ht="15" customHeight="1" x14ac:dyDescent="0.25">
      <c r="A332" s="212">
        <v>8015</v>
      </c>
      <c r="B332" s="212"/>
      <c r="C332" s="213" t="s">
        <v>13</v>
      </c>
      <c r="D332" s="213" t="s">
        <v>132</v>
      </c>
      <c r="E332" s="213" t="s">
        <v>131</v>
      </c>
      <c r="F332" s="213" t="s">
        <v>291</v>
      </c>
      <c r="G332" s="212">
        <v>5977</v>
      </c>
      <c r="H332" s="213" t="s">
        <v>97</v>
      </c>
      <c r="I332" s="214" t="s">
        <v>66</v>
      </c>
      <c r="J332" s="215">
        <v>1.667</v>
      </c>
      <c r="K332" s="216" t="s">
        <v>292</v>
      </c>
      <c r="L332" s="217">
        <v>0.15</v>
      </c>
      <c r="M332" s="50"/>
    </row>
    <row r="333" spans="1:17" ht="15" customHeight="1" x14ac:dyDescent="0.25">
      <c r="A333" s="212">
        <v>8015</v>
      </c>
      <c r="B333" s="212"/>
      <c r="C333" s="213" t="s">
        <v>13</v>
      </c>
      <c r="D333" s="213" t="s">
        <v>132</v>
      </c>
      <c r="E333" s="213" t="s">
        <v>131</v>
      </c>
      <c r="F333" s="213" t="s">
        <v>121</v>
      </c>
      <c r="G333" s="212">
        <v>2267</v>
      </c>
      <c r="H333" s="213" t="s">
        <v>122</v>
      </c>
      <c r="I333" s="214" t="s">
        <v>66</v>
      </c>
      <c r="J333" s="215">
        <v>10</v>
      </c>
      <c r="K333" s="216" t="s">
        <v>144</v>
      </c>
      <c r="L333" s="217">
        <v>0.15</v>
      </c>
      <c r="M333" s="50"/>
    </row>
    <row r="334" spans="1:17" ht="15" customHeight="1" x14ac:dyDescent="0.25">
      <c r="A334" s="212">
        <v>8015</v>
      </c>
      <c r="B334" s="212"/>
      <c r="C334" s="213" t="s">
        <v>13</v>
      </c>
      <c r="D334" s="213" t="s">
        <v>132</v>
      </c>
      <c r="E334" s="213" t="s">
        <v>131</v>
      </c>
      <c r="F334" s="213" t="s">
        <v>101</v>
      </c>
      <c r="G334" s="212">
        <v>3635</v>
      </c>
      <c r="H334" s="213" t="s">
        <v>102</v>
      </c>
      <c r="I334" s="214" t="s">
        <v>66</v>
      </c>
      <c r="J334" s="215">
        <v>4.2000000000000003E-2</v>
      </c>
      <c r="K334" s="216" t="s">
        <v>275</v>
      </c>
      <c r="L334" s="217">
        <v>0.15</v>
      </c>
      <c r="M334" s="50"/>
    </row>
    <row r="335" spans="1:17" ht="15" customHeight="1" x14ac:dyDescent="0.25">
      <c r="A335" s="212">
        <v>8015</v>
      </c>
      <c r="B335" s="212"/>
      <c r="C335" s="213" t="s">
        <v>13</v>
      </c>
      <c r="D335" s="213" t="s">
        <v>132</v>
      </c>
      <c r="E335" s="213" t="s">
        <v>131</v>
      </c>
      <c r="F335" s="213" t="s">
        <v>124</v>
      </c>
      <c r="G335" s="212">
        <v>3043</v>
      </c>
      <c r="H335" s="213" t="s">
        <v>124</v>
      </c>
      <c r="I335" s="214" t="s">
        <v>125</v>
      </c>
      <c r="J335" s="215">
        <v>5.0000000000000001E-3</v>
      </c>
      <c r="K335" s="216" t="s">
        <v>293</v>
      </c>
      <c r="L335" s="217">
        <v>0.15</v>
      </c>
      <c r="M335" s="50"/>
    </row>
    <row r="336" spans="1:17" ht="15" customHeight="1" x14ac:dyDescent="0.25">
      <c r="A336" s="212">
        <v>8017</v>
      </c>
      <c r="B336" s="212">
        <v>817</v>
      </c>
      <c r="C336" s="213" t="s">
        <v>139</v>
      </c>
      <c r="D336" s="213" t="s">
        <v>136</v>
      </c>
      <c r="E336" s="213" t="s">
        <v>134</v>
      </c>
      <c r="F336" s="213" t="s">
        <v>106</v>
      </c>
      <c r="G336" s="212">
        <v>2680</v>
      </c>
      <c r="H336" s="213" t="s">
        <v>107</v>
      </c>
      <c r="I336" s="214" t="s">
        <v>29</v>
      </c>
      <c r="J336" s="215">
        <v>22</v>
      </c>
      <c r="K336" s="216" t="s">
        <v>290</v>
      </c>
      <c r="L336" s="217">
        <v>0.15</v>
      </c>
      <c r="M336" s="50"/>
      <c r="N336" s="48"/>
      <c r="O336" s="48"/>
      <c r="P336" s="48"/>
      <c r="Q336" s="49"/>
    </row>
    <row r="337" spans="1:17" ht="15" customHeight="1" x14ac:dyDescent="0.25">
      <c r="A337" s="212">
        <v>8017</v>
      </c>
      <c r="B337" s="212">
        <v>817</v>
      </c>
      <c r="C337" s="213" t="s">
        <v>139</v>
      </c>
      <c r="D337" s="213" t="s">
        <v>136</v>
      </c>
      <c r="E337" s="213" t="s">
        <v>134</v>
      </c>
      <c r="F337" s="213" t="s">
        <v>291</v>
      </c>
      <c r="G337" s="212">
        <v>5977</v>
      </c>
      <c r="H337" s="213" t="s">
        <v>97</v>
      </c>
      <c r="I337" s="214" t="s">
        <v>66</v>
      </c>
      <c r="J337" s="215">
        <v>1.087</v>
      </c>
      <c r="K337" s="216" t="s">
        <v>292</v>
      </c>
      <c r="L337" s="217">
        <v>0.15</v>
      </c>
      <c r="M337" s="50"/>
      <c r="N337" s="48"/>
      <c r="O337" s="48"/>
      <c r="P337" s="48"/>
      <c r="Q337" s="49"/>
    </row>
    <row r="338" spans="1:17" ht="15" hidden="1" customHeight="1" x14ac:dyDescent="0.25">
      <c r="A338" s="212">
        <v>8017</v>
      </c>
      <c r="B338" s="212">
        <v>817</v>
      </c>
      <c r="C338" s="213" t="s">
        <v>139</v>
      </c>
      <c r="D338" s="213" t="s">
        <v>136</v>
      </c>
      <c r="E338" s="213" t="s">
        <v>134</v>
      </c>
      <c r="F338" s="213" t="s">
        <v>121</v>
      </c>
      <c r="G338" s="212">
        <v>2267</v>
      </c>
      <c r="H338" s="213" t="s">
        <v>122</v>
      </c>
      <c r="I338" s="214" t="s">
        <v>66</v>
      </c>
      <c r="J338" s="215">
        <v>8.6959999999999997</v>
      </c>
      <c r="K338" s="216" t="s">
        <v>144</v>
      </c>
      <c r="L338" s="217">
        <v>0.15</v>
      </c>
      <c r="M338" s="50"/>
      <c r="N338" s="48"/>
      <c r="O338" s="48"/>
      <c r="P338" s="48"/>
      <c r="Q338" s="49"/>
    </row>
    <row r="339" spans="1:17" ht="15" customHeight="1" x14ac:dyDescent="0.25">
      <c r="A339" s="212">
        <v>8017</v>
      </c>
      <c r="B339" s="212">
        <v>817</v>
      </c>
      <c r="C339" s="213" t="s">
        <v>139</v>
      </c>
      <c r="D339" s="213" t="s">
        <v>136</v>
      </c>
      <c r="E339" s="213" t="s">
        <v>134</v>
      </c>
      <c r="F339" s="213" t="s">
        <v>101</v>
      </c>
      <c r="G339" s="212">
        <v>3635</v>
      </c>
      <c r="H339" s="213" t="s">
        <v>102</v>
      </c>
      <c r="I339" s="214" t="s">
        <v>66</v>
      </c>
      <c r="J339" s="215">
        <v>2.7E-2</v>
      </c>
      <c r="K339" s="216" t="s">
        <v>275</v>
      </c>
      <c r="L339" s="217">
        <v>0.15</v>
      </c>
      <c r="M339" s="50"/>
      <c r="N339" s="48"/>
      <c r="O339" s="48"/>
      <c r="P339" s="48"/>
      <c r="Q339" s="49"/>
    </row>
    <row r="340" spans="1:17" ht="15" customHeight="1" x14ac:dyDescent="0.25">
      <c r="A340" s="212">
        <v>8017</v>
      </c>
      <c r="B340" s="212">
        <v>817</v>
      </c>
      <c r="C340" s="213" t="s">
        <v>139</v>
      </c>
      <c r="D340" s="213" t="s">
        <v>136</v>
      </c>
      <c r="E340" s="213" t="s">
        <v>134</v>
      </c>
      <c r="F340" s="213" t="s">
        <v>124</v>
      </c>
      <c r="G340" s="212">
        <v>3043</v>
      </c>
      <c r="H340" s="213" t="s">
        <v>124</v>
      </c>
      <c r="I340" s="214" t="s">
        <v>125</v>
      </c>
      <c r="J340" s="215">
        <v>5.0000000000000001E-3</v>
      </c>
      <c r="K340" s="216" t="s">
        <v>293</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84" zoomScale="130" zoomScaleNormal="130" workbookViewId="0">
      <selection activeCell="C107" sqref="C107"/>
    </sheetView>
  </sheetViews>
  <sheetFormatPr defaultColWidth="8.7109375" defaultRowHeight="15" x14ac:dyDescent="0.25"/>
  <cols>
    <col min="1" max="1" width="10" customWidth="1"/>
    <col min="2" max="2" width="14" customWidth="1"/>
    <col min="3" max="3" width="39.285156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43" customWidth="1"/>
    <col min="11" max="11" width="18" style="147" customWidth="1"/>
  </cols>
  <sheetData>
    <row r="1" spans="1:11" ht="19.5" customHeight="1" x14ac:dyDescent="0.35">
      <c r="A1" s="347" t="s">
        <v>307</v>
      </c>
      <c r="B1" s="341"/>
      <c r="C1" s="341"/>
      <c r="D1" s="341"/>
      <c r="E1" s="341"/>
      <c r="F1" s="341"/>
      <c r="G1" s="341"/>
      <c r="H1" s="341"/>
      <c r="I1" s="53" t="s">
        <v>1</v>
      </c>
      <c r="J1" s="54">
        <f ca="1">TODAY()</f>
        <v>46265</v>
      </c>
    </row>
    <row r="2" spans="1:11" s="55" customFormat="1" ht="36" customHeight="1" x14ac:dyDescent="0.25">
      <c r="A2" s="12" t="s">
        <v>18</v>
      </c>
      <c r="B2" s="12" t="s">
        <v>19</v>
      </c>
      <c r="C2" s="12" t="s">
        <v>308</v>
      </c>
      <c r="D2" s="12" t="s">
        <v>21</v>
      </c>
      <c r="E2" s="15" t="s">
        <v>309</v>
      </c>
      <c r="F2" s="15" t="s">
        <v>310</v>
      </c>
      <c r="G2" s="15" t="s">
        <v>311</v>
      </c>
      <c r="H2" s="15" t="s">
        <v>312</v>
      </c>
      <c r="I2" s="15" t="s">
        <v>313</v>
      </c>
      <c r="J2" s="141" t="s">
        <v>314</v>
      </c>
      <c r="K2" s="255" t="s">
        <v>315</v>
      </c>
    </row>
    <row r="3" spans="1:11" ht="15" customHeight="1" x14ac:dyDescent="0.25">
      <c r="A3" s="25">
        <v>31</v>
      </c>
      <c r="B3" s="25" t="s">
        <v>276</v>
      </c>
      <c r="C3" s="26" t="s">
        <v>30</v>
      </c>
      <c r="D3" s="25" t="s">
        <v>29</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31</v>
      </c>
      <c r="D4" s="25" t="s">
        <v>29</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34</v>
      </c>
      <c r="D5" s="25" t="s">
        <v>29</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276</v>
      </c>
      <c r="C6" s="26" t="s">
        <v>35</v>
      </c>
      <c r="D6" s="25" t="s">
        <v>29</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36</v>
      </c>
      <c r="D7" s="25" t="s">
        <v>29</v>
      </c>
      <c r="E7" s="27">
        <v>398</v>
      </c>
      <c r="F7" s="27">
        <v>493</v>
      </c>
      <c r="G7" s="27">
        <v>373</v>
      </c>
      <c r="H7" s="28">
        <f t="shared" si="0"/>
        <v>518</v>
      </c>
      <c r="I7" s="27"/>
      <c r="J7" s="142">
        <f>IFERROR(IF(AVERAGEIF(TableBOM[Item ID],A7,TableBOM[Per 1000 Units])=0,"-",ROUND((H7+I7)/(AVERAGEIF(TableBOM[Item ID],A7,TableBOM[Per 1000 Units])/1000),0)),"-")</f>
        <v>87457</v>
      </c>
    </row>
    <row r="8" spans="1:11" ht="15" customHeight="1" x14ac:dyDescent="0.25">
      <c r="A8" s="25">
        <v>406</v>
      </c>
      <c r="B8" s="25" t="s">
        <v>276</v>
      </c>
      <c r="C8" s="26" t="s">
        <v>39</v>
      </c>
      <c r="D8" s="25" t="s">
        <v>29</v>
      </c>
      <c r="E8" s="27">
        <v>111</v>
      </c>
      <c r="F8" s="27">
        <v>2553</v>
      </c>
      <c r="G8" s="27">
        <v>2274</v>
      </c>
      <c r="H8" s="28">
        <f t="shared" si="0"/>
        <v>390</v>
      </c>
      <c r="I8" s="27">
        <v>90</v>
      </c>
      <c r="J8" s="142">
        <f>IFERROR(IF(AVERAGEIF(TableBOM[Item ID],A8,TableBOM[Per 1000 Units])=0,"-",ROUND((H8+I8)/(AVERAGEIF(TableBOM[Item ID],A8,TableBOM[Per 1000 Units])/1000),0)),"-")</f>
        <v>60000</v>
      </c>
    </row>
    <row r="9" spans="1:11" ht="15" customHeight="1" x14ac:dyDescent="0.25">
      <c r="A9" s="25">
        <v>3935</v>
      </c>
      <c r="B9" s="25" t="s">
        <v>276</v>
      </c>
      <c r="C9" s="26" t="s">
        <v>41</v>
      </c>
      <c r="D9" s="25" t="s">
        <v>29</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42</v>
      </c>
      <c r="D10" s="25" t="s">
        <v>29</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v>
      </c>
      <c r="I12" s="58"/>
      <c r="J12" s="54">
        <f ca="1">TODAY()</f>
        <v>46265</v>
      </c>
    </row>
    <row r="13" spans="1:11" ht="36" customHeight="1" x14ac:dyDescent="0.25">
      <c r="A13" s="12" t="s">
        <v>18</v>
      </c>
      <c r="B13" s="12" t="s">
        <v>19</v>
      </c>
      <c r="C13" s="12" t="s">
        <v>308</v>
      </c>
      <c r="D13" s="12" t="s">
        <v>21</v>
      </c>
      <c r="E13" s="12" t="s">
        <v>309</v>
      </c>
      <c r="F13" s="12" t="s">
        <v>310</v>
      </c>
      <c r="G13" s="12" t="s">
        <v>311</v>
      </c>
      <c r="H13" s="12" t="s">
        <v>312</v>
      </c>
      <c r="I13" s="12" t="s">
        <v>317</v>
      </c>
      <c r="J13" s="144" t="s">
        <v>318</v>
      </c>
    </row>
    <row r="14" spans="1:11" ht="15" hidden="1" customHeight="1" x14ac:dyDescent="0.25">
      <c r="A14" s="256">
        <v>184</v>
      </c>
      <c r="B14" s="256" t="s">
        <v>273</v>
      </c>
      <c r="C14" s="257" t="s">
        <v>319</v>
      </c>
      <c r="D14" s="256" t="s">
        <v>29</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320</v>
      </c>
    </row>
    <row r="15" spans="1:11" ht="15" customHeight="1" x14ac:dyDescent="0.25">
      <c r="A15" s="127">
        <v>185</v>
      </c>
      <c r="B15" s="127" t="s">
        <v>273</v>
      </c>
      <c r="C15" s="128" t="s">
        <v>45</v>
      </c>
      <c r="D15" s="127" t="s">
        <v>46</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321</v>
      </c>
      <c r="D16" s="127" t="s">
        <v>29</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273</v>
      </c>
      <c r="C17" s="257" t="s">
        <v>322</v>
      </c>
      <c r="D17" s="256" t="s">
        <v>29</v>
      </c>
      <c r="E17" s="258">
        <v>0</v>
      </c>
      <c r="F17" s="258">
        <v>0</v>
      </c>
      <c r="G17" s="258">
        <v>0</v>
      </c>
      <c r="H17" s="259">
        <f t="shared" si="1"/>
        <v>0</v>
      </c>
      <c r="I17" s="258"/>
      <c r="J17" s="260" t="str">
        <f>IFERROR(IF(AVERAGEIF(TableBOM[Item ID],A17,TableBOM[Per 1000 Units])=0,"-",ROUND((H17+I17)/(AVERAGEIF(TableBOM[Item ID],A17,TableBOM[Per 1000 Units])/1000),0)),"-")</f>
        <v>-</v>
      </c>
      <c r="K17" s="261" t="s">
        <v>320</v>
      </c>
    </row>
    <row r="18" spans="1:16" ht="15" customHeight="1" x14ac:dyDescent="0.25">
      <c r="A18" s="127">
        <v>4155</v>
      </c>
      <c r="B18" s="127" t="s">
        <v>273</v>
      </c>
      <c r="C18" s="128" t="s">
        <v>323</v>
      </c>
      <c r="D18" s="127" t="s">
        <v>29</v>
      </c>
      <c r="E18" s="129">
        <v>100</v>
      </c>
      <c r="F18" s="129">
        <v>100</v>
      </c>
      <c r="G18" s="129">
        <v>150</v>
      </c>
      <c r="H18" s="130">
        <f t="shared" si="1"/>
        <v>50</v>
      </c>
      <c r="I18" s="129"/>
      <c r="J18" s="146">
        <f>IFERROR(IF(AVERAGEIF(TableBOM[Item ID],A18,TableBOM[Per 1000 Units])=0,"-",ROUND((H18+I18)/(AVERAGEIF(TableBOM[Item ID],A18,TableBOM[Per 1000 Units])/1000),0)),"-")</f>
        <v>192152</v>
      </c>
    </row>
    <row r="19" spans="1:16" ht="15" hidden="1" customHeight="1" x14ac:dyDescent="0.25">
      <c r="A19" s="256">
        <v>170</v>
      </c>
      <c r="B19" s="256" t="s">
        <v>269</v>
      </c>
      <c r="C19" s="257" t="s">
        <v>51</v>
      </c>
      <c r="D19" s="256" t="s">
        <v>29</v>
      </c>
      <c r="E19" s="258">
        <v>0</v>
      </c>
      <c r="F19" s="258">
        <v>0</v>
      </c>
      <c r="G19" s="258">
        <v>0</v>
      </c>
      <c r="H19" s="259">
        <f t="shared" si="1"/>
        <v>0</v>
      </c>
      <c r="I19" s="258"/>
      <c r="J19" s="260" t="str">
        <f>IFERROR(IF(AVERAGEIF(TableBOM[Item ID],A19,TableBOM[Per 1000 Units])=0,"-",ROUND((H19+I19)/(AVERAGEIF(TableBOM[Item ID],A19,TableBOM[Per 1000 Units])/1000),0)),"-")</f>
        <v>-</v>
      </c>
      <c r="K19" s="261" t="s">
        <v>320</v>
      </c>
    </row>
    <row r="20" spans="1:16" ht="15" customHeight="1" x14ac:dyDescent="0.25">
      <c r="A20" s="127">
        <v>175</v>
      </c>
      <c r="B20" s="127" t="s">
        <v>269</v>
      </c>
      <c r="C20" s="128" t="s">
        <v>52</v>
      </c>
      <c r="D20" s="127" t="s">
        <v>29</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53</v>
      </c>
      <c r="D21" s="127" t="s">
        <v>29</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54</v>
      </c>
      <c r="D22" s="127" t="s">
        <v>29</v>
      </c>
      <c r="E22" s="129">
        <v>150</v>
      </c>
      <c r="F22" s="129">
        <v>210</v>
      </c>
      <c r="G22" s="129">
        <v>270</v>
      </c>
      <c r="H22" s="130">
        <f t="shared" si="1"/>
        <v>90</v>
      </c>
      <c r="I22" s="129"/>
      <c r="J22" s="146">
        <f>IFERROR(IF(AVERAGEIF(TableBOM[Item ID],A22,TableBOM[Per 1000 Units])=0,"-",ROUND((H22+I22)/(AVERAGEIF(TableBOM[Item ID],A22,TableBOM[Per 1000 Units])/1000),0)),"-")</f>
        <v>165864</v>
      </c>
    </row>
    <row r="23" spans="1:16" ht="15" customHeight="1" x14ac:dyDescent="0.25">
      <c r="A23" s="127">
        <v>3869</v>
      </c>
      <c r="B23" s="127" t="s">
        <v>269</v>
      </c>
      <c r="C23" s="128" t="s">
        <v>55</v>
      </c>
      <c r="D23" s="127" t="s">
        <v>29</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269</v>
      </c>
      <c r="C24" s="257" t="s">
        <v>56</v>
      </c>
      <c r="D24" s="256" t="s">
        <v>29</v>
      </c>
      <c r="E24" s="258">
        <v>0</v>
      </c>
      <c r="F24" s="258">
        <v>0</v>
      </c>
      <c r="G24" s="258">
        <v>0</v>
      </c>
      <c r="H24" s="259">
        <f t="shared" si="1"/>
        <v>0</v>
      </c>
      <c r="I24" s="258"/>
      <c r="J24" s="260">
        <f>IFERROR(IF(AVERAGEIF(TableBOM[Item ID],A24,TableBOM[Per 1000 Units])=0,"-",ROUND((H24+I24)/(AVERAGEIF(TableBOM[Item ID],A24,TableBOM[Per 1000 Units])/1000),0)),"-")</f>
        <v>0</v>
      </c>
      <c r="K24" s="261" t="s">
        <v>320</v>
      </c>
    </row>
    <row r="25" spans="1:16" ht="15" customHeight="1" x14ac:dyDescent="0.25">
      <c r="A25" s="127">
        <v>4157</v>
      </c>
      <c r="B25" s="127" t="s">
        <v>269</v>
      </c>
      <c r="C25" s="128" t="s">
        <v>57</v>
      </c>
      <c r="D25" s="127" t="s">
        <v>29</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58</v>
      </c>
      <c r="D26" s="127" t="s">
        <v>29</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59</v>
      </c>
      <c r="D27" s="127" t="s">
        <v>46</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269</v>
      </c>
      <c r="C28" s="128" t="s">
        <v>60</v>
      </c>
      <c r="D28" s="127" t="s">
        <v>29</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269</v>
      </c>
      <c r="C29" s="128" t="s">
        <v>61</v>
      </c>
      <c r="D29" s="127" t="s">
        <v>29</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280</v>
      </c>
      <c r="C30" s="128" t="s">
        <v>63</v>
      </c>
      <c r="D30" s="127" t="s">
        <v>29</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300</v>
      </c>
      <c r="C31" s="128" t="s">
        <v>99</v>
      </c>
      <c r="D31" s="127" t="s">
        <v>29</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324</v>
      </c>
      <c r="C32" s="257" t="s">
        <v>65</v>
      </c>
      <c r="D32" s="256" t="s">
        <v>66</v>
      </c>
      <c r="E32" s="258">
        <v>0</v>
      </c>
      <c r="F32" s="258">
        <v>0</v>
      </c>
      <c r="G32" s="258">
        <v>0</v>
      </c>
      <c r="H32" s="259">
        <f t="shared" si="1"/>
        <v>0</v>
      </c>
      <c r="I32" s="258"/>
      <c r="J32" s="260">
        <f>IFERROR(IF(AVERAGEIF(TableBOM[Item ID],A32,TableBOM[Per 1000 Units])=0,"-",ROUND((H32+I32)/(AVERAGEIF(TableBOM[Item ID],A32,TableBOM[Per 1000 Units])/1000),0)),"-")</f>
        <v>0</v>
      </c>
      <c r="K32" s="262" t="s">
        <v>320</v>
      </c>
      <c r="L32" s="131"/>
      <c r="M32" s="131"/>
      <c r="N32" s="131"/>
      <c r="O32" s="131"/>
      <c r="P32" s="131"/>
    </row>
    <row r="33" spans="1:16" ht="15" customHeight="1" x14ac:dyDescent="0.25">
      <c r="A33" s="127">
        <v>99</v>
      </c>
      <c r="B33" s="127" t="s">
        <v>324</v>
      </c>
      <c r="C33" s="128" t="s">
        <v>67</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324</v>
      </c>
      <c r="C34" s="128" t="s">
        <v>68</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324</v>
      </c>
      <c r="C35" s="128" t="s">
        <v>69</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324</v>
      </c>
      <c r="C36" s="128" t="s">
        <v>70</v>
      </c>
      <c r="D36" s="127" t="s">
        <v>66</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324</v>
      </c>
      <c r="C37" s="128" t="s">
        <v>71</v>
      </c>
      <c r="D37" s="127" t="s">
        <v>66</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324</v>
      </c>
      <c r="C38" s="257" t="s">
        <v>72</v>
      </c>
      <c r="D38" s="256" t="s">
        <v>66</v>
      </c>
      <c r="E38" s="258">
        <v>0</v>
      </c>
      <c r="F38" s="258">
        <v>0</v>
      </c>
      <c r="G38" s="258">
        <v>0</v>
      </c>
      <c r="H38" s="259">
        <f t="shared" si="1"/>
        <v>0</v>
      </c>
      <c r="I38" s="258"/>
      <c r="J38" s="260" t="str">
        <f>IFERROR(IF(AVERAGEIF(TableBOM[Item ID],A38,TableBOM[Per 1000 Units])=0,"-",ROUND((H38+I38)/(AVERAGEIF(TableBOM[Item ID],A38,TableBOM[Per 1000 Units])/1000),0)),"-")</f>
        <v>-</v>
      </c>
      <c r="K38" s="263" t="s">
        <v>320</v>
      </c>
      <c r="L38" s="132"/>
      <c r="M38" s="132"/>
      <c r="N38" s="132"/>
      <c r="O38" s="132"/>
      <c r="P38" s="132"/>
    </row>
    <row r="39" spans="1:16" ht="15" customHeight="1" x14ac:dyDescent="0.25">
      <c r="A39" s="127">
        <v>3211</v>
      </c>
      <c r="B39" s="127" t="s">
        <v>324</v>
      </c>
      <c r="C39" s="128" t="s">
        <v>73</v>
      </c>
      <c r="D39" s="127" t="s">
        <v>66</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324</v>
      </c>
      <c r="C40" s="128" t="s">
        <v>74</v>
      </c>
      <c r="D40" s="127" t="s">
        <v>66</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324</v>
      </c>
      <c r="C41" s="257" t="s">
        <v>75</v>
      </c>
      <c r="D41" s="256" t="s">
        <v>66</v>
      </c>
      <c r="E41" s="258">
        <v>0</v>
      </c>
      <c r="F41" s="258">
        <v>0</v>
      </c>
      <c r="G41" s="258">
        <v>0</v>
      </c>
      <c r="H41" s="259">
        <f t="shared" si="1"/>
        <v>0</v>
      </c>
      <c r="I41" s="258"/>
      <c r="J41" s="260" t="str">
        <f>IFERROR(IF(AVERAGEIF(TableBOM[Item ID],A41,TableBOM[Per 1000 Units])=0,"-",ROUND((H41+I41)/(AVERAGEIF(TableBOM[Item ID],A41,TableBOM[Per 1000 Units])/1000),0)),"-")</f>
        <v>-</v>
      </c>
      <c r="K41" s="261" t="s">
        <v>320</v>
      </c>
    </row>
    <row r="42" spans="1:16" ht="15" customHeight="1" x14ac:dyDescent="0.25">
      <c r="A42" s="127">
        <v>4088</v>
      </c>
      <c r="B42" s="127" t="s">
        <v>324</v>
      </c>
      <c r="C42" s="128" t="s">
        <v>76</v>
      </c>
      <c r="D42" s="127" t="s">
        <v>66</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324</v>
      </c>
      <c r="C43" s="128" t="s">
        <v>77</v>
      </c>
      <c r="D43" s="127" t="s">
        <v>66</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324</v>
      </c>
      <c r="C44" s="257" t="s">
        <v>78</v>
      </c>
      <c r="D44" s="256" t="s">
        <v>66</v>
      </c>
      <c r="E44" s="258">
        <v>0</v>
      </c>
      <c r="F44" s="258">
        <v>0</v>
      </c>
      <c r="G44" s="258">
        <v>0</v>
      </c>
      <c r="H44" s="259">
        <f t="shared" si="1"/>
        <v>0</v>
      </c>
      <c r="I44" s="258"/>
      <c r="J44" s="260">
        <f>IFERROR(IF(AVERAGEIF(TableBOM[Item ID],A44,TableBOM[Per 1000 Units])=0,"-",ROUND((H44+I44)/(AVERAGEIF(TableBOM[Item ID],A44,TableBOM[Per 1000 Units])/1000),0)),"-")</f>
        <v>0</v>
      </c>
      <c r="K44" s="262" t="s">
        <v>320</v>
      </c>
      <c r="L44" s="131"/>
      <c r="M44" s="131"/>
      <c r="N44" s="131"/>
      <c r="O44" s="131"/>
      <c r="P44" s="131"/>
    </row>
    <row r="45" spans="1:16" ht="15" customHeight="1" x14ac:dyDescent="0.25">
      <c r="A45" s="127">
        <v>7370</v>
      </c>
      <c r="B45" s="127" t="s">
        <v>324</v>
      </c>
      <c r="C45" s="128" t="s">
        <v>79</v>
      </c>
      <c r="D45" s="127" t="s">
        <v>66</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324</v>
      </c>
      <c r="C46" s="128" t="s">
        <v>80</v>
      </c>
      <c r="D46" s="127" t="s">
        <v>66</v>
      </c>
      <c r="E46" s="129">
        <v>193000</v>
      </c>
      <c r="F46" s="129">
        <v>200000</v>
      </c>
      <c r="G46" s="129">
        <v>273000</v>
      </c>
      <c r="H46" s="130">
        <f t="shared" ref="H46:H77" si="2">E46+F46-G46</f>
        <v>120000</v>
      </c>
      <c r="I46" s="129"/>
      <c r="J46" s="146">
        <f>IFERROR(IF(AVERAGEIF(TableBOM[Item ID],A46,TableBOM[Per 1000 Units])=0,"-",ROUND((H46+I46)/(AVERAGEIF(TableBOM[Item ID],A46,TableBOM[Per 1000 Units])/1000),0)),"-")</f>
        <v>120000</v>
      </c>
      <c r="K46" s="149"/>
      <c r="L46" s="131"/>
      <c r="M46" s="131"/>
      <c r="N46" s="131"/>
      <c r="O46" s="131"/>
      <c r="P46" s="131"/>
    </row>
    <row r="47" spans="1:16" ht="15" customHeight="1" x14ac:dyDescent="0.25">
      <c r="A47" s="127">
        <v>102</v>
      </c>
      <c r="B47" s="127" t="s">
        <v>324</v>
      </c>
      <c r="C47" s="128" t="s">
        <v>81</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324</v>
      </c>
      <c r="C48" s="128" t="s">
        <v>82</v>
      </c>
      <c r="D48" s="127" t="s">
        <v>66</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324</v>
      </c>
      <c r="C49" s="128" t="s">
        <v>83</v>
      </c>
      <c r="D49" s="127" t="s">
        <v>66</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324</v>
      </c>
      <c r="C50" s="128" t="s">
        <v>84</v>
      </c>
      <c r="D50" s="127" t="s">
        <v>66</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324</v>
      </c>
      <c r="C51" s="257" t="s">
        <v>85</v>
      </c>
      <c r="D51" s="256" t="s">
        <v>66</v>
      </c>
      <c r="E51" s="258">
        <v>0</v>
      </c>
      <c r="F51" s="258">
        <v>0</v>
      </c>
      <c r="G51" s="258">
        <v>0</v>
      </c>
      <c r="H51" s="259">
        <f t="shared" si="2"/>
        <v>0</v>
      </c>
      <c r="I51" s="258"/>
      <c r="J51" s="260" t="str">
        <f>IFERROR(IF(AVERAGEIF(TableBOM[Item ID],A51,TableBOM[Per 1000 Units])=0,"-",ROUND((H51+I51)/(AVERAGEIF(TableBOM[Item ID],A51,TableBOM[Per 1000 Units])/1000),0)),"-")</f>
        <v>-</v>
      </c>
      <c r="K51" s="263" t="s">
        <v>320</v>
      </c>
      <c r="L51" s="132"/>
      <c r="M51" s="132"/>
      <c r="N51" s="132"/>
      <c r="O51" s="132"/>
      <c r="P51" s="132"/>
    </row>
    <row r="52" spans="1:16" ht="15" customHeight="1" x14ac:dyDescent="0.25">
      <c r="A52" s="137">
        <v>578</v>
      </c>
      <c r="B52" s="137" t="s">
        <v>324</v>
      </c>
      <c r="C52" s="138" t="s">
        <v>86</v>
      </c>
      <c r="D52" s="137" t="s">
        <v>66</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143</v>
      </c>
      <c r="C53" s="257" t="s">
        <v>90</v>
      </c>
      <c r="D53" s="256" t="s">
        <v>66</v>
      </c>
      <c r="E53" s="258">
        <v>0</v>
      </c>
      <c r="F53" s="258">
        <v>0</v>
      </c>
      <c r="G53" s="258">
        <v>0</v>
      </c>
      <c r="H53" s="259">
        <f t="shared" si="2"/>
        <v>0</v>
      </c>
      <c r="I53" s="258"/>
      <c r="J53" s="260">
        <f>IFERROR(IF(AVERAGEIF(TableBOM[Item ID],A53,TableBOM[Per 1000 Units])=0,"-",ROUND((H53+I53)/(AVERAGEIF(TableBOM[Item ID],A53,TableBOM[Per 1000 Units])/1000),0)),"-")</f>
        <v>0</v>
      </c>
      <c r="K53" s="262" t="s">
        <v>320</v>
      </c>
      <c r="L53" s="131"/>
      <c r="M53" s="131"/>
      <c r="N53" s="131"/>
      <c r="O53" s="131"/>
      <c r="P53" s="131"/>
    </row>
    <row r="54" spans="1:16" ht="15" hidden="1" customHeight="1" x14ac:dyDescent="0.25">
      <c r="A54" s="256">
        <v>200</v>
      </c>
      <c r="B54" s="256" t="s">
        <v>143</v>
      </c>
      <c r="C54" s="257" t="s">
        <v>91</v>
      </c>
      <c r="D54" s="256" t="s">
        <v>66</v>
      </c>
      <c r="E54" s="258">
        <v>0</v>
      </c>
      <c r="F54" s="258">
        <v>0</v>
      </c>
      <c r="G54" s="258">
        <v>0</v>
      </c>
      <c r="H54" s="259">
        <f t="shared" si="2"/>
        <v>0</v>
      </c>
      <c r="I54" s="258"/>
      <c r="J54" s="260">
        <f>IFERROR(IF(AVERAGEIF(TableBOM[Item ID],A54,TableBOM[Per 1000 Units])=0,"-",ROUND((H54+I54)/(AVERAGEIF(TableBOM[Item ID],A54,TableBOM[Per 1000 Units])/1000),0)),"-")</f>
        <v>0</v>
      </c>
      <c r="K54" s="262" t="s">
        <v>320</v>
      </c>
      <c r="L54" s="131"/>
      <c r="M54" s="131"/>
      <c r="N54" s="131"/>
      <c r="O54" s="131"/>
      <c r="P54" s="131"/>
    </row>
    <row r="55" spans="1:16" ht="15" hidden="1" customHeight="1" x14ac:dyDescent="0.25">
      <c r="A55" s="256">
        <v>39</v>
      </c>
      <c r="B55" s="256" t="s">
        <v>143</v>
      </c>
      <c r="C55" s="257" t="s">
        <v>92</v>
      </c>
      <c r="D55" s="256" t="s">
        <v>66</v>
      </c>
      <c r="E55" s="258">
        <v>0</v>
      </c>
      <c r="F55" s="258">
        <v>0</v>
      </c>
      <c r="G55" s="258">
        <v>0</v>
      </c>
      <c r="H55" s="259">
        <f t="shared" si="2"/>
        <v>0</v>
      </c>
      <c r="I55" s="258"/>
      <c r="J55" s="260">
        <f>IFERROR(IF(AVERAGEIF(TableBOM[Item ID],A55,TableBOM[Per 1000 Units])=0,"-",ROUND((H55+I55)/(AVERAGEIF(TableBOM[Item ID],A55,TableBOM[Per 1000 Units])/1000),0)),"-")</f>
        <v>0</v>
      </c>
      <c r="K55" s="263" t="s">
        <v>320</v>
      </c>
      <c r="L55" s="132"/>
      <c r="M55" s="132"/>
      <c r="N55" s="132"/>
      <c r="O55" s="132"/>
      <c r="P55" s="132"/>
    </row>
    <row r="56" spans="1:16" ht="15" customHeight="1" x14ac:dyDescent="0.25">
      <c r="A56" s="127">
        <v>3619</v>
      </c>
      <c r="B56" s="127" t="s">
        <v>143</v>
      </c>
      <c r="C56" s="128" t="s">
        <v>93</v>
      </c>
      <c r="D56" s="127" t="s">
        <v>66</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143</v>
      </c>
      <c r="C57" s="128" t="s">
        <v>94</v>
      </c>
      <c r="D57" s="127" t="s">
        <v>66</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143</v>
      </c>
      <c r="C58" s="128" t="s">
        <v>95</v>
      </c>
      <c r="D58" s="127" t="s">
        <v>66</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143</v>
      </c>
      <c r="C59" s="128" t="s">
        <v>96</v>
      </c>
      <c r="D59" s="127" t="s">
        <v>66</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143</v>
      </c>
      <c r="C60" s="128" t="s">
        <v>97</v>
      </c>
      <c r="D60" s="127" t="s">
        <v>66</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279</v>
      </c>
      <c r="C61" s="128" t="s">
        <v>102</v>
      </c>
      <c r="D61" s="127" t="s">
        <v>66</v>
      </c>
      <c r="E61" s="129">
        <v>463</v>
      </c>
      <c r="F61" s="129">
        <v>0</v>
      </c>
      <c r="G61" s="129">
        <v>82</v>
      </c>
      <c r="H61" s="130">
        <f t="shared" si="2"/>
        <v>381</v>
      </c>
      <c r="I61" s="129"/>
      <c r="J61" s="146">
        <f>IFERROR(IF(AVERAGEIF(TableBOM[Item ID],A61,TableBOM[Per 1000 Units])=0,"-",ROUND((H61+I61)/(AVERAGEIF(TableBOM[Item ID],A61,TableBOM[Per 1000 Units])/1000),0)),"-")</f>
        <v>1091552</v>
      </c>
      <c r="K61" s="150"/>
      <c r="L61" s="132"/>
      <c r="M61" s="132"/>
      <c r="N61" s="132"/>
      <c r="O61" s="132"/>
      <c r="P61" s="132"/>
    </row>
    <row r="62" spans="1:16" ht="15" customHeight="1" x14ac:dyDescent="0.25">
      <c r="A62" s="127">
        <v>190</v>
      </c>
      <c r="B62" s="127" t="s">
        <v>274</v>
      </c>
      <c r="C62" s="128" t="s">
        <v>104</v>
      </c>
      <c r="D62" s="127" t="s">
        <v>46</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274</v>
      </c>
      <c r="C63" s="128" t="s">
        <v>325</v>
      </c>
      <c r="D63" s="127" t="s">
        <v>46</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284</v>
      </c>
      <c r="C64" s="128" t="s">
        <v>326</v>
      </c>
      <c r="D64" s="127" t="s">
        <v>29</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284</v>
      </c>
      <c r="C65" s="128" t="s">
        <v>327</v>
      </c>
      <c r="D65" s="127" t="s">
        <v>29</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284</v>
      </c>
      <c r="C66" s="128" t="s">
        <v>328</v>
      </c>
      <c r="D66" s="127" t="s">
        <v>29</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284</v>
      </c>
      <c r="C67" s="257" t="s">
        <v>329</v>
      </c>
      <c r="D67" s="256" t="s">
        <v>29</v>
      </c>
      <c r="E67" s="258">
        <v>0</v>
      </c>
      <c r="F67" s="258">
        <v>0</v>
      </c>
      <c r="G67" s="258">
        <v>0</v>
      </c>
      <c r="H67" s="259">
        <f t="shared" si="2"/>
        <v>0</v>
      </c>
      <c r="I67" s="258"/>
      <c r="J67" s="260" t="str">
        <f>IFERROR(IF(AVERAGEIF(TableBOM[Item ID],A67,TableBOM[Per 1000 Units])=0,"-",ROUND((H67+I67)/(AVERAGEIF(TableBOM[Item ID],A67,TableBOM[Per 1000 Units])/1000),0)),"-")</f>
        <v>-</v>
      </c>
      <c r="K67" s="263" t="s">
        <v>320</v>
      </c>
      <c r="L67" s="132"/>
      <c r="M67" s="132"/>
      <c r="N67" s="132"/>
      <c r="O67" s="132"/>
      <c r="P67" s="132"/>
    </row>
    <row r="68" spans="1:16" ht="15" customHeight="1" x14ac:dyDescent="0.25">
      <c r="A68" s="127">
        <v>127</v>
      </c>
      <c r="B68" s="127" t="s">
        <v>284</v>
      </c>
      <c r="C68" s="128" t="s">
        <v>330</v>
      </c>
      <c r="D68" s="127" t="s">
        <v>29</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284</v>
      </c>
      <c r="C69" s="128" t="s">
        <v>331</v>
      </c>
      <c r="D69" s="127" t="s">
        <v>29</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284</v>
      </c>
      <c r="C70" s="128" t="s">
        <v>332</v>
      </c>
      <c r="D70" s="127" t="s">
        <v>29</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284</v>
      </c>
      <c r="C71" s="234" t="s">
        <v>333</v>
      </c>
      <c r="D71" s="233" t="s">
        <v>29</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284</v>
      </c>
      <c r="C72" s="257" t="s">
        <v>334</v>
      </c>
      <c r="D72" s="256" t="s">
        <v>29</v>
      </c>
      <c r="E72" s="258">
        <v>0</v>
      </c>
      <c r="F72" s="258">
        <v>0</v>
      </c>
      <c r="G72" s="258">
        <v>0</v>
      </c>
      <c r="H72" s="259">
        <f t="shared" si="2"/>
        <v>0</v>
      </c>
      <c r="I72" s="258"/>
      <c r="J72" s="260" t="str">
        <f>IFERROR(IF(AVERAGEIF(TableBOM[Item ID],A72,TableBOM[Per 1000 Units])=0,"-",ROUND((H72+I72)/(AVERAGEIF(TableBOM[Item ID],A72,TableBOM[Per 1000 Units])/1000),0)),"-")</f>
        <v>-</v>
      </c>
      <c r="K72" s="262" t="s">
        <v>320</v>
      </c>
      <c r="L72" s="131"/>
      <c r="M72" s="131"/>
      <c r="N72" s="131"/>
      <c r="O72" s="131"/>
      <c r="P72" s="131"/>
    </row>
    <row r="73" spans="1:16" ht="15" customHeight="1" x14ac:dyDescent="0.25">
      <c r="A73" s="256">
        <v>3642</v>
      </c>
      <c r="B73" s="256" t="s">
        <v>284</v>
      </c>
      <c r="C73" s="257" t="s">
        <v>335</v>
      </c>
      <c r="D73" s="256" t="s">
        <v>29</v>
      </c>
      <c r="E73" s="258">
        <v>0</v>
      </c>
      <c r="F73" s="258">
        <v>0</v>
      </c>
      <c r="G73" s="258">
        <v>0</v>
      </c>
      <c r="H73" s="259">
        <f t="shared" si="2"/>
        <v>0</v>
      </c>
      <c r="I73" s="258"/>
      <c r="J73" s="260" t="str">
        <f>IFERROR(IF(AVERAGEIF(TableBOM[Item ID],A73,TableBOM[Per 1000 Units])=0,"-",ROUND((H73+I73)/(AVERAGEIF(TableBOM[Item ID],A73,TableBOM[Per 1000 Units])/1000),0)),"-")</f>
        <v>-</v>
      </c>
      <c r="K73" s="263" t="s">
        <v>320</v>
      </c>
      <c r="L73" s="132"/>
      <c r="M73" s="132"/>
      <c r="N73" s="132"/>
      <c r="O73" s="132"/>
      <c r="P73" s="132"/>
    </row>
    <row r="74" spans="1:16" ht="15" customHeight="1" x14ac:dyDescent="0.25">
      <c r="A74" s="127">
        <v>3734</v>
      </c>
      <c r="B74" s="127" t="s">
        <v>284</v>
      </c>
      <c r="C74" s="128" t="s">
        <v>336</v>
      </c>
      <c r="D74" s="127" t="s">
        <v>29</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284</v>
      </c>
      <c r="C75" s="128" t="s">
        <v>337</v>
      </c>
      <c r="D75" s="127" t="s">
        <v>29</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284</v>
      </c>
      <c r="C76" s="128" t="s">
        <v>283</v>
      </c>
      <c r="D76" s="127" t="s">
        <v>29</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284</v>
      </c>
      <c r="C77" s="257" t="s">
        <v>338</v>
      </c>
      <c r="D77" s="256" t="s">
        <v>29</v>
      </c>
      <c r="E77" s="258">
        <v>0</v>
      </c>
      <c r="F77" s="258">
        <v>0</v>
      </c>
      <c r="G77" s="258">
        <v>0</v>
      </c>
      <c r="H77" s="259">
        <f t="shared" si="2"/>
        <v>0</v>
      </c>
      <c r="I77" s="258"/>
      <c r="J77" s="260" t="str">
        <f>IFERROR(IF(AVERAGEIF(TableBOM[Item ID],A77,TableBOM[Per 1000 Units])=0,"-",ROUND((H77+I77)/(AVERAGEIF(TableBOM[Item ID],A77,TableBOM[Per 1000 Units])/1000),0)),"-")</f>
        <v>-</v>
      </c>
      <c r="K77" s="262" t="s">
        <v>320</v>
      </c>
      <c r="L77" s="131"/>
      <c r="M77" s="131"/>
      <c r="N77" s="131"/>
      <c r="O77" s="131"/>
      <c r="P77" s="131"/>
    </row>
    <row r="78" spans="1:16" ht="15" customHeight="1" x14ac:dyDescent="0.25">
      <c r="A78" s="127">
        <v>3800</v>
      </c>
      <c r="B78" s="127" t="s">
        <v>284</v>
      </c>
      <c r="C78" s="128" t="s">
        <v>339</v>
      </c>
      <c r="D78" s="127" t="s">
        <v>29</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284</v>
      </c>
      <c r="C79" s="138" t="s">
        <v>286</v>
      </c>
      <c r="D79" s="137" t="s">
        <v>29</v>
      </c>
      <c r="E79" s="139">
        <v>0</v>
      </c>
      <c r="F79" s="139">
        <v>2</v>
      </c>
      <c r="G79" s="139">
        <v>2</v>
      </c>
      <c r="H79" s="140">
        <f t="shared" si="3"/>
        <v>0</v>
      </c>
      <c r="I79" s="139"/>
      <c r="J79" s="145">
        <f>IFERROR(IF(AVERAGEIF(TableBOM[Item ID],A79,TableBOM[Per 1000 Units])=0,"-",ROUND((H79+I79)/(AVERAGEIF(TableBOM[Item ID],A79,TableBOM[Per 1000 Units])/1000),0)),"-")</f>
        <v>0</v>
      </c>
    </row>
    <row r="80" spans="1:16" ht="15" customHeight="1" x14ac:dyDescent="0.25">
      <c r="A80" s="137">
        <v>3858</v>
      </c>
      <c r="B80" s="137" t="s">
        <v>284</v>
      </c>
      <c r="C80" s="138" t="s">
        <v>340</v>
      </c>
      <c r="D80" s="137" t="s">
        <v>29</v>
      </c>
      <c r="E80" s="139">
        <v>0</v>
      </c>
      <c r="F80" s="139">
        <v>6</v>
      </c>
      <c r="G80" s="139">
        <v>6</v>
      </c>
      <c r="H80" s="140">
        <f t="shared" si="3"/>
        <v>0</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29</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341</v>
      </c>
      <c r="D82" s="127" t="s">
        <v>29</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342</v>
      </c>
      <c r="D83" s="127" t="s">
        <v>29</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343</v>
      </c>
      <c r="D84" s="127" t="s">
        <v>29</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344</v>
      </c>
      <c r="D85" s="127" t="s">
        <v>29</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284</v>
      </c>
      <c r="C86" s="257" t="s">
        <v>345</v>
      </c>
      <c r="D86" s="256" t="s">
        <v>29</v>
      </c>
      <c r="E86" s="258">
        <v>0</v>
      </c>
      <c r="F86" s="258">
        <v>0</v>
      </c>
      <c r="G86" s="258">
        <v>0</v>
      </c>
      <c r="H86" s="259">
        <f t="shared" si="3"/>
        <v>0</v>
      </c>
      <c r="I86" s="258"/>
      <c r="J86" s="260" t="str">
        <f>IFERROR(IF(AVERAGEIF(TableBOM[Item ID],A86,TableBOM[Per 1000 Units])=0,"-",ROUND((H86+I86)/(AVERAGEIF(TableBOM[Item ID],A86,TableBOM[Per 1000 Units])/1000),0)),"-")</f>
        <v>-</v>
      </c>
      <c r="K86" s="261" t="s">
        <v>320</v>
      </c>
    </row>
    <row r="87" spans="1:11" ht="15" customHeight="1" x14ac:dyDescent="0.25">
      <c r="A87" s="127">
        <v>6040</v>
      </c>
      <c r="B87" s="127" t="s">
        <v>284</v>
      </c>
      <c r="C87" s="128" t="s">
        <v>346</v>
      </c>
      <c r="D87" s="127" t="s">
        <v>29</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284</v>
      </c>
      <c r="C88" s="257" t="s">
        <v>287</v>
      </c>
      <c r="D88" s="256" t="s">
        <v>29</v>
      </c>
      <c r="E88" s="258">
        <v>0</v>
      </c>
      <c r="F88" s="258">
        <v>0</v>
      </c>
      <c r="G88" s="258">
        <v>0</v>
      </c>
      <c r="H88" s="259">
        <f t="shared" si="3"/>
        <v>0</v>
      </c>
      <c r="I88" s="258"/>
      <c r="J88" s="260">
        <f>IFERROR(IF(AVERAGEIF(TableBOM[Item ID],A88,TableBOM[Per 1000 Units])=0,"-",ROUND((H88+I88)/(AVERAGEIF(TableBOM[Item ID],A88,TableBOM[Per 1000 Units])/1000),0)),"-")</f>
        <v>0</v>
      </c>
      <c r="K88" s="261" t="s">
        <v>320</v>
      </c>
    </row>
    <row r="89" spans="1:11" ht="15" customHeight="1" x14ac:dyDescent="0.25">
      <c r="A89" s="256">
        <v>7094</v>
      </c>
      <c r="B89" s="256" t="s">
        <v>284</v>
      </c>
      <c r="C89" s="257" t="s">
        <v>347</v>
      </c>
      <c r="D89" s="256" t="s">
        <v>29</v>
      </c>
      <c r="E89" s="258">
        <v>0</v>
      </c>
      <c r="F89" s="258">
        <v>0</v>
      </c>
      <c r="G89" s="258">
        <v>0</v>
      </c>
      <c r="H89" s="259">
        <f t="shared" si="3"/>
        <v>0</v>
      </c>
      <c r="I89" s="258"/>
      <c r="J89" s="260" t="str">
        <f>IFERROR(IF(AVERAGEIF(TableBOM[Item ID],A89,TableBOM[Per 1000 Units])=0,"-",ROUND((H89+I89)/(AVERAGEIF(TableBOM[Item ID],A89,TableBOM[Per 1000 Units])/1000),0)),"-")</f>
        <v>-</v>
      </c>
      <c r="K89" s="261" t="s">
        <v>320</v>
      </c>
    </row>
    <row r="90" spans="1:11" ht="15" customHeight="1" x14ac:dyDescent="0.25">
      <c r="A90" s="256">
        <v>7095</v>
      </c>
      <c r="B90" s="256" t="s">
        <v>284</v>
      </c>
      <c r="C90" s="257" t="s">
        <v>348</v>
      </c>
      <c r="D90" s="256" t="s">
        <v>29</v>
      </c>
      <c r="E90" s="258">
        <v>0</v>
      </c>
      <c r="F90" s="258">
        <v>0</v>
      </c>
      <c r="G90" s="258">
        <v>0</v>
      </c>
      <c r="H90" s="259">
        <f t="shared" si="3"/>
        <v>0</v>
      </c>
      <c r="I90" s="258"/>
      <c r="J90" s="260" t="str">
        <f>IFERROR(IF(AVERAGEIF(TableBOM[Item ID],A90,TableBOM[Per 1000 Units])=0,"-",ROUND((H90+I90)/(AVERAGEIF(TableBOM[Item ID],A90,TableBOM[Per 1000 Units])/1000),0)),"-")</f>
        <v>-</v>
      </c>
      <c r="K90" s="261" t="s">
        <v>320</v>
      </c>
    </row>
    <row r="91" spans="1:11" ht="15" customHeight="1" x14ac:dyDescent="0.25">
      <c r="A91" s="267">
        <v>7152</v>
      </c>
      <c r="B91" s="267" t="s">
        <v>284</v>
      </c>
      <c r="C91" s="268" t="s">
        <v>349</v>
      </c>
      <c r="D91" s="267" t="s">
        <v>29</v>
      </c>
      <c r="E91" s="269">
        <v>0</v>
      </c>
      <c r="F91" s="269">
        <v>2</v>
      </c>
      <c r="G91" s="269">
        <v>0</v>
      </c>
      <c r="H91" s="270">
        <f t="shared" si="3"/>
        <v>2</v>
      </c>
      <c r="I91" s="269"/>
      <c r="J91" s="271" t="str">
        <f>IFERROR(IF(AVERAGEIF(TableBOM[Item ID],A91,TableBOM[Per 1000 Units])=0,"-",ROUND((H91+I91)/(AVERAGEIF(TableBOM[Item ID],A91,TableBOM[Per 1000 Units])/1000),0)),"-")</f>
        <v>-</v>
      </c>
      <c r="K91" s="264"/>
    </row>
    <row r="92" spans="1:11" ht="15" customHeight="1" x14ac:dyDescent="0.25">
      <c r="A92" s="25">
        <v>7398</v>
      </c>
      <c r="B92" s="25" t="s">
        <v>284</v>
      </c>
      <c r="C92" s="26" t="s">
        <v>350</v>
      </c>
      <c r="D92" s="25" t="s">
        <v>29</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351</v>
      </c>
      <c r="B94" s="58"/>
      <c r="C94" s="58"/>
      <c r="D94" s="58"/>
      <c r="E94" s="58"/>
      <c r="F94" s="58"/>
      <c r="G94" s="58"/>
      <c r="H94" s="58"/>
      <c r="I94" s="58"/>
      <c r="J94" s="266">
        <f ca="1">TODAY()</f>
        <v>46265</v>
      </c>
    </row>
    <row r="95" spans="1:11" ht="36" customHeight="1" x14ac:dyDescent="0.25">
      <c r="A95" s="12" t="s">
        <v>18</v>
      </c>
      <c r="B95" s="12" t="s">
        <v>19</v>
      </c>
      <c r="C95" s="12" t="s">
        <v>308</v>
      </c>
      <c r="D95" s="12" t="s">
        <v>21</v>
      </c>
      <c r="E95" s="12" t="s">
        <v>309</v>
      </c>
      <c r="F95" s="12" t="s">
        <v>310</v>
      </c>
      <c r="G95" s="12" t="s">
        <v>311</v>
      </c>
      <c r="H95" s="12" t="s">
        <v>312</v>
      </c>
      <c r="I95" s="12" t="s">
        <v>317</v>
      </c>
      <c r="J95" s="144" t="s">
        <v>318</v>
      </c>
    </row>
    <row r="96" spans="1:11" ht="15" customHeight="1" x14ac:dyDescent="0.25">
      <c r="A96" s="25">
        <v>2680</v>
      </c>
      <c r="B96" s="25" t="s">
        <v>290</v>
      </c>
      <c r="C96" s="26" t="s">
        <v>107</v>
      </c>
      <c r="D96" s="25" t="s">
        <v>29</v>
      </c>
      <c r="E96" s="27">
        <v>1550</v>
      </c>
      <c r="F96" s="27">
        <v>4800</v>
      </c>
      <c r="G96" s="27">
        <v>4575</v>
      </c>
      <c r="H96" s="28">
        <f t="shared" ref="H96:H111" si="4">E96+F96-G96</f>
        <v>1775</v>
      </c>
      <c r="I96" s="27">
        <v>0</v>
      </c>
      <c r="J96" s="142">
        <f>IFERROR(IF(AVERAGEIF(TableBOM[Item ID],A96,TableBOM[Per 1000 Units])=0,"-",ROUND((H96+I96)/(AVERAGEIF(TableBOM[Item ID],A96,TableBOM[Per 1000 Units])/1000),0)),"-")</f>
        <v>76459</v>
      </c>
    </row>
    <row r="97" spans="1:11" ht="15" customHeight="1" x14ac:dyDescent="0.25">
      <c r="A97" s="25">
        <v>3492</v>
      </c>
      <c r="B97" s="25" t="s">
        <v>306</v>
      </c>
      <c r="C97" s="26" t="s">
        <v>109</v>
      </c>
      <c r="D97" s="25" t="s">
        <v>29</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110</v>
      </c>
      <c r="D98" s="25" t="s">
        <v>29</v>
      </c>
      <c r="E98" s="27">
        <v>125</v>
      </c>
      <c r="F98" s="27">
        <v>0</v>
      </c>
      <c r="G98" s="27">
        <v>75</v>
      </c>
      <c r="H98" s="28">
        <f t="shared" si="4"/>
        <v>50</v>
      </c>
      <c r="I98" s="27">
        <v>0</v>
      </c>
      <c r="J98" s="142">
        <f>IFERROR(IF(AVERAGEIF(TableBOM[Item ID],A98,TableBOM[Per 1000 Units])=0,"-",ROUND((H98+I98)/(AVERAGEIF(TableBOM[Item ID],A98,TableBOM[Per 1000 Units])/1000),0)),"-")</f>
        <v>46512</v>
      </c>
    </row>
    <row r="99" spans="1:11" s="157" customFormat="1" ht="15" hidden="1" customHeight="1" x14ac:dyDescent="0.25">
      <c r="A99" s="256">
        <v>4070</v>
      </c>
      <c r="B99" s="256" t="s">
        <v>306</v>
      </c>
      <c r="C99" s="257" t="s">
        <v>352</v>
      </c>
      <c r="D99" s="256" t="s">
        <v>29</v>
      </c>
      <c r="E99" s="258">
        <v>0</v>
      </c>
      <c r="F99" s="258">
        <v>0</v>
      </c>
      <c r="G99" s="258">
        <v>0</v>
      </c>
      <c r="H99" s="259">
        <f t="shared" si="4"/>
        <v>0</v>
      </c>
      <c r="I99" s="258">
        <v>0</v>
      </c>
      <c r="J99" s="260" t="str">
        <f>IFERROR(IF(AVERAGEIF(TableBOM[Item ID],A99,TableBOM[Per 1000 Units])=0,"-",ROUND((H99+I99)/(AVERAGEIF(TableBOM[Item ID],A99,TableBOM[Per 1000 Units])/1000),0)),"-")</f>
        <v>-</v>
      </c>
      <c r="K99" s="261" t="s">
        <v>320</v>
      </c>
    </row>
    <row r="100" spans="1:11" ht="15" customHeight="1" x14ac:dyDescent="0.25">
      <c r="A100" s="25">
        <v>4310</v>
      </c>
      <c r="B100" s="25" t="s">
        <v>306</v>
      </c>
      <c r="C100" s="26" t="s">
        <v>111</v>
      </c>
      <c r="D100" s="25" t="s">
        <v>29</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112</v>
      </c>
      <c r="D101" s="25" t="s">
        <v>29</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306</v>
      </c>
      <c r="C102" s="152" t="s">
        <v>113</v>
      </c>
      <c r="D102" s="151" t="s">
        <v>29</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306</v>
      </c>
      <c r="C103" s="26" t="s">
        <v>114</v>
      </c>
      <c r="D103" s="25" t="s">
        <v>29</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115</v>
      </c>
      <c r="D104" s="25" t="s">
        <v>29</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116</v>
      </c>
      <c r="D105" s="25" t="s">
        <v>29</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144</v>
      </c>
      <c r="C106" s="26" t="s">
        <v>122</v>
      </c>
      <c r="D106" s="25" t="s">
        <v>66</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144</v>
      </c>
      <c r="C107" s="26" t="s">
        <v>145</v>
      </c>
      <c r="D107" s="25" t="s">
        <v>66</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353</v>
      </c>
      <c r="C108" s="26" t="s">
        <v>118</v>
      </c>
      <c r="D108" s="25" t="s">
        <v>29</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353</v>
      </c>
      <c r="C109" s="26" t="s">
        <v>119</v>
      </c>
      <c r="D109" s="25" t="s">
        <v>29</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353</v>
      </c>
      <c r="C110" s="26" t="s">
        <v>120</v>
      </c>
      <c r="D110" s="25" t="s">
        <v>29</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293</v>
      </c>
      <c r="C111" s="257" t="s">
        <v>124</v>
      </c>
      <c r="D111" s="256" t="s">
        <v>125</v>
      </c>
      <c r="E111" s="258">
        <v>0</v>
      </c>
      <c r="F111" s="258">
        <v>0</v>
      </c>
      <c r="G111" s="258">
        <v>0</v>
      </c>
      <c r="H111" s="259">
        <f t="shared" si="4"/>
        <v>0</v>
      </c>
      <c r="I111" s="258"/>
      <c r="J111" s="260">
        <f>IFERROR(IF(AVERAGEIF(TableBOM[Item ID],A111,TableBOM[Per 1000 Units])=0,"-",ROUND((H111+I111)/(AVERAGEIF(TableBOM[Item ID],A111,TableBOM[Per 1000 Units])/1000),0)),"-")</f>
        <v>0</v>
      </c>
      <c r="K111" s="264" t="s">
        <v>320</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354</v>
      </c>
      <c r="B1" s="59"/>
      <c r="C1" s="59"/>
      <c r="D1" s="59"/>
      <c r="E1" s="59"/>
      <c r="F1" s="59"/>
      <c r="G1" s="59"/>
      <c r="H1" s="59"/>
      <c r="I1" s="59"/>
      <c r="J1" s="59"/>
      <c r="K1" s="59"/>
      <c r="L1" s="59"/>
      <c r="M1" s="59"/>
      <c r="N1" s="59"/>
      <c r="O1" s="59"/>
      <c r="P1" s="59"/>
      <c r="Q1" s="59"/>
      <c r="R1" s="59"/>
      <c r="S1" s="59"/>
    </row>
    <row r="2" spans="1:19" ht="15" customHeight="1" x14ac:dyDescent="0.25">
      <c r="A2" s="29" t="s">
        <v>5</v>
      </c>
      <c r="B2" s="29" t="s">
        <v>261</v>
      </c>
      <c r="C2" s="29" t="s">
        <v>3</v>
      </c>
      <c r="D2" s="29" t="s">
        <v>4</v>
      </c>
      <c r="E2" s="29" t="s">
        <v>355</v>
      </c>
      <c r="F2" s="29" t="s">
        <v>356</v>
      </c>
      <c r="G2" s="29" t="s">
        <v>280</v>
      </c>
      <c r="H2" s="29" t="s">
        <v>357</v>
      </c>
      <c r="I2" s="60" t="s">
        <v>358</v>
      </c>
      <c r="J2" s="60" t="s">
        <v>359</v>
      </c>
      <c r="K2" s="60" t="s">
        <v>360</v>
      </c>
      <c r="L2" s="60" t="s">
        <v>361</v>
      </c>
      <c r="M2" s="60" t="s">
        <v>362</v>
      </c>
      <c r="N2" s="60" t="s">
        <v>363</v>
      </c>
      <c r="O2" s="60" t="s">
        <v>364</v>
      </c>
      <c r="P2" s="60" t="s">
        <v>365</v>
      </c>
      <c r="Q2" s="60" t="s">
        <v>366</v>
      </c>
      <c r="R2" s="60" t="s">
        <v>366</v>
      </c>
      <c r="S2" s="60" t="s">
        <v>366</v>
      </c>
    </row>
    <row r="3" spans="1:19" ht="15" customHeight="1" x14ac:dyDescent="0.25">
      <c r="A3" s="44">
        <v>9004</v>
      </c>
      <c r="B3" s="44">
        <v>904</v>
      </c>
      <c r="C3" s="44" t="s">
        <v>181</v>
      </c>
      <c r="D3" s="45" t="s">
        <v>182</v>
      </c>
      <c r="E3" s="44">
        <v>12.5</v>
      </c>
      <c r="F3" s="44">
        <v>0</v>
      </c>
      <c r="G3" s="44" t="s">
        <v>367</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183</v>
      </c>
      <c r="D4" s="45" t="s">
        <v>184</v>
      </c>
      <c r="E4" s="44">
        <v>16</v>
      </c>
      <c r="F4" s="44">
        <v>100</v>
      </c>
      <c r="G4" s="44" t="s">
        <v>367</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183</v>
      </c>
      <c r="D5" s="45" t="s">
        <v>187</v>
      </c>
      <c r="E5" s="44">
        <v>19</v>
      </c>
      <c r="F5" s="44">
        <v>106</v>
      </c>
      <c r="G5" s="44" t="s">
        <v>367</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183</v>
      </c>
      <c r="D6" s="45" t="s">
        <v>277</v>
      </c>
      <c r="E6" s="44">
        <v>19</v>
      </c>
      <c r="F6" s="44">
        <v>106</v>
      </c>
      <c r="G6" s="44" t="s">
        <v>367</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183</v>
      </c>
      <c r="D7" s="45" t="s">
        <v>188</v>
      </c>
      <c r="E7" s="44">
        <v>19</v>
      </c>
      <c r="F7" s="44">
        <v>106</v>
      </c>
      <c r="G7" s="44" t="s">
        <v>367</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128</v>
      </c>
      <c r="D8" s="45" t="s">
        <v>186</v>
      </c>
      <c r="E8" s="44">
        <v>19</v>
      </c>
      <c r="F8" s="44">
        <v>120</v>
      </c>
      <c r="G8" s="44" t="s">
        <v>367</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128</v>
      </c>
      <c r="D9" s="45" t="s">
        <v>185</v>
      </c>
      <c r="E9" s="44">
        <v>19</v>
      </c>
      <c r="F9" s="44">
        <v>120</v>
      </c>
      <c r="G9" s="44" t="s">
        <v>367</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13</v>
      </c>
      <c r="D10" s="45" t="s">
        <v>190</v>
      </c>
      <c r="E10" s="44">
        <v>20.5</v>
      </c>
      <c r="F10" s="44">
        <v>120</v>
      </c>
      <c r="G10" s="44" t="s">
        <v>368</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128</v>
      </c>
      <c r="D11" s="45" t="s">
        <v>192</v>
      </c>
      <c r="E11" s="44">
        <v>20.5</v>
      </c>
      <c r="F11" s="44">
        <v>120</v>
      </c>
      <c r="G11" s="44" t="s">
        <v>367</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128</v>
      </c>
      <c r="D12" s="45" t="s">
        <v>189</v>
      </c>
      <c r="E12" s="44">
        <v>20.5</v>
      </c>
      <c r="F12" s="44">
        <v>120</v>
      </c>
      <c r="G12" s="44" t="s">
        <v>367</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128</v>
      </c>
      <c r="D13" s="45" t="s">
        <v>191</v>
      </c>
      <c r="E13" s="44">
        <v>20.5</v>
      </c>
      <c r="F13" s="44">
        <v>120</v>
      </c>
      <c r="G13" s="44" t="s">
        <v>367</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128</v>
      </c>
      <c r="D14" s="45" t="s">
        <v>193</v>
      </c>
      <c r="E14" s="44">
        <v>20.5</v>
      </c>
      <c r="F14" s="44">
        <v>120</v>
      </c>
      <c r="G14" s="44" t="s">
        <v>367</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128</v>
      </c>
      <c r="D15" s="45" t="s">
        <v>194</v>
      </c>
      <c r="E15" s="44">
        <v>20.5</v>
      </c>
      <c r="F15" s="44">
        <v>120</v>
      </c>
      <c r="G15" s="44" t="s">
        <v>367</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128</v>
      </c>
      <c r="D16" s="45" t="s">
        <v>195</v>
      </c>
      <c r="E16" s="44">
        <v>20.5</v>
      </c>
      <c r="F16" s="44">
        <v>120</v>
      </c>
      <c r="G16" s="44" t="s">
        <v>367</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13</v>
      </c>
      <c r="D17" s="45" t="s">
        <v>200</v>
      </c>
      <c r="E17" s="44">
        <v>25</v>
      </c>
      <c r="F17" s="44">
        <v>130</v>
      </c>
      <c r="G17" s="44" t="s">
        <v>368</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128</v>
      </c>
      <c r="D18" s="45" t="s">
        <v>196</v>
      </c>
      <c r="E18" s="44">
        <v>25</v>
      </c>
      <c r="F18" s="44">
        <v>150</v>
      </c>
      <c r="G18" s="44" t="s">
        <v>367</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128</v>
      </c>
      <c r="D19" s="45" t="s">
        <v>197</v>
      </c>
      <c r="E19" s="44">
        <v>25</v>
      </c>
      <c r="F19" s="44">
        <v>150</v>
      </c>
      <c r="G19" s="44" t="s">
        <v>367</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128</v>
      </c>
      <c r="D20" s="45" t="s">
        <v>198</v>
      </c>
      <c r="E20" s="44">
        <v>25</v>
      </c>
      <c r="F20" s="44">
        <v>150</v>
      </c>
      <c r="G20" s="44" t="s">
        <v>367</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128</v>
      </c>
      <c r="D21" s="45" t="s">
        <v>201</v>
      </c>
      <c r="E21" s="44">
        <v>25</v>
      </c>
      <c r="F21" s="44">
        <v>150</v>
      </c>
      <c r="G21" s="44" t="s">
        <v>367</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128</v>
      </c>
      <c r="D22" s="45" t="s">
        <v>199</v>
      </c>
      <c r="E22" s="44">
        <v>25</v>
      </c>
      <c r="F22" s="44">
        <v>150</v>
      </c>
      <c r="G22" s="44" t="s">
        <v>367</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128</v>
      </c>
      <c r="D23" s="45" t="s">
        <v>202</v>
      </c>
      <c r="E23" s="44">
        <v>25</v>
      </c>
      <c r="F23" s="44">
        <v>150</v>
      </c>
      <c r="G23" s="44" t="s">
        <v>367</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203</v>
      </c>
      <c r="D24" s="45" t="s">
        <v>204</v>
      </c>
      <c r="E24" s="44">
        <v>25</v>
      </c>
      <c r="F24" s="44">
        <v>155</v>
      </c>
      <c r="G24" s="44" t="s">
        <v>367</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212</v>
      </c>
      <c r="D25" s="45" t="s">
        <v>214</v>
      </c>
      <c r="E25" s="44">
        <v>30</v>
      </c>
      <c r="F25" s="44">
        <v>130</v>
      </c>
      <c r="G25" s="44" t="s">
        <v>368</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212</v>
      </c>
      <c r="D26" s="45" t="s">
        <v>213</v>
      </c>
      <c r="E26" s="44">
        <v>30</v>
      </c>
      <c r="F26" s="44">
        <v>130</v>
      </c>
      <c r="G26" s="44" t="s">
        <v>368</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11</v>
      </c>
      <c r="D27" s="45" t="s">
        <v>12</v>
      </c>
      <c r="E27" s="44">
        <v>30</v>
      </c>
      <c r="F27" s="44">
        <v>130</v>
      </c>
      <c r="G27" s="44" t="s">
        <v>368</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13</v>
      </c>
      <c r="D28" s="45" t="s">
        <v>14</v>
      </c>
      <c r="E28" s="44">
        <v>30</v>
      </c>
      <c r="F28" s="44">
        <v>130</v>
      </c>
      <c r="G28" s="44" t="s">
        <v>368</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13</v>
      </c>
      <c r="D29" s="45" t="s">
        <v>215</v>
      </c>
      <c r="E29" s="44">
        <v>30</v>
      </c>
      <c r="F29" s="44">
        <v>130</v>
      </c>
      <c r="G29" s="44" t="s">
        <v>367</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209</v>
      </c>
      <c r="D30" s="45" t="s">
        <v>210</v>
      </c>
      <c r="E30" s="44">
        <v>30</v>
      </c>
      <c r="F30" s="44">
        <v>130</v>
      </c>
      <c r="G30" s="44" t="s">
        <v>368</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209</v>
      </c>
      <c r="D31" s="45" t="s">
        <v>211</v>
      </c>
      <c r="E31" s="44">
        <v>30</v>
      </c>
      <c r="F31" s="44">
        <v>130</v>
      </c>
      <c r="G31" s="44" t="s">
        <v>367</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207</v>
      </c>
      <c r="D32" s="45" t="s">
        <v>208</v>
      </c>
      <c r="E32" s="44">
        <v>30</v>
      </c>
      <c r="F32" s="44">
        <v>130</v>
      </c>
      <c r="G32" s="44" t="s">
        <v>368</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219</v>
      </c>
      <c r="D33" s="45" t="s">
        <v>220</v>
      </c>
      <c r="E33" s="44">
        <v>32</v>
      </c>
      <c r="F33" s="44">
        <v>155</v>
      </c>
      <c r="G33" s="44" t="s">
        <v>368</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175</v>
      </c>
      <c r="D34" s="45" t="s">
        <v>176</v>
      </c>
      <c r="E34" s="44">
        <v>32</v>
      </c>
      <c r="F34" s="44">
        <v>180</v>
      </c>
      <c r="G34" s="44" t="s">
        <v>368</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221</v>
      </c>
      <c r="D35" s="45" t="s">
        <v>224</v>
      </c>
      <c r="E35" s="44">
        <v>35</v>
      </c>
      <c r="F35" s="44">
        <v>165</v>
      </c>
      <c r="G35" s="44" t="s">
        <v>368</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221</v>
      </c>
      <c r="D36" s="45" t="s">
        <v>225</v>
      </c>
      <c r="E36" s="44">
        <v>35</v>
      </c>
      <c r="F36" s="44">
        <v>165</v>
      </c>
      <c r="G36" s="44" t="s">
        <v>368</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221</v>
      </c>
      <c r="D37" s="45" t="s">
        <v>222</v>
      </c>
      <c r="E37" s="44">
        <v>35</v>
      </c>
      <c r="F37" s="44">
        <v>170</v>
      </c>
      <c r="G37" s="44" t="s">
        <v>368</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221</v>
      </c>
      <c r="D38" s="45" t="s">
        <v>223</v>
      </c>
      <c r="E38" s="44">
        <v>35</v>
      </c>
      <c r="F38" s="44">
        <v>170</v>
      </c>
      <c r="G38" s="44" t="s">
        <v>368</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128</v>
      </c>
      <c r="D39" s="45" t="s">
        <v>129</v>
      </c>
      <c r="E39" s="44" t="s">
        <v>127</v>
      </c>
      <c r="F39" s="44">
        <v>0</v>
      </c>
      <c r="G39" s="44" t="s">
        <v>367</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128</v>
      </c>
      <c r="D40" s="45" t="s">
        <v>226</v>
      </c>
      <c r="E40" s="44" t="s">
        <v>127</v>
      </c>
      <c r="F40" s="44">
        <v>0</v>
      </c>
      <c r="G40" s="44" t="s">
        <v>367</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128</v>
      </c>
      <c r="D41" s="45" t="s">
        <v>227</v>
      </c>
      <c r="E41" s="44" t="s">
        <v>127</v>
      </c>
      <c r="F41" s="44">
        <v>0</v>
      </c>
      <c r="G41" s="44" t="s">
        <v>367</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13</v>
      </c>
      <c r="D42" t="s">
        <v>133</v>
      </c>
      <c r="E42" s="44" t="s">
        <v>131</v>
      </c>
      <c r="F42" s="44">
        <v>0</v>
      </c>
      <c r="G42" s="44" t="s">
        <v>367</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13</v>
      </c>
      <c r="D43" s="45" t="s">
        <v>132</v>
      </c>
      <c r="E43" s="44" t="s">
        <v>131</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135</v>
      </c>
      <c r="D44" s="45" t="s">
        <v>178</v>
      </c>
      <c r="E44" s="44" t="s">
        <v>134</v>
      </c>
      <c r="F44" s="44">
        <v>0</v>
      </c>
      <c r="G44" s="44" t="s">
        <v>367</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128</v>
      </c>
      <c r="D45" s="45" t="s">
        <v>141</v>
      </c>
      <c r="E45" s="44" t="s">
        <v>140</v>
      </c>
      <c r="F45" s="44">
        <v>0</v>
      </c>
      <c r="G45" s="44" t="s">
        <v>367</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128</v>
      </c>
      <c r="D46" s="45" t="s">
        <v>228</v>
      </c>
      <c r="E46" s="44" t="s">
        <v>140</v>
      </c>
      <c r="F46" s="44">
        <v>0</v>
      </c>
      <c r="G46" s="44" t="s">
        <v>367</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128</v>
      </c>
      <c r="D47" s="45" t="s">
        <v>231</v>
      </c>
      <c r="E47" s="44" t="s">
        <v>140</v>
      </c>
      <c r="F47" s="44">
        <v>0</v>
      </c>
      <c r="G47" s="44" t="s">
        <v>367</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128</v>
      </c>
      <c r="D48" s="45" t="s">
        <v>229</v>
      </c>
      <c r="E48" s="44" t="s">
        <v>140</v>
      </c>
      <c r="F48" s="44">
        <v>0</v>
      </c>
      <c r="G48" s="44" t="s">
        <v>367</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128</v>
      </c>
      <c r="D49" s="166" t="s">
        <v>230</v>
      </c>
      <c r="E49" s="165" t="s">
        <v>140</v>
      </c>
      <c r="F49" s="165">
        <v>0</v>
      </c>
      <c r="G49" s="165" t="s">
        <v>367</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13</v>
      </c>
      <c r="D50" s="45" t="s">
        <v>232</v>
      </c>
      <c r="E50" s="44" t="s">
        <v>233</v>
      </c>
      <c r="F50" s="44">
        <v>0</v>
      </c>
      <c r="G50" s="44" t="s">
        <v>367</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13</v>
      </c>
      <c r="D51" s="45" t="s">
        <v>234</v>
      </c>
      <c r="E51" s="44" t="s">
        <v>235</v>
      </c>
      <c r="F51" s="44">
        <v>0</v>
      </c>
      <c r="G51" s="44" t="s">
        <v>367</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209</v>
      </c>
      <c r="D52" s="45" t="s">
        <v>216</v>
      </c>
      <c r="E52" s="44">
        <v>30</v>
      </c>
      <c r="F52" s="44">
        <v>130</v>
      </c>
      <c r="G52" s="44" t="s">
        <v>367</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205</v>
      </c>
      <c r="D53" s="45" t="s">
        <v>206</v>
      </c>
      <c r="E53" s="44">
        <v>25</v>
      </c>
      <c r="F53" s="44">
        <v>150</v>
      </c>
      <c r="G53" s="44" t="s">
        <v>368</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128</v>
      </c>
      <c r="D54" s="45" t="s">
        <v>170</v>
      </c>
      <c r="E54" s="44">
        <v>25</v>
      </c>
      <c r="F54" s="44">
        <v>150</v>
      </c>
      <c r="G54" s="44" t="s">
        <v>367</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217</v>
      </c>
      <c r="D55" s="45" t="s">
        <v>218</v>
      </c>
      <c r="E55" s="44">
        <v>30</v>
      </c>
      <c r="F55" s="44">
        <v>130</v>
      </c>
      <c r="G55" s="44" t="s">
        <v>368</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139</v>
      </c>
      <c r="D56" s="166" t="s">
        <v>136</v>
      </c>
      <c r="E56" s="165" t="s">
        <v>134</v>
      </c>
      <c r="F56" s="165"/>
      <c r="G56" s="165" t="s">
        <v>367</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369</v>
      </c>
      <c r="B1" s="343"/>
      <c r="C1" s="343"/>
      <c r="D1" s="343"/>
      <c r="E1" s="343"/>
      <c r="F1" s="343"/>
      <c r="G1" s="343"/>
      <c r="H1" s="343"/>
      <c r="I1" s="343"/>
      <c r="J1" s="343"/>
      <c r="K1" s="343"/>
    </row>
    <row r="2" spans="1:11" x14ac:dyDescent="0.25">
      <c r="A2" s="70" t="s">
        <v>370</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371</v>
      </c>
      <c r="B4" s="343"/>
      <c r="C4" s="343"/>
      <c r="D4" s="343"/>
      <c r="E4" s="343"/>
      <c r="F4" s="343"/>
      <c r="G4" s="343"/>
      <c r="H4" s="343"/>
      <c r="I4" s="343"/>
      <c r="J4" s="343"/>
      <c r="K4" s="343"/>
    </row>
    <row r="5" spans="1:11" ht="18" customHeight="1" x14ac:dyDescent="0.25">
      <c r="A5" s="74" t="s">
        <v>372</v>
      </c>
      <c r="B5" s="74" t="s">
        <v>373</v>
      </c>
      <c r="C5" s="75" t="s">
        <v>3</v>
      </c>
      <c r="D5" s="75" t="s">
        <v>374</v>
      </c>
      <c r="E5" s="75" t="s">
        <v>2</v>
      </c>
      <c r="F5" s="75" t="s">
        <v>375</v>
      </c>
      <c r="G5" s="75" t="s">
        <v>376</v>
      </c>
      <c r="H5" s="75" t="s">
        <v>377</v>
      </c>
      <c r="I5" s="75" t="s">
        <v>25</v>
      </c>
      <c r="J5" s="75"/>
      <c r="K5" s="75"/>
    </row>
    <row r="6" spans="1:11" ht="108" customHeight="1" x14ac:dyDescent="0.25">
      <c r="A6" s="71">
        <v>9002</v>
      </c>
      <c r="B6" s="71">
        <v>901</v>
      </c>
      <c r="C6" s="72" t="s">
        <v>13</v>
      </c>
      <c r="D6" s="72" t="s">
        <v>215</v>
      </c>
      <c r="E6" s="72">
        <v>30</v>
      </c>
      <c r="F6" s="72" t="s">
        <v>378</v>
      </c>
      <c r="G6" s="72" t="s">
        <v>379</v>
      </c>
      <c r="H6" s="76" t="s">
        <v>380</v>
      </c>
      <c r="I6" s="77" t="s">
        <v>381</v>
      </c>
      <c r="J6" s="72"/>
      <c r="K6" s="72"/>
    </row>
    <row r="7" spans="1:11" ht="132" customHeight="1" x14ac:dyDescent="0.25">
      <c r="A7" s="78">
        <v>6624</v>
      </c>
      <c r="B7" s="78" t="s">
        <v>382</v>
      </c>
      <c r="C7" s="79" t="s">
        <v>383</v>
      </c>
      <c r="D7" s="79" t="s">
        <v>384</v>
      </c>
      <c r="E7" s="79">
        <v>19</v>
      </c>
      <c r="F7" s="79" t="s">
        <v>385</v>
      </c>
      <c r="G7" s="79" t="s">
        <v>386</v>
      </c>
      <c r="H7" s="80" t="s">
        <v>380</v>
      </c>
      <c r="I7" s="81" t="s">
        <v>381</v>
      </c>
      <c r="J7" s="79"/>
      <c r="K7" s="79"/>
    </row>
    <row r="8" spans="1:11" ht="132" customHeight="1" x14ac:dyDescent="0.25">
      <c r="A8" s="71">
        <v>9004</v>
      </c>
      <c r="B8" s="71">
        <v>904</v>
      </c>
      <c r="C8" s="72" t="s">
        <v>181</v>
      </c>
      <c r="D8" s="72" t="s">
        <v>182</v>
      </c>
      <c r="E8" s="72">
        <v>12.5</v>
      </c>
      <c r="F8" s="72" t="s">
        <v>387</v>
      </c>
      <c r="G8" s="72" t="s">
        <v>388</v>
      </c>
      <c r="H8" s="76" t="s">
        <v>380</v>
      </c>
      <c r="I8" s="77" t="s">
        <v>381</v>
      </c>
      <c r="J8" s="72"/>
      <c r="K8" s="72"/>
    </row>
    <row r="9" spans="1:11" ht="108" customHeight="1" x14ac:dyDescent="0.25">
      <c r="A9" s="78">
        <v>9006</v>
      </c>
      <c r="B9" s="78">
        <v>906</v>
      </c>
      <c r="C9" s="79" t="s">
        <v>383</v>
      </c>
      <c r="D9" s="79" t="s">
        <v>202</v>
      </c>
      <c r="E9" s="79">
        <v>25</v>
      </c>
      <c r="F9" s="79" t="s">
        <v>389</v>
      </c>
      <c r="G9" s="79" t="s">
        <v>390</v>
      </c>
      <c r="H9" s="80" t="s">
        <v>380</v>
      </c>
      <c r="I9" s="81" t="s">
        <v>381</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391</v>
      </c>
      <c r="B12" s="343"/>
      <c r="C12" s="343"/>
      <c r="D12" s="343"/>
      <c r="E12" s="343"/>
      <c r="F12" s="343"/>
      <c r="G12" s="343"/>
      <c r="H12" s="343"/>
      <c r="I12" s="343"/>
      <c r="J12" s="343"/>
      <c r="K12" s="343"/>
    </row>
    <row r="13" spans="1:11" ht="18" customHeight="1" x14ac:dyDescent="0.25">
      <c r="A13" s="74" t="s">
        <v>372</v>
      </c>
      <c r="B13" s="74" t="s">
        <v>374</v>
      </c>
      <c r="C13" s="75"/>
      <c r="D13" s="75" t="s">
        <v>392</v>
      </c>
      <c r="E13" s="75" t="s">
        <v>18</v>
      </c>
      <c r="F13" s="75" t="s">
        <v>393</v>
      </c>
      <c r="G13" s="75" t="s">
        <v>394</v>
      </c>
      <c r="H13" s="75" t="s">
        <v>377</v>
      </c>
      <c r="I13" s="75" t="s">
        <v>395</v>
      </c>
      <c r="J13" s="75"/>
      <c r="K13" s="75"/>
    </row>
    <row r="14" spans="1:11" ht="60" customHeight="1" x14ac:dyDescent="0.25">
      <c r="A14" s="71">
        <v>6020</v>
      </c>
      <c r="B14" s="71" t="s">
        <v>224</v>
      </c>
      <c r="C14" s="72"/>
      <c r="D14" s="72" t="s">
        <v>43</v>
      </c>
      <c r="E14" s="72" t="s">
        <v>396</v>
      </c>
      <c r="F14" s="72" t="s">
        <v>397</v>
      </c>
      <c r="G14" s="72" t="s">
        <v>398</v>
      </c>
      <c r="H14" s="76" t="s">
        <v>399</v>
      </c>
      <c r="I14" s="72" t="s">
        <v>400</v>
      </c>
      <c r="J14" s="72"/>
      <c r="K14" s="72"/>
    </row>
    <row r="15" spans="1:11" ht="24" customHeight="1" x14ac:dyDescent="0.25">
      <c r="A15" s="78">
        <v>6021</v>
      </c>
      <c r="B15" s="78" t="s">
        <v>225</v>
      </c>
      <c r="C15" s="79"/>
      <c r="D15" s="79" t="s">
        <v>43</v>
      </c>
      <c r="E15" s="79" t="s">
        <v>396</v>
      </c>
      <c r="F15" s="79" t="s">
        <v>397</v>
      </c>
      <c r="G15" s="79" t="s">
        <v>398</v>
      </c>
      <c r="H15" s="80" t="s">
        <v>399</v>
      </c>
      <c r="I15" s="79" t="s">
        <v>401</v>
      </c>
      <c r="J15" s="79"/>
      <c r="K15" s="79"/>
    </row>
    <row r="16" spans="1:11" ht="24" customHeight="1" x14ac:dyDescent="0.25">
      <c r="A16" s="71">
        <v>6020</v>
      </c>
      <c r="B16" s="71" t="s">
        <v>224</v>
      </c>
      <c r="C16" s="72"/>
      <c r="D16" s="72" t="s">
        <v>50</v>
      </c>
      <c r="E16" s="72" t="s">
        <v>402</v>
      </c>
      <c r="F16" s="72" t="s">
        <v>403</v>
      </c>
      <c r="G16" s="72" t="s">
        <v>404</v>
      </c>
      <c r="H16" s="76" t="s">
        <v>380</v>
      </c>
      <c r="I16" s="72" t="s">
        <v>405</v>
      </c>
      <c r="J16" s="72"/>
      <c r="K16" s="72"/>
    </row>
    <row r="17" spans="1:11" ht="24" customHeight="1" x14ac:dyDescent="0.25">
      <c r="A17" s="78">
        <v>6021</v>
      </c>
      <c r="B17" s="78" t="s">
        <v>225</v>
      </c>
      <c r="C17" s="79"/>
      <c r="D17" s="79" t="s">
        <v>50</v>
      </c>
      <c r="E17" s="79" t="s">
        <v>402</v>
      </c>
      <c r="F17" s="79" t="s">
        <v>403</v>
      </c>
      <c r="G17" s="79" t="s">
        <v>404</v>
      </c>
      <c r="H17" s="80" t="s">
        <v>380</v>
      </c>
      <c r="I17" s="79" t="s">
        <v>401</v>
      </c>
      <c r="J17" s="79"/>
      <c r="K17" s="79"/>
    </row>
    <row r="18" spans="1:11" ht="24" customHeight="1" x14ac:dyDescent="0.25">
      <c r="A18" s="71">
        <v>5731</v>
      </c>
      <c r="B18" s="71" t="s">
        <v>406</v>
      </c>
      <c r="C18" s="72"/>
      <c r="D18" s="72" t="s">
        <v>101</v>
      </c>
      <c r="E18" s="72" t="s">
        <v>407</v>
      </c>
      <c r="F18" s="72" t="s">
        <v>408</v>
      </c>
      <c r="G18" s="72" t="s">
        <v>409</v>
      </c>
      <c r="H18" s="76" t="s">
        <v>380</v>
      </c>
      <c r="I18" s="72" t="s">
        <v>410</v>
      </c>
      <c r="J18" s="72"/>
      <c r="K18" s="72"/>
    </row>
    <row r="19" spans="1:11" ht="24" customHeight="1" x14ac:dyDescent="0.25">
      <c r="A19" s="78">
        <v>5732</v>
      </c>
      <c r="B19" s="78" t="s">
        <v>411</v>
      </c>
      <c r="C19" s="79"/>
      <c r="D19" s="79" t="s">
        <v>101</v>
      </c>
      <c r="E19" s="79" t="s">
        <v>407</v>
      </c>
      <c r="F19" s="79" t="s">
        <v>408</v>
      </c>
      <c r="G19" s="79" t="s">
        <v>409</v>
      </c>
      <c r="H19" s="80" t="s">
        <v>380</v>
      </c>
      <c r="I19" s="79" t="s">
        <v>410</v>
      </c>
      <c r="J19" s="79"/>
      <c r="K19" s="79"/>
    </row>
    <row r="20" spans="1:11" ht="48" customHeight="1" x14ac:dyDescent="0.25">
      <c r="A20" s="71">
        <v>6338</v>
      </c>
      <c r="B20" s="71" t="s">
        <v>204</v>
      </c>
      <c r="C20" s="72"/>
      <c r="D20" s="72" t="s">
        <v>50</v>
      </c>
      <c r="E20" s="72" t="s">
        <v>412</v>
      </c>
      <c r="F20" s="72" t="s">
        <v>413</v>
      </c>
      <c r="G20" s="72" t="s">
        <v>414</v>
      </c>
      <c r="H20" s="76" t="s">
        <v>380</v>
      </c>
      <c r="I20" s="72" t="s">
        <v>415</v>
      </c>
      <c r="J20" s="72"/>
      <c r="K20" s="72"/>
    </row>
    <row r="21" spans="1:11" ht="24" customHeight="1" x14ac:dyDescent="0.25">
      <c r="A21" s="78">
        <v>6531</v>
      </c>
      <c r="B21" s="78" t="s">
        <v>223</v>
      </c>
      <c r="C21" s="79"/>
      <c r="D21" s="79" t="s">
        <v>43</v>
      </c>
      <c r="E21" s="79" t="s">
        <v>396</v>
      </c>
      <c r="F21" s="79" t="s">
        <v>416</v>
      </c>
      <c r="G21" s="79" t="s">
        <v>417</v>
      </c>
      <c r="H21" s="85" t="s">
        <v>418</v>
      </c>
      <c r="I21" s="79" t="s">
        <v>419</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420</v>
      </c>
      <c r="B23" s="343"/>
      <c r="C23" s="343"/>
      <c r="D23" s="343"/>
      <c r="E23" s="343"/>
      <c r="F23" s="343"/>
      <c r="G23" s="343"/>
      <c r="H23" s="343"/>
      <c r="I23" s="343"/>
      <c r="J23" s="343"/>
      <c r="K23" s="343"/>
    </row>
    <row r="24" spans="1:11" ht="18" customHeight="1" x14ac:dyDescent="0.25">
      <c r="A24" s="74" t="s">
        <v>372</v>
      </c>
      <c r="B24" s="74" t="s">
        <v>374</v>
      </c>
      <c r="C24" s="75"/>
      <c r="D24" s="75" t="s">
        <v>421</v>
      </c>
      <c r="E24" s="75" t="s">
        <v>18</v>
      </c>
      <c r="F24" s="75" t="s">
        <v>422</v>
      </c>
      <c r="G24" s="75" t="s">
        <v>423</v>
      </c>
      <c r="H24" s="75" t="s">
        <v>377</v>
      </c>
      <c r="I24" s="75"/>
      <c r="J24" s="75"/>
      <c r="K24" s="75"/>
    </row>
    <row r="25" spans="1:11" ht="96" customHeight="1" x14ac:dyDescent="0.25">
      <c r="A25" s="71" t="s">
        <v>424</v>
      </c>
      <c r="B25" s="71" t="s">
        <v>425</v>
      </c>
      <c r="C25" s="72"/>
      <c r="D25" s="72" t="s">
        <v>426</v>
      </c>
      <c r="E25" s="72">
        <v>177</v>
      </c>
      <c r="F25" s="72" t="s">
        <v>427</v>
      </c>
      <c r="G25" s="72" t="s">
        <v>428</v>
      </c>
      <c r="H25" s="76" t="s">
        <v>399</v>
      </c>
      <c r="I25" s="72"/>
      <c r="J25" s="72"/>
      <c r="K25" s="72"/>
    </row>
    <row r="26" spans="1:11" ht="18" customHeight="1" x14ac:dyDescent="0.25">
      <c r="A26" s="74">
        <v>6312</v>
      </c>
      <c r="B26" s="74" t="s">
        <v>211</v>
      </c>
      <c r="C26" s="75"/>
      <c r="D26" s="75" t="s">
        <v>64</v>
      </c>
      <c r="E26" s="75">
        <v>578</v>
      </c>
      <c r="F26" s="75" t="s">
        <v>429</v>
      </c>
      <c r="G26" s="75" t="s">
        <v>430</v>
      </c>
      <c r="H26" s="75" t="s">
        <v>380</v>
      </c>
      <c r="I26" s="75"/>
      <c r="J26" s="75"/>
      <c r="K26" s="75"/>
    </row>
    <row r="27" spans="1:11" ht="72" customHeight="1" x14ac:dyDescent="0.25">
      <c r="A27" s="71">
        <v>6338</v>
      </c>
      <c r="B27" s="71" t="s">
        <v>204</v>
      </c>
      <c r="C27" s="72"/>
      <c r="D27" s="72" t="s">
        <v>64</v>
      </c>
      <c r="E27" s="72" t="s">
        <v>431</v>
      </c>
      <c r="F27" s="72" t="s">
        <v>432</v>
      </c>
      <c r="G27" s="72" t="s">
        <v>433</v>
      </c>
      <c r="H27" s="76" t="s">
        <v>380</v>
      </c>
      <c r="I27" s="72"/>
      <c r="J27" s="72"/>
      <c r="K27" s="72"/>
    </row>
    <row r="28" spans="1:11" ht="108" customHeight="1" x14ac:dyDescent="0.25">
      <c r="A28" s="78">
        <v>5814</v>
      </c>
      <c r="B28" s="78" t="s">
        <v>14</v>
      </c>
      <c r="C28" s="79"/>
      <c r="D28" s="79" t="s">
        <v>88</v>
      </c>
      <c r="E28" s="79" t="s">
        <v>431</v>
      </c>
      <c r="F28" s="79" t="s">
        <v>432</v>
      </c>
      <c r="G28" s="79" t="s">
        <v>434</v>
      </c>
      <c r="H28" s="80" t="s">
        <v>380</v>
      </c>
      <c r="I28" s="79"/>
      <c r="J28" s="79"/>
      <c r="K28" s="79"/>
    </row>
    <row r="29" spans="1:11" ht="18" customHeight="1" x14ac:dyDescent="0.25">
      <c r="A29" s="74">
        <v>6312</v>
      </c>
      <c r="B29" s="74" t="s">
        <v>211</v>
      </c>
      <c r="C29" s="75"/>
      <c r="D29" s="75" t="s">
        <v>62</v>
      </c>
      <c r="E29" s="75">
        <v>186</v>
      </c>
      <c r="F29" s="75" t="s">
        <v>435</v>
      </c>
      <c r="G29" s="75" t="s">
        <v>436</v>
      </c>
      <c r="H29" s="75" t="s">
        <v>418</v>
      </c>
      <c r="I29" s="75"/>
      <c r="J29" s="75"/>
      <c r="K29" s="75"/>
    </row>
    <row r="30" spans="1:11" ht="18" customHeight="1" x14ac:dyDescent="0.25">
      <c r="A30" s="74">
        <v>6077</v>
      </c>
      <c r="B30" s="74" t="s">
        <v>437</v>
      </c>
      <c r="C30" s="75"/>
      <c r="D30" s="75" t="s">
        <v>62</v>
      </c>
      <c r="E30" s="75">
        <v>186</v>
      </c>
      <c r="F30" s="75" t="s">
        <v>435</v>
      </c>
      <c r="G30" s="75" t="s">
        <v>438</v>
      </c>
      <c r="H30" s="75" t="s">
        <v>418</v>
      </c>
      <c r="I30" s="75"/>
      <c r="J30" s="75"/>
      <c r="K30" s="75"/>
    </row>
    <row r="31" spans="1:11" ht="72" customHeight="1" x14ac:dyDescent="0.25">
      <c r="A31" s="71">
        <v>6530</v>
      </c>
      <c r="B31" s="71" t="s">
        <v>222</v>
      </c>
      <c r="C31" s="72"/>
      <c r="D31" s="72" t="s">
        <v>62</v>
      </c>
      <c r="E31" s="72">
        <v>186</v>
      </c>
      <c r="F31" s="72" t="s">
        <v>435</v>
      </c>
      <c r="G31" s="72" t="s">
        <v>439</v>
      </c>
      <c r="H31" s="86" t="s">
        <v>418</v>
      </c>
      <c r="I31" s="72"/>
      <c r="J31" s="72"/>
      <c r="K31" s="72"/>
    </row>
    <row r="32" spans="1:11" ht="18" customHeight="1" x14ac:dyDescent="0.25">
      <c r="A32" s="74">
        <v>6531</v>
      </c>
      <c r="B32" s="74" t="s">
        <v>223</v>
      </c>
      <c r="C32" s="75"/>
      <c r="D32" s="75" t="s">
        <v>62</v>
      </c>
      <c r="E32" s="75">
        <v>186</v>
      </c>
      <c r="F32" s="75" t="s">
        <v>435</v>
      </c>
      <c r="G32" s="75" t="s">
        <v>440</v>
      </c>
      <c r="H32" s="75" t="s">
        <v>418</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441</v>
      </c>
      <c r="B34" s="343"/>
      <c r="C34" s="343"/>
      <c r="D34" s="343"/>
      <c r="E34" s="343"/>
      <c r="F34" s="343"/>
      <c r="G34" s="343"/>
      <c r="H34" s="343"/>
      <c r="I34" s="343"/>
      <c r="J34" s="343"/>
      <c r="K34" s="343"/>
    </row>
    <row r="35" spans="1:11" ht="18" customHeight="1" x14ac:dyDescent="0.25">
      <c r="A35" s="74" t="s">
        <v>372</v>
      </c>
      <c r="B35" s="74" t="s">
        <v>373</v>
      </c>
      <c r="C35" s="75" t="s">
        <v>374</v>
      </c>
      <c r="D35" s="75" t="s">
        <v>392</v>
      </c>
      <c r="E35" s="75" t="s">
        <v>442</v>
      </c>
      <c r="F35" s="75" t="s">
        <v>443</v>
      </c>
      <c r="G35" s="75" t="s">
        <v>444</v>
      </c>
      <c r="H35" s="75" t="s">
        <v>445</v>
      </c>
      <c r="I35" s="75" t="s">
        <v>422</v>
      </c>
      <c r="J35" s="75"/>
      <c r="K35" s="75"/>
    </row>
    <row r="36" spans="1:11" x14ac:dyDescent="0.25">
      <c r="A36" s="71">
        <v>6337</v>
      </c>
      <c r="B36" s="71">
        <v>166</v>
      </c>
      <c r="C36" s="72" t="s">
        <v>446</v>
      </c>
      <c r="D36" s="72" t="s">
        <v>50</v>
      </c>
      <c r="E36" s="72">
        <v>170</v>
      </c>
      <c r="F36" s="72" t="s">
        <v>51</v>
      </c>
      <c r="G36" s="72">
        <v>3595</v>
      </c>
      <c r="H36" s="72" t="s">
        <v>268</v>
      </c>
      <c r="I36" s="72" t="s">
        <v>447</v>
      </c>
      <c r="J36" s="72"/>
      <c r="K36" s="72"/>
    </row>
    <row r="37" spans="1:11" x14ac:dyDescent="0.25">
      <c r="A37" s="78">
        <v>6337</v>
      </c>
      <c r="B37" s="78">
        <v>166</v>
      </c>
      <c r="C37" s="79" t="s">
        <v>446</v>
      </c>
      <c r="D37" s="79" t="s">
        <v>43</v>
      </c>
      <c r="E37" s="79">
        <v>1065</v>
      </c>
      <c r="F37" s="79" t="s">
        <v>48</v>
      </c>
      <c r="G37" s="79">
        <v>4155</v>
      </c>
      <c r="H37" s="79" t="s">
        <v>49</v>
      </c>
      <c r="I37" s="79" t="s">
        <v>416</v>
      </c>
      <c r="J37" s="79"/>
      <c r="K37" s="79"/>
    </row>
    <row r="38" spans="1:11" x14ac:dyDescent="0.25">
      <c r="A38" s="71">
        <v>6338</v>
      </c>
      <c r="B38" s="71">
        <v>167</v>
      </c>
      <c r="C38" s="72" t="s">
        <v>204</v>
      </c>
      <c r="D38" s="72" t="s">
        <v>50</v>
      </c>
      <c r="E38" s="72">
        <v>170</v>
      </c>
      <c r="F38" s="72" t="s">
        <v>51</v>
      </c>
      <c r="G38" s="72">
        <v>3595</v>
      </c>
      <c r="H38" s="72" t="s">
        <v>268</v>
      </c>
      <c r="I38" s="72" t="s">
        <v>448</v>
      </c>
      <c r="J38" s="72"/>
      <c r="K38" s="72"/>
    </row>
    <row r="39" spans="1:11" x14ac:dyDescent="0.25">
      <c r="A39" s="78">
        <v>6338</v>
      </c>
      <c r="B39" s="78">
        <v>167</v>
      </c>
      <c r="C39" s="79" t="s">
        <v>204</v>
      </c>
      <c r="D39" s="79" t="s">
        <v>43</v>
      </c>
      <c r="E39" s="79">
        <v>184</v>
      </c>
      <c r="F39" s="79" t="s">
        <v>44</v>
      </c>
      <c r="G39" s="79">
        <v>185</v>
      </c>
      <c r="H39" s="79" t="s">
        <v>45</v>
      </c>
      <c r="I39" s="79" t="s">
        <v>449</v>
      </c>
      <c r="J39" s="79"/>
      <c r="K39" s="79"/>
    </row>
    <row r="40" spans="1:11" x14ac:dyDescent="0.25">
      <c r="A40" s="71">
        <v>6312</v>
      </c>
      <c r="B40" s="71">
        <v>157</v>
      </c>
      <c r="C40" s="72" t="s">
        <v>450</v>
      </c>
      <c r="D40" s="72" t="s">
        <v>50</v>
      </c>
      <c r="E40" s="72">
        <v>170</v>
      </c>
      <c r="F40" s="72" t="s">
        <v>51</v>
      </c>
      <c r="G40" s="72">
        <v>3595</v>
      </c>
      <c r="H40" s="72" t="s">
        <v>268</v>
      </c>
      <c r="I40" s="72" t="s">
        <v>447</v>
      </c>
      <c r="J40" s="72"/>
      <c r="K40" s="72"/>
    </row>
    <row r="41" spans="1:11" x14ac:dyDescent="0.25">
      <c r="A41" s="78">
        <v>6312</v>
      </c>
      <c r="B41" s="78">
        <v>157</v>
      </c>
      <c r="C41" s="79" t="s">
        <v>450</v>
      </c>
      <c r="D41" s="79" t="s">
        <v>43</v>
      </c>
      <c r="E41" s="79">
        <v>1065</v>
      </c>
      <c r="F41" s="79" t="s">
        <v>48</v>
      </c>
      <c r="G41" s="79">
        <v>4155</v>
      </c>
      <c r="H41" s="79" t="s">
        <v>49</v>
      </c>
      <c r="I41" s="79" t="s">
        <v>416</v>
      </c>
      <c r="J41" s="79"/>
      <c r="K41" s="79"/>
    </row>
    <row r="42" spans="1:11" x14ac:dyDescent="0.25">
      <c r="A42" s="71">
        <v>6228</v>
      </c>
      <c r="B42" s="71">
        <v>150</v>
      </c>
      <c r="C42" s="72" t="s">
        <v>451</v>
      </c>
      <c r="D42" s="72" t="s">
        <v>50</v>
      </c>
      <c r="E42" s="72">
        <v>170</v>
      </c>
      <c r="F42" s="72" t="s">
        <v>51</v>
      </c>
      <c r="G42" s="72">
        <v>3595</v>
      </c>
      <c r="H42" s="72" t="s">
        <v>268</v>
      </c>
      <c r="I42" s="72" t="s">
        <v>452</v>
      </c>
      <c r="J42" s="72"/>
      <c r="K42" s="72"/>
    </row>
    <row r="43" spans="1:11" x14ac:dyDescent="0.25">
      <c r="A43" s="78">
        <v>5782</v>
      </c>
      <c r="B43" s="78">
        <v>70</v>
      </c>
      <c r="C43" s="79" t="s">
        <v>220</v>
      </c>
      <c r="D43" s="79" t="s">
        <v>50</v>
      </c>
      <c r="E43" s="79">
        <v>170</v>
      </c>
      <c r="F43" s="79" t="s">
        <v>51</v>
      </c>
      <c r="G43" s="79">
        <v>3595</v>
      </c>
      <c r="H43" s="79" t="s">
        <v>268</v>
      </c>
      <c r="I43" s="79" t="s">
        <v>403</v>
      </c>
      <c r="J43" s="79"/>
      <c r="K43" s="79"/>
    </row>
    <row r="44" spans="1:11" x14ac:dyDescent="0.25">
      <c r="A44" s="71">
        <v>5782</v>
      </c>
      <c r="B44" s="71">
        <v>70</v>
      </c>
      <c r="C44" s="72" t="s">
        <v>220</v>
      </c>
      <c r="D44" s="72" t="s">
        <v>43</v>
      </c>
      <c r="E44" s="72">
        <v>184</v>
      </c>
      <c r="F44" s="72" t="s">
        <v>44</v>
      </c>
      <c r="G44" s="72">
        <v>185</v>
      </c>
      <c r="H44" s="72" t="s">
        <v>45</v>
      </c>
      <c r="I44" s="72" t="s">
        <v>453</v>
      </c>
      <c r="J44" s="72"/>
      <c r="K44" s="72"/>
    </row>
    <row r="45" spans="1:11" x14ac:dyDescent="0.25">
      <c r="A45" s="78">
        <v>3447</v>
      </c>
      <c r="B45" s="78">
        <v>34</v>
      </c>
      <c r="C45" s="79" t="s">
        <v>196</v>
      </c>
      <c r="D45" s="79" t="s">
        <v>50</v>
      </c>
      <c r="E45" s="79">
        <v>4156</v>
      </c>
      <c r="F45" s="79" t="s">
        <v>56</v>
      </c>
      <c r="G45" s="79">
        <v>3595</v>
      </c>
      <c r="H45" s="79" t="s">
        <v>268</v>
      </c>
      <c r="I45" s="79" t="s">
        <v>454</v>
      </c>
      <c r="J45" s="79"/>
      <c r="K45" s="79"/>
    </row>
    <row r="46" spans="1:11" x14ac:dyDescent="0.25">
      <c r="A46" s="71">
        <v>3447</v>
      </c>
      <c r="B46" s="71">
        <v>34</v>
      </c>
      <c r="C46" s="72" t="s">
        <v>196</v>
      </c>
      <c r="D46" s="72" t="s">
        <v>64</v>
      </c>
      <c r="E46" s="72">
        <v>3866</v>
      </c>
      <c r="F46" s="72" t="s">
        <v>455</v>
      </c>
      <c r="G46" s="72">
        <v>68</v>
      </c>
      <c r="H46" s="72" t="s">
        <v>456</v>
      </c>
      <c r="I46" s="72" t="s">
        <v>429</v>
      </c>
      <c r="J46" s="72"/>
      <c r="K46" s="72"/>
    </row>
    <row r="47" spans="1:11" x14ac:dyDescent="0.25">
      <c r="A47" s="78">
        <v>3447</v>
      </c>
      <c r="B47" s="78">
        <v>34</v>
      </c>
      <c r="C47" s="79" t="s">
        <v>196</v>
      </c>
      <c r="D47" s="79" t="s">
        <v>43</v>
      </c>
      <c r="E47" s="79">
        <v>184</v>
      </c>
      <c r="F47" s="79" t="s">
        <v>44</v>
      </c>
      <c r="G47" s="79">
        <v>185</v>
      </c>
      <c r="H47" s="79" t="s">
        <v>45</v>
      </c>
      <c r="I47" s="79" t="s">
        <v>449</v>
      </c>
      <c r="J47" s="79"/>
      <c r="K47" s="79"/>
    </row>
    <row r="48" spans="1:11" x14ac:dyDescent="0.25">
      <c r="A48" s="71">
        <v>5732</v>
      </c>
      <c r="B48" s="71">
        <v>33</v>
      </c>
      <c r="C48" s="72" t="s">
        <v>411</v>
      </c>
      <c r="D48" s="72" t="s">
        <v>50</v>
      </c>
      <c r="E48" s="72">
        <v>4156</v>
      </c>
      <c r="F48" s="72" t="s">
        <v>56</v>
      </c>
      <c r="G48" s="72">
        <v>3595</v>
      </c>
      <c r="H48" s="72" t="s">
        <v>268</v>
      </c>
      <c r="I48" s="72" t="s">
        <v>457</v>
      </c>
      <c r="J48" s="72"/>
      <c r="K48" s="72"/>
    </row>
    <row r="49" spans="1:11" x14ac:dyDescent="0.25">
      <c r="A49" s="78">
        <v>5732</v>
      </c>
      <c r="B49" s="78">
        <v>33</v>
      </c>
      <c r="C49" s="79" t="s">
        <v>411</v>
      </c>
      <c r="D49" s="79" t="s">
        <v>64</v>
      </c>
      <c r="E49" s="79">
        <v>4044</v>
      </c>
      <c r="F49" s="79" t="s">
        <v>458</v>
      </c>
      <c r="G49" s="79">
        <v>6971</v>
      </c>
      <c r="H49" s="79" t="s">
        <v>459</v>
      </c>
      <c r="I49" s="79" t="s">
        <v>429</v>
      </c>
      <c r="J49" s="79"/>
      <c r="K49" s="79"/>
    </row>
    <row r="50" spans="1:11" x14ac:dyDescent="0.25">
      <c r="A50" s="71">
        <v>5732</v>
      </c>
      <c r="B50" s="71">
        <v>33</v>
      </c>
      <c r="C50" s="72" t="s">
        <v>411</v>
      </c>
      <c r="D50" s="72" t="s">
        <v>43</v>
      </c>
      <c r="E50" s="72">
        <v>184</v>
      </c>
      <c r="F50" s="72" t="s">
        <v>44</v>
      </c>
      <c r="G50" s="72">
        <v>185</v>
      </c>
      <c r="H50" s="72" t="s">
        <v>45</v>
      </c>
      <c r="I50" s="72" t="s">
        <v>460</v>
      </c>
      <c r="J50" s="72"/>
      <c r="K50" s="72"/>
    </row>
    <row r="51" spans="1:11" x14ac:dyDescent="0.25">
      <c r="A51" s="78">
        <v>5731</v>
      </c>
      <c r="B51" s="78">
        <v>32</v>
      </c>
      <c r="C51" s="79" t="s">
        <v>406</v>
      </c>
      <c r="D51" s="79" t="s">
        <v>50</v>
      </c>
      <c r="E51" s="79">
        <v>4156</v>
      </c>
      <c r="F51" s="79" t="s">
        <v>56</v>
      </c>
      <c r="G51" s="79">
        <v>3595</v>
      </c>
      <c r="H51" s="79" t="s">
        <v>268</v>
      </c>
      <c r="I51" s="79" t="s">
        <v>457</v>
      </c>
      <c r="J51" s="79"/>
      <c r="K51" s="79"/>
    </row>
    <row r="52" spans="1:11" x14ac:dyDescent="0.25">
      <c r="A52" s="71">
        <v>5731</v>
      </c>
      <c r="B52" s="71">
        <v>32</v>
      </c>
      <c r="C52" s="72" t="s">
        <v>406</v>
      </c>
      <c r="D52" s="72" t="s">
        <v>64</v>
      </c>
      <c r="E52" s="72">
        <v>4044</v>
      </c>
      <c r="F52" s="72" t="s">
        <v>458</v>
      </c>
      <c r="G52" s="72">
        <v>6971</v>
      </c>
      <c r="H52" s="72" t="s">
        <v>459</v>
      </c>
      <c r="I52" s="72" t="s">
        <v>429</v>
      </c>
      <c r="J52" s="72"/>
      <c r="K52" s="72"/>
    </row>
    <row r="53" spans="1:11" x14ac:dyDescent="0.25">
      <c r="A53" s="78">
        <v>5731</v>
      </c>
      <c r="B53" s="78">
        <v>32</v>
      </c>
      <c r="C53" s="79" t="s">
        <v>406</v>
      </c>
      <c r="D53" s="79" t="s">
        <v>43</v>
      </c>
      <c r="E53" s="79">
        <v>184</v>
      </c>
      <c r="F53" s="79" t="s">
        <v>44</v>
      </c>
      <c r="G53" s="79">
        <v>185</v>
      </c>
      <c r="H53" s="79" t="s">
        <v>45</v>
      </c>
      <c r="I53" s="79" t="s">
        <v>460</v>
      </c>
      <c r="J53" s="79"/>
      <c r="K53" s="79"/>
    </row>
    <row r="54" spans="1:11" x14ac:dyDescent="0.25">
      <c r="A54" s="71">
        <v>6532</v>
      </c>
      <c r="B54" s="71">
        <v>181</v>
      </c>
      <c r="C54" s="72" t="s">
        <v>199</v>
      </c>
      <c r="D54" s="72" t="s">
        <v>50</v>
      </c>
      <c r="E54" s="72">
        <v>170</v>
      </c>
      <c r="F54" s="72" t="s">
        <v>51</v>
      </c>
      <c r="G54" s="72">
        <v>3595</v>
      </c>
      <c r="H54" s="72" t="s">
        <v>268</v>
      </c>
      <c r="I54" s="72" t="s">
        <v>452</v>
      </c>
      <c r="J54" s="72"/>
      <c r="K54" s="72"/>
    </row>
    <row r="55" spans="1:11" x14ac:dyDescent="0.25">
      <c r="A55" s="78">
        <v>6532</v>
      </c>
      <c r="B55" s="78">
        <v>181</v>
      </c>
      <c r="C55" s="79" t="s">
        <v>199</v>
      </c>
      <c r="D55" s="79" t="s">
        <v>43</v>
      </c>
      <c r="E55" s="79">
        <v>184</v>
      </c>
      <c r="F55" s="79" t="s">
        <v>44</v>
      </c>
      <c r="G55" s="79">
        <v>185</v>
      </c>
      <c r="H55" s="79" t="s">
        <v>45</v>
      </c>
      <c r="I55" s="79" t="s">
        <v>461</v>
      </c>
      <c r="J55" s="79"/>
      <c r="K55" s="79"/>
    </row>
    <row r="56" spans="1:11" x14ac:dyDescent="0.25">
      <c r="A56" s="71">
        <v>3726</v>
      </c>
      <c r="B56" s="71">
        <v>9</v>
      </c>
      <c r="C56" s="72" t="s">
        <v>197</v>
      </c>
      <c r="D56" s="72" t="s">
        <v>50</v>
      </c>
      <c r="E56" s="72">
        <v>170</v>
      </c>
      <c r="F56" s="72" t="s">
        <v>51</v>
      </c>
      <c r="G56" s="72">
        <v>3595</v>
      </c>
      <c r="H56" s="72" t="s">
        <v>268</v>
      </c>
      <c r="I56" s="72" t="s">
        <v>452</v>
      </c>
      <c r="J56" s="72"/>
      <c r="K56" s="72"/>
    </row>
    <row r="57" spans="1:11" x14ac:dyDescent="0.25">
      <c r="A57" s="78">
        <v>3726</v>
      </c>
      <c r="B57" s="78">
        <v>9</v>
      </c>
      <c r="C57" s="79" t="s">
        <v>197</v>
      </c>
      <c r="D57" s="79" t="s">
        <v>43</v>
      </c>
      <c r="E57" s="79">
        <v>184</v>
      </c>
      <c r="F57" s="79" t="s">
        <v>44</v>
      </c>
      <c r="G57" s="79">
        <v>185</v>
      </c>
      <c r="H57" s="79" t="s">
        <v>45</v>
      </c>
      <c r="I57" s="79" t="s">
        <v>461</v>
      </c>
      <c r="J57" s="79"/>
      <c r="K57" s="79"/>
    </row>
    <row r="58" spans="1:11" x14ac:dyDescent="0.25">
      <c r="A58" s="71">
        <v>6077</v>
      </c>
      <c r="B58" s="71">
        <v>138</v>
      </c>
      <c r="C58" s="72" t="s">
        <v>437</v>
      </c>
      <c r="D58" s="72" t="s">
        <v>50</v>
      </c>
      <c r="E58" s="72">
        <v>170</v>
      </c>
      <c r="F58" s="72" t="s">
        <v>51</v>
      </c>
      <c r="G58" s="72">
        <v>3595</v>
      </c>
      <c r="H58" s="72" t="s">
        <v>268</v>
      </c>
      <c r="I58" s="72" t="s">
        <v>462</v>
      </c>
      <c r="J58" s="72"/>
      <c r="K58" s="72"/>
    </row>
    <row r="59" spans="1:11" x14ac:dyDescent="0.25">
      <c r="A59" s="78">
        <v>5814</v>
      </c>
      <c r="B59" s="78">
        <v>95</v>
      </c>
      <c r="C59" s="79" t="s">
        <v>14</v>
      </c>
      <c r="D59" s="79" t="s">
        <v>50</v>
      </c>
      <c r="E59" s="79">
        <v>170</v>
      </c>
      <c r="F59" s="79" t="s">
        <v>51</v>
      </c>
      <c r="G59" s="79">
        <v>3595</v>
      </c>
      <c r="H59" s="79" t="s">
        <v>268</v>
      </c>
      <c r="I59" s="79" t="s">
        <v>463</v>
      </c>
      <c r="J59" s="79"/>
      <c r="K59" s="79"/>
    </row>
    <row r="60" spans="1:11" x14ac:dyDescent="0.25">
      <c r="A60" s="71">
        <v>5814</v>
      </c>
      <c r="B60" s="71">
        <v>95</v>
      </c>
      <c r="C60" s="72" t="s">
        <v>14</v>
      </c>
      <c r="D60" s="72" t="s">
        <v>43</v>
      </c>
      <c r="E60" s="72">
        <v>1065</v>
      </c>
      <c r="F60" s="72" t="s">
        <v>48</v>
      </c>
      <c r="G60" s="72">
        <v>4155</v>
      </c>
      <c r="H60" s="72" t="s">
        <v>49</v>
      </c>
      <c r="I60" s="72" t="s">
        <v>464</v>
      </c>
      <c r="J60" s="72"/>
      <c r="K60" s="72"/>
    </row>
    <row r="61" spans="1:11" x14ac:dyDescent="0.25">
      <c r="A61" s="78">
        <v>9002</v>
      </c>
      <c r="B61" s="78">
        <v>901</v>
      </c>
      <c r="C61" s="79" t="s">
        <v>215</v>
      </c>
      <c r="D61" s="79" t="s">
        <v>50</v>
      </c>
      <c r="E61" s="79">
        <v>170</v>
      </c>
      <c r="F61" s="79" t="s">
        <v>51</v>
      </c>
      <c r="G61" s="79">
        <v>3595</v>
      </c>
      <c r="H61" s="79" t="s">
        <v>268</v>
      </c>
      <c r="I61" s="79" t="s">
        <v>447</v>
      </c>
      <c r="J61" s="79"/>
      <c r="K61" s="79"/>
    </row>
    <row r="62" spans="1:11" x14ac:dyDescent="0.25">
      <c r="A62" s="71">
        <v>9002</v>
      </c>
      <c r="B62" s="71">
        <v>901</v>
      </c>
      <c r="C62" s="72" t="s">
        <v>215</v>
      </c>
      <c r="D62" s="72" t="s">
        <v>43</v>
      </c>
      <c r="E62" s="72">
        <v>1065</v>
      </c>
      <c r="F62" s="72" t="s">
        <v>48</v>
      </c>
      <c r="G62" s="72">
        <v>4155</v>
      </c>
      <c r="H62" s="72" t="s">
        <v>49</v>
      </c>
      <c r="I62" s="72" t="s">
        <v>416</v>
      </c>
      <c r="J62" s="72"/>
      <c r="K62" s="72"/>
    </row>
    <row r="63" spans="1:11" x14ac:dyDescent="0.25">
      <c r="A63" s="78">
        <v>9002</v>
      </c>
      <c r="B63" s="78">
        <v>901</v>
      </c>
      <c r="C63" s="79" t="s">
        <v>215</v>
      </c>
      <c r="D63" s="79" t="s">
        <v>88</v>
      </c>
      <c r="E63" s="79">
        <v>3988</v>
      </c>
      <c r="F63" s="79" t="s">
        <v>288</v>
      </c>
      <c r="G63" s="79">
        <v>3598</v>
      </c>
      <c r="H63" s="79" t="s">
        <v>94</v>
      </c>
      <c r="I63" s="79" t="s">
        <v>465</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466</v>
      </c>
      <c r="B65" s="343"/>
      <c r="C65" s="343"/>
      <c r="D65" s="343"/>
      <c r="E65" s="343"/>
      <c r="F65" s="343"/>
      <c r="G65" s="343"/>
      <c r="H65" s="343"/>
      <c r="I65" s="343"/>
      <c r="J65" s="343"/>
      <c r="K65" s="343"/>
    </row>
    <row r="66" spans="1:11" ht="18" customHeight="1" x14ac:dyDescent="0.25">
      <c r="A66" s="74" t="s">
        <v>19</v>
      </c>
      <c r="B66" s="74" t="s">
        <v>467</v>
      </c>
      <c r="C66" s="75" t="s">
        <v>468</v>
      </c>
      <c r="D66" s="75" t="s">
        <v>469</v>
      </c>
      <c r="E66" s="75" t="s">
        <v>470</v>
      </c>
      <c r="F66" s="75" t="s">
        <v>25</v>
      </c>
      <c r="G66" s="75" t="s">
        <v>377</v>
      </c>
      <c r="H66" s="75"/>
      <c r="I66" s="75"/>
      <c r="J66" s="75"/>
      <c r="K66" s="75"/>
    </row>
    <row r="67" spans="1:11" ht="18" customHeight="1" x14ac:dyDescent="0.25">
      <c r="A67" s="74" t="s">
        <v>471</v>
      </c>
      <c r="B67" s="74" t="s">
        <v>472</v>
      </c>
      <c r="C67" s="75" t="s">
        <v>473</v>
      </c>
      <c r="D67" s="75" t="s">
        <v>474</v>
      </c>
      <c r="E67" s="75" t="s">
        <v>475</v>
      </c>
      <c r="F67" s="75" t="s">
        <v>381</v>
      </c>
      <c r="G67" s="75" t="s">
        <v>380</v>
      </c>
      <c r="H67" s="75"/>
      <c r="I67" s="75"/>
      <c r="J67" s="75"/>
      <c r="K67" s="75"/>
    </row>
    <row r="68" spans="1:11" ht="120" customHeight="1" x14ac:dyDescent="0.25">
      <c r="A68" s="71" t="s">
        <v>476</v>
      </c>
      <c r="B68" s="71" t="s">
        <v>477</v>
      </c>
      <c r="C68" s="72" t="s">
        <v>478</v>
      </c>
      <c r="D68" s="72" t="s">
        <v>479</v>
      </c>
      <c r="E68" s="72" t="s">
        <v>480</v>
      </c>
      <c r="F68" s="72" t="s">
        <v>481</v>
      </c>
      <c r="G68" s="72" t="s">
        <v>482</v>
      </c>
      <c r="H68" s="72"/>
      <c r="I68" s="72"/>
      <c r="J68" s="72"/>
      <c r="K68" s="72"/>
    </row>
    <row r="69" spans="1:11" ht="72" customHeight="1" x14ac:dyDescent="0.25">
      <c r="A69" s="78" t="s">
        <v>483</v>
      </c>
      <c r="B69" s="78" t="s">
        <v>484</v>
      </c>
      <c r="C69" s="79" t="s">
        <v>485</v>
      </c>
      <c r="D69" s="79" t="s">
        <v>486</v>
      </c>
      <c r="E69" s="79" t="s">
        <v>487</v>
      </c>
      <c r="F69" s="79" t="s">
        <v>488</v>
      </c>
      <c r="G69" s="85" t="s">
        <v>418</v>
      </c>
      <c r="H69" s="79"/>
      <c r="I69" s="79"/>
      <c r="J69" s="79"/>
      <c r="K69" s="79"/>
    </row>
    <row r="70" spans="1:11" ht="72" customHeight="1" x14ac:dyDescent="0.25">
      <c r="A70" s="71" t="s">
        <v>489</v>
      </c>
      <c r="B70" s="71" t="s">
        <v>490</v>
      </c>
      <c r="C70" s="72" t="s">
        <v>491</v>
      </c>
      <c r="D70" s="72" t="s">
        <v>382</v>
      </c>
      <c r="E70" s="72" t="s">
        <v>492</v>
      </c>
      <c r="F70" s="72" t="s">
        <v>488</v>
      </c>
      <c r="G70" s="86" t="s">
        <v>418</v>
      </c>
      <c r="H70" s="72"/>
      <c r="I70" s="72"/>
      <c r="J70" s="72"/>
      <c r="K70" s="72"/>
    </row>
    <row r="71" spans="1:11" ht="132" customHeight="1" x14ac:dyDescent="0.25">
      <c r="A71" s="78" t="s">
        <v>493</v>
      </c>
      <c r="B71" s="78" t="s">
        <v>494</v>
      </c>
      <c r="C71" s="79" t="s">
        <v>495</v>
      </c>
      <c r="D71" s="79" t="s">
        <v>496</v>
      </c>
      <c r="E71" s="79" t="s">
        <v>497</v>
      </c>
      <c r="F71" s="79" t="s">
        <v>498</v>
      </c>
      <c r="G71" s="85" t="s">
        <v>418</v>
      </c>
      <c r="H71" s="79"/>
      <c r="I71" s="79"/>
      <c r="J71" s="79"/>
      <c r="K71" s="79"/>
    </row>
    <row r="72" spans="1:11" ht="108" customHeight="1" x14ac:dyDescent="0.25">
      <c r="A72" s="71" t="s">
        <v>499</v>
      </c>
      <c r="B72" s="71" t="s">
        <v>500</v>
      </c>
      <c r="C72" s="72" t="s">
        <v>501</v>
      </c>
      <c r="D72" s="72" t="s">
        <v>382</v>
      </c>
      <c r="E72" s="72" t="s">
        <v>502</v>
      </c>
      <c r="F72" s="77" t="s">
        <v>381</v>
      </c>
      <c r="G72" s="76" t="s">
        <v>399</v>
      </c>
      <c r="H72" s="72"/>
      <c r="I72" s="72"/>
      <c r="J72" s="72"/>
      <c r="K72" s="72"/>
    </row>
    <row r="73" spans="1:11" ht="132" customHeight="1" x14ac:dyDescent="0.25">
      <c r="A73" s="78" t="s">
        <v>503</v>
      </c>
      <c r="B73" s="78" t="s">
        <v>504</v>
      </c>
      <c r="C73" s="79" t="s">
        <v>505</v>
      </c>
      <c r="D73" s="79" t="s">
        <v>382</v>
      </c>
      <c r="E73" s="79" t="s">
        <v>506</v>
      </c>
      <c r="F73" s="79" t="s">
        <v>498</v>
      </c>
      <c r="G73" s="85" t="s">
        <v>418</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507</v>
      </c>
      <c r="B75" s="343"/>
      <c r="C75" s="343"/>
      <c r="D75" s="343"/>
      <c r="E75" s="343"/>
      <c r="F75" s="343"/>
      <c r="G75" s="343"/>
      <c r="H75" s="343"/>
      <c r="I75" s="343"/>
      <c r="J75" s="343"/>
      <c r="K75" s="343"/>
    </row>
    <row r="76" spans="1:11" ht="18" customHeight="1" x14ac:dyDescent="0.25">
      <c r="A76" s="74" t="s">
        <v>18</v>
      </c>
      <c r="B76" s="74" t="s">
        <v>508</v>
      </c>
      <c r="C76" s="75"/>
      <c r="D76" s="75" t="s">
        <v>509</v>
      </c>
      <c r="E76" s="75" t="s">
        <v>510</v>
      </c>
      <c r="F76" s="75"/>
      <c r="G76" s="75"/>
      <c r="H76" s="75" t="s">
        <v>377</v>
      </c>
      <c r="I76" s="75"/>
      <c r="J76" s="75"/>
      <c r="K76" s="75"/>
    </row>
    <row r="77" spans="1:11" ht="132" customHeight="1" x14ac:dyDescent="0.25">
      <c r="A77" s="71">
        <v>4155</v>
      </c>
      <c r="B77" s="71" t="s">
        <v>323</v>
      </c>
      <c r="C77" s="72" t="s">
        <v>511</v>
      </c>
      <c r="D77" s="72" t="s">
        <v>49</v>
      </c>
      <c r="E77" s="72" t="s">
        <v>512</v>
      </c>
      <c r="F77" s="72"/>
      <c r="G77" s="72"/>
      <c r="H77" s="76" t="s">
        <v>380</v>
      </c>
      <c r="I77" s="72"/>
      <c r="J77" s="72"/>
      <c r="K77" s="72"/>
    </row>
    <row r="78" spans="1:11" ht="96" customHeight="1" x14ac:dyDescent="0.25">
      <c r="A78" s="78">
        <v>1065</v>
      </c>
      <c r="B78" s="78" t="s">
        <v>322</v>
      </c>
      <c r="C78" s="79" t="s">
        <v>511</v>
      </c>
      <c r="D78" s="79" t="s">
        <v>48</v>
      </c>
      <c r="E78" s="79" t="s">
        <v>513</v>
      </c>
      <c r="F78" s="79"/>
      <c r="G78" s="79"/>
      <c r="H78" s="85" t="s">
        <v>418</v>
      </c>
      <c r="I78" s="79"/>
      <c r="J78" s="79"/>
      <c r="K78" s="79"/>
    </row>
    <row r="79" spans="1:11" ht="96" customHeight="1" x14ac:dyDescent="0.25">
      <c r="A79" s="71">
        <v>184</v>
      </c>
      <c r="B79" s="71" t="s">
        <v>319</v>
      </c>
      <c r="C79" s="72" t="s">
        <v>511</v>
      </c>
      <c r="D79" s="72" t="s">
        <v>44</v>
      </c>
      <c r="E79" s="72" t="s">
        <v>514</v>
      </c>
      <c r="F79" s="72"/>
      <c r="G79" s="72"/>
      <c r="H79" s="86" t="s">
        <v>418</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515</v>
      </c>
      <c r="B81" s="343"/>
      <c r="C81" s="343"/>
      <c r="D81" s="343"/>
      <c r="E81" s="343"/>
      <c r="F81" s="343"/>
      <c r="G81" s="343"/>
      <c r="H81" s="343"/>
      <c r="I81" s="343"/>
      <c r="J81" s="343"/>
      <c r="K81" s="343"/>
    </row>
    <row r="82" spans="1:11" ht="18" customHeight="1" x14ac:dyDescent="0.25">
      <c r="A82" s="74" t="s">
        <v>372</v>
      </c>
      <c r="B82" s="74" t="s">
        <v>373</v>
      </c>
      <c r="C82" s="75" t="s">
        <v>374</v>
      </c>
      <c r="D82" s="75" t="s">
        <v>516</v>
      </c>
      <c r="E82" s="75" t="s">
        <v>517</v>
      </c>
      <c r="F82" s="75" t="s">
        <v>376</v>
      </c>
      <c r="G82" s="75"/>
      <c r="H82" s="75" t="s">
        <v>377</v>
      </c>
      <c r="I82" s="75"/>
      <c r="J82" s="75"/>
      <c r="K82" s="75"/>
    </row>
    <row r="83" spans="1:11" ht="24" customHeight="1" x14ac:dyDescent="0.25">
      <c r="A83" s="71">
        <v>6337</v>
      </c>
      <c r="B83" s="71">
        <v>166</v>
      </c>
      <c r="C83" s="72" t="s">
        <v>214</v>
      </c>
      <c r="D83" s="72" t="s">
        <v>518</v>
      </c>
      <c r="E83" s="72" t="s">
        <v>519</v>
      </c>
      <c r="F83" s="72" t="s">
        <v>520</v>
      </c>
      <c r="G83" s="72"/>
      <c r="H83" s="76" t="s">
        <v>380</v>
      </c>
      <c r="I83" s="72"/>
      <c r="J83" s="72"/>
      <c r="K83" s="72"/>
    </row>
    <row r="84" spans="1:11" ht="24" customHeight="1" x14ac:dyDescent="0.25">
      <c r="A84" s="78">
        <v>6416</v>
      </c>
      <c r="B84" s="78">
        <v>171</v>
      </c>
      <c r="C84" s="79" t="s">
        <v>213</v>
      </c>
      <c r="D84" s="79" t="s">
        <v>518</v>
      </c>
      <c r="E84" s="79" t="s">
        <v>519</v>
      </c>
      <c r="F84" s="79" t="s">
        <v>520</v>
      </c>
      <c r="G84" s="79"/>
      <c r="H84" s="80" t="s">
        <v>380</v>
      </c>
      <c r="I84" s="79"/>
      <c r="J84" s="79"/>
      <c r="K84" s="79"/>
    </row>
    <row r="85" spans="1:11" ht="24" customHeight="1" x14ac:dyDescent="0.25">
      <c r="A85" s="71">
        <v>6206</v>
      </c>
      <c r="B85" s="71">
        <v>120</v>
      </c>
      <c r="C85" s="72" t="s">
        <v>12</v>
      </c>
      <c r="D85" s="72" t="s">
        <v>518</v>
      </c>
      <c r="E85" s="72" t="s">
        <v>519</v>
      </c>
      <c r="F85" s="72" t="s">
        <v>520</v>
      </c>
      <c r="G85" s="72"/>
      <c r="H85" s="76" t="s">
        <v>380</v>
      </c>
      <c r="I85" s="72"/>
      <c r="J85" s="72"/>
      <c r="K85" s="72"/>
    </row>
    <row r="86" spans="1:11" ht="24" customHeight="1" x14ac:dyDescent="0.25">
      <c r="A86" s="78">
        <v>5814</v>
      </c>
      <c r="B86" s="78">
        <v>95</v>
      </c>
      <c r="C86" s="79" t="s">
        <v>14</v>
      </c>
      <c r="D86" s="79" t="s">
        <v>518</v>
      </c>
      <c r="E86" s="79" t="s">
        <v>519</v>
      </c>
      <c r="F86" s="79" t="s">
        <v>520</v>
      </c>
      <c r="G86" s="79"/>
      <c r="H86" s="80" t="s">
        <v>380</v>
      </c>
      <c r="I86" s="79"/>
      <c r="J86" s="79"/>
      <c r="K86" s="79"/>
    </row>
    <row r="87" spans="1:11" ht="24" customHeight="1" x14ac:dyDescent="0.25">
      <c r="A87" s="71">
        <v>9002</v>
      </c>
      <c r="B87" s="71">
        <v>901</v>
      </c>
      <c r="C87" s="72" t="s">
        <v>215</v>
      </c>
      <c r="D87" s="72" t="s">
        <v>518</v>
      </c>
      <c r="E87" s="72" t="s">
        <v>519</v>
      </c>
      <c r="F87" s="72" t="s">
        <v>520</v>
      </c>
      <c r="G87" s="72"/>
      <c r="H87" s="76" t="s">
        <v>380</v>
      </c>
      <c r="I87" s="72"/>
      <c r="J87" s="72"/>
      <c r="K87" s="72"/>
    </row>
    <row r="88" spans="1:11" ht="24" customHeight="1" x14ac:dyDescent="0.25">
      <c r="A88" s="78">
        <v>4050</v>
      </c>
      <c r="B88" s="78">
        <v>142</v>
      </c>
      <c r="C88" s="79" t="s">
        <v>210</v>
      </c>
      <c r="D88" s="79" t="s">
        <v>518</v>
      </c>
      <c r="E88" s="79" t="s">
        <v>519</v>
      </c>
      <c r="F88" s="79" t="s">
        <v>520</v>
      </c>
      <c r="G88" s="79"/>
      <c r="H88" s="80" t="s">
        <v>380</v>
      </c>
      <c r="I88" s="79"/>
      <c r="J88" s="79"/>
      <c r="K88" s="79"/>
    </row>
    <row r="89" spans="1:11" ht="24" customHeight="1" x14ac:dyDescent="0.25">
      <c r="A89" s="71">
        <v>6312</v>
      </c>
      <c r="B89" s="71">
        <v>157</v>
      </c>
      <c r="C89" s="72" t="s">
        <v>211</v>
      </c>
      <c r="D89" s="72" t="s">
        <v>518</v>
      </c>
      <c r="E89" s="72" t="s">
        <v>519</v>
      </c>
      <c r="F89" s="72" t="s">
        <v>520</v>
      </c>
      <c r="G89" s="72"/>
      <c r="H89" s="76" t="s">
        <v>380</v>
      </c>
      <c r="I89" s="72"/>
      <c r="J89" s="72"/>
      <c r="K89" s="72"/>
    </row>
    <row r="90" spans="1:11" ht="24" customHeight="1" x14ac:dyDescent="0.25">
      <c r="A90" s="78">
        <v>6595</v>
      </c>
      <c r="B90" s="78">
        <v>192</v>
      </c>
      <c r="C90" s="79" t="s">
        <v>208</v>
      </c>
      <c r="D90" s="79" t="s">
        <v>518</v>
      </c>
      <c r="E90" s="79" t="s">
        <v>519</v>
      </c>
      <c r="F90" s="79" t="s">
        <v>520</v>
      </c>
      <c r="G90" s="79"/>
      <c r="H90" s="80" t="s">
        <v>380</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521</v>
      </c>
      <c r="B92" s="343"/>
      <c r="C92" s="343"/>
      <c r="D92" s="343"/>
      <c r="E92" s="343"/>
      <c r="F92" s="343"/>
      <c r="G92" s="343"/>
      <c r="H92" s="343"/>
      <c r="I92" s="343"/>
      <c r="J92" s="343"/>
      <c r="K92" s="343"/>
    </row>
    <row r="93" spans="1:11" x14ac:dyDescent="0.25">
      <c r="A93" s="71" t="s">
        <v>522</v>
      </c>
      <c r="B93" s="71"/>
      <c r="C93" s="72"/>
      <c r="D93" s="72"/>
      <c r="E93" s="72"/>
      <c r="F93" s="72"/>
      <c r="G93" s="72"/>
      <c r="H93" s="72"/>
      <c r="I93" s="72"/>
      <c r="J93" s="72"/>
      <c r="K93" s="72"/>
    </row>
    <row r="94" spans="1:11" ht="18" customHeight="1" x14ac:dyDescent="0.25">
      <c r="A94" s="74" t="s">
        <v>523</v>
      </c>
      <c r="B94" s="74"/>
      <c r="C94" s="75" t="s">
        <v>467</v>
      </c>
      <c r="D94" s="75"/>
      <c r="E94" s="75"/>
      <c r="F94" s="75"/>
      <c r="G94" s="75"/>
      <c r="H94" s="75"/>
      <c r="I94" s="75"/>
      <c r="J94" s="75"/>
      <c r="K94" s="75"/>
    </row>
    <row r="95" spans="1:11" ht="24" customHeight="1" x14ac:dyDescent="0.25">
      <c r="A95" s="71" t="s">
        <v>524</v>
      </c>
      <c r="B95" s="71"/>
      <c r="C95" s="72" t="s">
        <v>525</v>
      </c>
      <c r="D95" s="72"/>
      <c r="E95" s="72"/>
      <c r="F95" s="72"/>
      <c r="G95" s="72"/>
      <c r="H95" s="72"/>
      <c r="I95" s="72"/>
      <c r="J95" s="72"/>
      <c r="K95" s="72"/>
    </row>
    <row r="96" spans="1:11" ht="24" customHeight="1" x14ac:dyDescent="0.25">
      <c r="A96" s="78" t="s">
        <v>526</v>
      </c>
      <c r="B96" s="78"/>
      <c r="C96" s="79" t="s">
        <v>527</v>
      </c>
      <c r="D96" s="79"/>
      <c r="E96" s="79"/>
      <c r="F96" s="79"/>
      <c r="G96" s="79"/>
      <c r="H96" s="79"/>
      <c r="I96" s="79"/>
      <c r="J96" s="79"/>
      <c r="K96" s="79"/>
    </row>
    <row r="97" spans="1:11" x14ac:dyDescent="0.25">
      <c r="A97" s="71" t="s">
        <v>528</v>
      </c>
      <c r="B97" s="71"/>
      <c r="C97" s="72" t="s">
        <v>529</v>
      </c>
      <c r="D97" s="72"/>
      <c r="E97" s="72"/>
      <c r="F97" s="72"/>
      <c r="G97" s="72"/>
      <c r="H97" s="72"/>
      <c r="I97" s="72"/>
      <c r="J97" s="72"/>
      <c r="K97" s="72"/>
    </row>
    <row r="98" spans="1:11" ht="24" customHeight="1" x14ac:dyDescent="0.25">
      <c r="A98" s="78" t="s">
        <v>530</v>
      </c>
      <c r="B98" s="78"/>
      <c r="C98" s="79" t="s">
        <v>531</v>
      </c>
      <c r="D98" s="79"/>
      <c r="E98" s="79"/>
      <c r="F98" s="79"/>
      <c r="G98" s="79"/>
      <c r="H98" s="79"/>
      <c r="I98" s="79"/>
      <c r="J98" s="79"/>
      <c r="K98" s="79"/>
    </row>
    <row r="99" spans="1:11" ht="24" customHeight="1" x14ac:dyDescent="0.25">
      <c r="A99" s="71" t="s">
        <v>532</v>
      </c>
      <c r="B99" s="71"/>
      <c r="C99" s="72" t="s">
        <v>533</v>
      </c>
      <c r="D99" s="72"/>
      <c r="E99" s="72"/>
      <c r="F99" s="72"/>
      <c r="G99" s="72"/>
      <c r="H99" s="72"/>
      <c r="I99" s="72"/>
      <c r="J99" s="72"/>
      <c r="K99" s="72"/>
    </row>
    <row r="100" spans="1:11" ht="36" customHeight="1" x14ac:dyDescent="0.25">
      <c r="A100" s="78" t="s">
        <v>534</v>
      </c>
      <c r="B100" s="78"/>
      <c r="C100" s="79" t="s">
        <v>535</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536</v>
      </c>
      <c r="B102" s="74" t="s">
        <v>537</v>
      </c>
      <c r="C102" s="75" t="s">
        <v>538</v>
      </c>
      <c r="D102" s="75"/>
      <c r="E102" s="75"/>
      <c r="F102" s="75"/>
      <c r="G102" s="75"/>
      <c r="H102" s="75" t="s">
        <v>377</v>
      </c>
      <c r="I102" s="75"/>
      <c r="J102" s="75"/>
      <c r="K102" s="75"/>
    </row>
    <row r="103" spans="1:11" ht="36" customHeight="1" x14ac:dyDescent="0.25">
      <c r="A103" s="71" t="s">
        <v>476</v>
      </c>
      <c r="B103" s="71" t="s">
        <v>539</v>
      </c>
      <c r="C103" s="72" t="s">
        <v>540</v>
      </c>
      <c r="D103" s="72"/>
      <c r="E103" s="72"/>
      <c r="F103" s="72"/>
      <c r="G103" s="72"/>
      <c r="H103" s="76" t="s">
        <v>380</v>
      </c>
      <c r="I103" s="72"/>
      <c r="J103" s="72"/>
      <c r="K103" s="72"/>
    </row>
    <row r="104" spans="1:11" ht="24" customHeight="1" x14ac:dyDescent="0.25">
      <c r="A104" s="78" t="s">
        <v>541</v>
      </c>
      <c r="B104" s="78" t="s">
        <v>542</v>
      </c>
      <c r="C104" s="79" t="s">
        <v>543</v>
      </c>
      <c r="D104" s="79"/>
      <c r="E104" s="79"/>
      <c r="F104" s="79"/>
      <c r="G104" s="79"/>
      <c r="H104" s="85" t="s">
        <v>418</v>
      </c>
      <c r="I104" s="79"/>
      <c r="J104" s="79"/>
      <c r="K104" s="79"/>
    </row>
    <row r="105" spans="1:11" ht="24" customHeight="1" x14ac:dyDescent="0.25">
      <c r="A105" s="71" t="s">
        <v>544</v>
      </c>
      <c r="B105" s="71" t="s">
        <v>545</v>
      </c>
      <c r="C105" s="72" t="s">
        <v>546</v>
      </c>
      <c r="D105" s="72"/>
      <c r="E105" s="72"/>
      <c r="F105" s="72"/>
      <c r="G105" s="72"/>
      <c r="H105" s="86" t="s">
        <v>418</v>
      </c>
      <c r="I105" s="72"/>
      <c r="J105" s="72"/>
      <c r="K105" s="72"/>
    </row>
    <row r="106" spans="1:11" ht="24" customHeight="1" x14ac:dyDescent="0.25">
      <c r="A106" s="78" t="s">
        <v>547</v>
      </c>
      <c r="B106" s="78" t="s">
        <v>548</v>
      </c>
      <c r="C106" s="79" t="s">
        <v>549</v>
      </c>
      <c r="D106" s="79"/>
      <c r="E106" s="79"/>
      <c r="F106" s="79"/>
      <c r="G106" s="79"/>
      <c r="H106" s="79" t="s">
        <v>482</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550</v>
      </c>
      <c r="B108" s="74" t="s">
        <v>18</v>
      </c>
      <c r="C108" s="75" t="s">
        <v>551</v>
      </c>
      <c r="D108" s="75"/>
      <c r="E108" s="75" t="s">
        <v>552</v>
      </c>
      <c r="F108" s="75"/>
      <c r="G108" s="75" t="s">
        <v>553</v>
      </c>
      <c r="H108" s="75" t="s">
        <v>554</v>
      </c>
      <c r="I108" s="75" t="s">
        <v>555</v>
      </c>
      <c r="J108" s="75"/>
      <c r="K108" s="75"/>
    </row>
    <row r="109" spans="1:11" x14ac:dyDescent="0.25">
      <c r="A109" s="71">
        <v>1</v>
      </c>
      <c r="B109" s="71">
        <v>3734</v>
      </c>
      <c r="C109" s="72" t="s">
        <v>336</v>
      </c>
      <c r="D109" s="72"/>
      <c r="E109" s="72">
        <v>55</v>
      </c>
      <c r="F109" s="72"/>
      <c r="G109" s="72">
        <v>4.58</v>
      </c>
      <c r="H109" s="72">
        <v>6.38</v>
      </c>
      <c r="I109" s="72" t="s">
        <v>556</v>
      </c>
      <c r="J109" s="72"/>
      <c r="K109" s="72"/>
    </row>
    <row r="110" spans="1:11" x14ac:dyDescent="0.25">
      <c r="A110" s="78">
        <v>2</v>
      </c>
      <c r="B110" s="78">
        <v>6038</v>
      </c>
      <c r="C110" s="79" t="s">
        <v>345</v>
      </c>
      <c r="D110" s="79"/>
      <c r="E110" s="79">
        <v>25</v>
      </c>
      <c r="F110" s="79"/>
      <c r="G110" s="79">
        <v>2.08</v>
      </c>
      <c r="H110" s="79">
        <v>2.9</v>
      </c>
      <c r="I110" s="79" t="s">
        <v>557</v>
      </c>
      <c r="J110" s="79"/>
      <c r="K110" s="79"/>
    </row>
    <row r="111" spans="1:11" x14ac:dyDescent="0.25">
      <c r="A111" s="71">
        <v>3</v>
      </c>
      <c r="B111" s="71">
        <v>3858</v>
      </c>
      <c r="C111" s="72" t="s">
        <v>340</v>
      </c>
      <c r="D111" s="72"/>
      <c r="E111" s="89">
        <v>24.1</v>
      </c>
      <c r="F111" s="72"/>
      <c r="G111" s="89">
        <v>2.0099999999999998</v>
      </c>
      <c r="H111" s="72">
        <v>2.8</v>
      </c>
      <c r="I111" s="72" t="s">
        <v>558</v>
      </c>
      <c r="J111" s="72"/>
      <c r="K111" s="72"/>
    </row>
    <row r="112" spans="1:11" x14ac:dyDescent="0.25">
      <c r="A112" s="78">
        <v>4</v>
      </c>
      <c r="B112" s="78">
        <v>3754</v>
      </c>
      <c r="C112" s="79" t="s">
        <v>283</v>
      </c>
      <c r="D112" s="79"/>
      <c r="E112" s="90">
        <v>23</v>
      </c>
      <c r="F112" s="79"/>
      <c r="G112" s="90">
        <v>1.92</v>
      </c>
      <c r="H112" s="79">
        <v>2.67</v>
      </c>
      <c r="I112" s="79" t="s">
        <v>559</v>
      </c>
      <c r="J112" s="79"/>
      <c r="K112" s="79"/>
    </row>
    <row r="113" spans="1:11" x14ac:dyDescent="0.25">
      <c r="A113" s="71">
        <v>5</v>
      </c>
      <c r="B113" s="71">
        <v>3755</v>
      </c>
      <c r="C113" s="72" t="s">
        <v>338</v>
      </c>
      <c r="D113" s="72"/>
      <c r="E113" s="89">
        <v>21</v>
      </c>
      <c r="F113" s="72"/>
      <c r="G113" s="89">
        <v>1.75</v>
      </c>
      <c r="H113" s="72">
        <v>2.44</v>
      </c>
      <c r="I113" s="72" t="s">
        <v>560</v>
      </c>
      <c r="J113" s="72"/>
      <c r="K113" s="72"/>
    </row>
    <row r="114" spans="1:11" x14ac:dyDescent="0.25">
      <c r="A114" s="78">
        <v>6</v>
      </c>
      <c r="B114" s="78">
        <v>1928</v>
      </c>
      <c r="C114" s="79" t="s">
        <v>561</v>
      </c>
      <c r="D114" s="79"/>
      <c r="E114" s="90">
        <v>20</v>
      </c>
      <c r="F114" s="79"/>
      <c r="G114" s="90">
        <v>1.67</v>
      </c>
      <c r="H114" s="79">
        <v>2.3199999999999998</v>
      </c>
      <c r="I114" s="79" t="s">
        <v>562</v>
      </c>
      <c r="J114" s="79"/>
      <c r="K114" s="79"/>
    </row>
    <row r="115" spans="1:11" x14ac:dyDescent="0.25">
      <c r="A115" s="71">
        <v>7</v>
      </c>
      <c r="B115" s="71">
        <v>7094</v>
      </c>
      <c r="C115" s="72" t="s">
        <v>563</v>
      </c>
      <c r="D115" s="72"/>
      <c r="E115" s="89">
        <v>20</v>
      </c>
      <c r="F115" s="72"/>
      <c r="G115" s="89">
        <v>1.67</v>
      </c>
      <c r="H115" s="72">
        <v>2.3199999999999998</v>
      </c>
      <c r="I115" s="72" t="s">
        <v>562</v>
      </c>
      <c r="J115" s="72"/>
      <c r="K115" s="72"/>
    </row>
    <row r="116" spans="1:11" x14ac:dyDescent="0.25">
      <c r="A116" s="78">
        <v>8</v>
      </c>
      <c r="B116" s="78">
        <v>3736</v>
      </c>
      <c r="C116" s="79" t="s">
        <v>337</v>
      </c>
      <c r="D116" s="79"/>
      <c r="E116" s="90">
        <v>13.8</v>
      </c>
      <c r="F116" s="79"/>
      <c r="G116" s="90">
        <v>1.1499999999999999</v>
      </c>
      <c r="H116" s="79">
        <v>1.6</v>
      </c>
      <c r="I116" s="79" t="s">
        <v>564</v>
      </c>
      <c r="J116" s="79"/>
      <c r="K116" s="79"/>
    </row>
    <row r="117" spans="1:11" x14ac:dyDescent="0.25">
      <c r="A117" s="71">
        <v>9</v>
      </c>
      <c r="B117" s="71">
        <v>3955</v>
      </c>
      <c r="C117" s="72" t="s">
        <v>285</v>
      </c>
      <c r="D117" s="72"/>
      <c r="E117" s="89">
        <v>11</v>
      </c>
      <c r="F117" s="72"/>
      <c r="G117" s="89">
        <v>0.92</v>
      </c>
      <c r="H117" s="72">
        <v>1.28</v>
      </c>
      <c r="I117" s="72" t="s">
        <v>565</v>
      </c>
      <c r="J117" s="72"/>
      <c r="K117" s="72"/>
    </row>
    <row r="118" spans="1:11" x14ac:dyDescent="0.25">
      <c r="A118" s="78">
        <v>10</v>
      </c>
      <c r="B118" s="78">
        <v>7398</v>
      </c>
      <c r="C118" s="79" t="s">
        <v>350</v>
      </c>
      <c r="D118" s="79"/>
      <c r="E118" s="90">
        <v>9</v>
      </c>
      <c r="F118" s="79"/>
      <c r="G118" s="90">
        <v>0.75</v>
      </c>
      <c r="H118" s="79">
        <v>1.04</v>
      </c>
      <c r="I118" s="79" t="s">
        <v>566</v>
      </c>
      <c r="J118" s="79"/>
      <c r="K118" s="79"/>
    </row>
    <row r="119" spans="1:11" x14ac:dyDescent="0.25">
      <c r="A119" s="71" t="s">
        <v>567</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568</v>
      </c>
      <c r="B1" s="343"/>
      <c r="C1" s="343"/>
      <c r="D1" s="343"/>
      <c r="E1" s="343"/>
      <c r="F1" s="343"/>
      <c r="G1" s="343"/>
      <c r="H1" s="343"/>
    </row>
    <row r="2" spans="1:12" ht="15.75" customHeight="1" x14ac:dyDescent="0.25">
      <c r="A2" s="349" t="s">
        <v>569</v>
      </c>
      <c r="B2" s="343"/>
      <c r="C2" s="343"/>
      <c r="D2" s="343"/>
      <c r="E2" s="343"/>
      <c r="F2" s="343"/>
      <c r="G2" s="343"/>
      <c r="H2" s="343"/>
    </row>
    <row r="3" spans="1:12" ht="19.5" customHeight="1" x14ac:dyDescent="0.25">
      <c r="A3" s="69" t="s">
        <v>570</v>
      </c>
      <c r="B3" s="69" t="s">
        <v>372</v>
      </c>
      <c r="C3" s="69" t="s">
        <v>3</v>
      </c>
      <c r="D3" s="69" t="s">
        <v>571</v>
      </c>
      <c r="E3" s="69" t="s">
        <v>572</v>
      </c>
      <c r="F3" s="69" t="s">
        <v>573</v>
      </c>
      <c r="G3" s="69" t="s">
        <v>25</v>
      </c>
      <c r="H3" s="69" t="s">
        <v>574</v>
      </c>
      <c r="I3" s="69" t="s">
        <v>575</v>
      </c>
    </row>
    <row r="4" spans="1:12" ht="15" customHeight="1" x14ac:dyDescent="0.25">
      <c r="A4" s="276">
        <v>1</v>
      </c>
      <c r="B4" s="276">
        <v>6206</v>
      </c>
      <c r="C4" s="277" t="s">
        <v>11</v>
      </c>
      <c r="D4" s="277" t="s">
        <v>12</v>
      </c>
      <c r="E4" s="276" t="s">
        <v>576</v>
      </c>
      <c r="F4" s="278">
        <v>46000</v>
      </c>
      <c r="G4" s="276" t="s">
        <v>577</v>
      </c>
      <c r="H4" s="279" t="s">
        <v>578</v>
      </c>
      <c r="I4" s="280"/>
      <c r="J4" s="281"/>
      <c r="K4" s="281"/>
      <c r="L4" s="281"/>
    </row>
    <row r="5" spans="1:12" ht="15" customHeight="1" x14ac:dyDescent="0.25">
      <c r="A5" s="276">
        <v>2</v>
      </c>
      <c r="B5" s="276">
        <v>4050</v>
      </c>
      <c r="C5" s="277" t="s">
        <v>209</v>
      </c>
      <c r="D5" s="277" t="s">
        <v>210</v>
      </c>
      <c r="E5" s="276" t="s">
        <v>576</v>
      </c>
      <c r="F5" s="278">
        <v>9450</v>
      </c>
      <c r="G5" s="276" t="s">
        <v>577</v>
      </c>
      <c r="H5" s="279" t="s">
        <v>578</v>
      </c>
      <c r="I5" s="280"/>
      <c r="J5" s="281"/>
      <c r="K5" s="281"/>
      <c r="L5" s="281"/>
    </row>
    <row r="6" spans="1:12" ht="15" customHeight="1" x14ac:dyDescent="0.25">
      <c r="A6" s="276">
        <v>3</v>
      </c>
      <c r="B6" s="276">
        <v>6337</v>
      </c>
      <c r="C6" s="277" t="s">
        <v>212</v>
      </c>
      <c r="D6" s="277" t="s">
        <v>214</v>
      </c>
      <c r="E6" s="276" t="s">
        <v>576</v>
      </c>
      <c r="F6" s="278">
        <v>15680</v>
      </c>
      <c r="G6" s="276" t="s">
        <v>577</v>
      </c>
      <c r="H6" s="279" t="s">
        <v>578</v>
      </c>
      <c r="I6" s="280"/>
      <c r="J6" s="281"/>
      <c r="K6" s="281"/>
      <c r="L6" s="281"/>
    </row>
    <row r="7" spans="1:12" ht="15" customHeight="1" x14ac:dyDescent="0.25">
      <c r="A7" s="276">
        <v>4</v>
      </c>
      <c r="B7" s="276">
        <v>6416</v>
      </c>
      <c r="C7" s="277" t="s">
        <v>212</v>
      </c>
      <c r="D7" s="277" t="s">
        <v>213</v>
      </c>
      <c r="E7" s="276" t="s">
        <v>576</v>
      </c>
      <c r="F7" s="278">
        <v>15435</v>
      </c>
      <c r="G7" s="276" t="s">
        <v>577</v>
      </c>
      <c r="H7" s="279" t="s">
        <v>578</v>
      </c>
      <c r="I7" s="280"/>
      <c r="J7" s="281"/>
      <c r="K7" s="281"/>
      <c r="L7" s="281"/>
    </row>
    <row r="8" spans="1:12" ht="15" customHeight="1" x14ac:dyDescent="0.25">
      <c r="A8" s="276">
        <v>5</v>
      </c>
      <c r="B8" s="276">
        <v>5782</v>
      </c>
      <c r="C8" s="277" t="s">
        <v>219</v>
      </c>
      <c r="D8" s="277" t="s">
        <v>220</v>
      </c>
      <c r="E8" s="276" t="s">
        <v>579</v>
      </c>
      <c r="F8" s="278">
        <v>74464</v>
      </c>
      <c r="G8" s="276" t="s">
        <v>577</v>
      </c>
      <c r="H8" s="279" t="s">
        <v>578</v>
      </c>
      <c r="I8" s="280"/>
      <c r="J8" s="281"/>
      <c r="K8" s="281"/>
      <c r="L8" s="281"/>
    </row>
    <row r="9" spans="1:12" ht="15" customHeight="1" x14ac:dyDescent="0.25">
      <c r="A9" s="276">
        <v>6</v>
      </c>
      <c r="B9" s="276">
        <v>6531</v>
      </c>
      <c r="C9" s="277" t="s">
        <v>221</v>
      </c>
      <c r="D9" s="277" t="s">
        <v>223</v>
      </c>
      <c r="E9" s="276" t="s">
        <v>580</v>
      </c>
      <c r="F9" s="278">
        <v>4320</v>
      </c>
      <c r="G9" s="276" t="s">
        <v>577</v>
      </c>
      <c r="H9" s="279" t="s">
        <v>578</v>
      </c>
      <c r="I9" s="280"/>
      <c r="J9" s="281"/>
      <c r="K9" s="281"/>
      <c r="L9" s="281"/>
    </row>
    <row r="10" spans="1:12" ht="15" customHeight="1" x14ac:dyDescent="0.25">
      <c r="A10" s="276">
        <v>7</v>
      </c>
      <c r="B10" s="276">
        <v>6530</v>
      </c>
      <c r="C10" s="277" t="s">
        <v>221</v>
      </c>
      <c r="D10" s="277" t="s">
        <v>222</v>
      </c>
      <c r="E10" s="276" t="s">
        <v>580</v>
      </c>
      <c r="F10" s="278">
        <v>4500</v>
      </c>
      <c r="G10" s="276" t="s">
        <v>577</v>
      </c>
      <c r="H10" s="279" t="s">
        <v>578</v>
      </c>
      <c r="I10" s="280"/>
      <c r="J10" s="281"/>
      <c r="K10" s="281"/>
      <c r="L10" s="281"/>
    </row>
    <row r="11" spans="1:12" ht="15" customHeight="1" x14ac:dyDescent="0.25">
      <c r="A11" s="276">
        <v>8</v>
      </c>
      <c r="B11" s="276">
        <v>3726</v>
      </c>
      <c r="C11" s="277" t="s">
        <v>128</v>
      </c>
      <c r="D11" s="277" t="s">
        <v>197</v>
      </c>
      <c r="E11" s="276" t="s">
        <v>581</v>
      </c>
      <c r="F11" s="278">
        <v>46000</v>
      </c>
      <c r="G11" s="276" t="s">
        <v>577</v>
      </c>
      <c r="H11" s="279" t="s">
        <v>582</v>
      </c>
      <c r="I11" s="280"/>
      <c r="J11" s="281"/>
      <c r="K11" s="281"/>
      <c r="L11" s="281"/>
    </row>
    <row r="12" spans="1:12" ht="15" customHeight="1" x14ac:dyDescent="0.25">
      <c r="A12" s="276">
        <v>9</v>
      </c>
      <c r="B12" s="276">
        <v>3447</v>
      </c>
      <c r="C12" s="277" t="s">
        <v>128</v>
      </c>
      <c r="D12" s="277" t="s">
        <v>196</v>
      </c>
      <c r="E12" s="276" t="s">
        <v>581</v>
      </c>
      <c r="F12" s="278">
        <v>16000</v>
      </c>
      <c r="G12" s="276" t="s">
        <v>577</v>
      </c>
      <c r="H12" s="279" t="s">
        <v>583</v>
      </c>
      <c r="I12" s="280"/>
      <c r="J12" s="281"/>
      <c r="K12" s="281"/>
      <c r="L12" s="281"/>
    </row>
    <row r="13" spans="1:12" ht="15" customHeight="1" x14ac:dyDescent="0.25">
      <c r="A13" s="276">
        <v>10</v>
      </c>
      <c r="B13" s="276">
        <v>8001</v>
      </c>
      <c r="C13" s="277" t="s">
        <v>135</v>
      </c>
      <c r="D13" s="277" t="s">
        <v>178</v>
      </c>
      <c r="E13" s="276" t="s">
        <v>584</v>
      </c>
      <c r="F13" s="278">
        <v>20240</v>
      </c>
      <c r="G13" s="276" t="s">
        <v>577</v>
      </c>
      <c r="H13" s="279" t="s">
        <v>585</v>
      </c>
      <c r="I13" s="280"/>
      <c r="J13" s="281"/>
      <c r="K13" s="281"/>
      <c r="L13" s="281"/>
    </row>
    <row r="14" spans="1:12" ht="15" customHeight="1" x14ac:dyDescent="0.25">
      <c r="A14" s="282">
        <v>11</v>
      </c>
      <c r="B14" s="282">
        <v>6530</v>
      </c>
      <c r="C14" s="283" t="s">
        <v>221</v>
      </c>
      <c r="D14" s="283" t="s">
        <v>222</v>
      </c>
      <c r="E14" s="282" t="s">
        <v>580</v>
      </c>
      <c r="F14" s="284">
        <v>11340</v>
      </c>
      <c r="G14" s="282" t="s">
        <v>586</v>
      </c>
      <c r="H14" s="285" t="s">
        <v>587</v>
      </c>
      <c r="I14" s="280"/>
      <c r="J14" s="281"/>
      <c r="K14" s="281"/>
      <c r="L14" s="281"/>
    </row>
    <row r="15" spans="1:12" ht="15" customHeight="1" x14ac:dyDescent="0.25">
      <c r="A15" s="276">
        <v>12</v>
      </c>
      <c r="B15" s="276">
        <v>5699</v>
      </c>
      <c r="C15" s="277" t="s">
        <v>128</v>
      </c>
      <c r="D15" s="277" t="s">
        <v>189</v>
      </c>
      <c r="E15" s="276" t="s">
        <v>588</v>
      </c>
      <c r="F15" s="278">
        <v>14790</v>
      </c>
      <c r="G15" s="276" t="s">
        <v>577</v>
      </c>
      <c r="H15" s="279" t="s">
        <v>589</v>
      </c>
      <c r="I15" s="280"/>
      <c r="J15" s="281"/>
      <c r="K15" s="281"/>
      <c r="L15" s="281"/>
    </row>
    <row r="16" spans="1:12" ht="15" customHeight="1" x14ac:dyDescent="0.25">
      <c r="A16" s="276">
        <v>13</v>
      </c>
      <c r="B16" s="276">
        <v>5731</v>
      </c>
      <c r="C16" s="277" t="s">
        <v>128</v>
      </c>
      <c r="D16" s="277" t="s">
        <v>191</v>
      </c>
      <c r="E16" s="276" t="s">
        <v>588</v>
      </c>
      <c r="F16" s="278">
        <v>13770</v>
      </c>
      <c r="G16" s="276" t="s">
        <v>577</v>
      </c>
      <c r="H16" s="279" t="s">
        <v>589</v>
      </c>
      <c r="I16" s="280"/>
      <c r="J16" s="281"/>
      <c r="K16" s="281"/>
      <c r="L16" s="281"/>
    </row>
    <row r="17" spans="1:12" ht="15" customHeight="1" x14ac:dyDescent="0.25">
      <c r="A17" s="282">
        <v>14</v>
      </c>
      <c r="B17" s="282">
        <v>6624</v>
      </c>
      <c r="C17" s="283" t="s">
        <v>128</v>
      </c>
      <c r="D17" s="283" t="s">
        <v>185</v>
      </c>
      <c r="E17" s="282" t="s">
        <v>590</v>
      </c>
      <c r="F17" s="284">
        <v>15876</v>
      </c>
      <c r="G17" s="282" t="s">
        <v>586</v>
      </c>
      <c r="H17" s="285" t="s">
        <v>589</v>
      </c>
      <c r="I17" s="280"/>
      <c r="J17" s="281"/>
      <c r="K17" s="281"/>
      <c r="L17" s="281"/>
    </row>
    <row r="18" spans="1:12" ht="15" customHeight="1" x14ac:dyDescent="0.25">
      <c r="A18" s="282">
        <v>15</v>
      </c>
      <c r="B18" s="282">
        <v>5731</v>
      </c>
      <c r="C18" s="283" t="s">
        <v>128</v>
      </c>
      <c r="D18" s="283" t="s">
        <v>191</v>
      </c>
      <c r="E18" s="282" t="s">
        <v>588</v>
      </c>
      <c r="F18" s="284">
        <v>33660</v>
      </c>
      <c r="G18" s="282" t="s">
        <v>586</v>
      </c>
      <c r="H18" s="285" t="s">
        <v>589</v>
      </c>
      <c r="I18" s="280"/>
      <c r="J18" s="281"/>
      <c r="K18" s="281"/>
      <c r="L18" s="281"/>
    </row>
    <row r="19" spans="1:12" ht="15" customHeight="1" x14ac:dyDescent="0.25">
      <c r="A19" s="286"/>
      <c r="B19" s="286"/>
      <c r="C19" s="287"/>
      <c r="D19" s="287"/>
      <c r="E19" s="286"/>
      <c r="F19" s="288"/>
      <c r="G19" s="286"/>
      <c r="H19" s="289"/>
      <c r="I19" s="280"/>
      <c r="J19" s="281"/>
      <c r="K19" s="281"/>
      <c r="L19" s="281"/>
    </row>
    <row r="20" spans="1:12" ht="15" customHeight="1" x14ac:dyDescent="0.25">
      <c r="A20" s="286"/>
      <c r="B20" s="286"/>
      <c r="C20" s="287"/>
      <c r="D20" s="287"/>
      <c r="E20" s="286"/>
      <c r="F20" s="288"/>
      <c r="G20" s="286"/>
      <c r="H20" s="289"/>
      <c r="I20" s="280"/>
      <c r="J20" s="281"/>
      <c r="K20" s="281"/>
      <c r="L20" s="281"/>
    </row>
    <row r="21" spans="1:12" ht="15" customHeight="1" x14ac:dyDescent="0.25">
      <c r="A21" s="286"/>
      <c r="B21" s="286"/>
      <c r="C21" s="287"/>
      <c r="D21" s="287"/>
      <c r="E21" s="286"/>
      <c r="F21" s="288"/>
      <c r="G21" s="286"/>
      <c r="H21" s="289"/>
      <c r="I21" s="280"/>
      <c r="J21" s="281"/>
      <c r="K21" s="281"/>
      <c r="L21" s="281"/>
    </row>
    <row r="22" spans="1:12" ht="15" customHeight="1" x14ac:dyDescent="0.25">
      <c r="A22" s="286"/>
      <c r="B22" s="286"/>
      <c r="C22" s="287"/>
      <c r="D22" s="287"/>
      <c r="E22" s="286"/>
      <c r="F22" s="288"/>
      <c r="G22" s="286"/>
      <c r="H22" s="289"/>
      <c r="I22" s="280"/>
      <c r="J22" s="281"/>
      <c r="K22" s="281"/>
      <c r="L22" s="281"/>
    </row>
    <row r="23" spans="1:12" ht="15" customHeight="1" x14ac:dyDescent="0.25">
      <c r="A23" s="286"/>
      <c r="B23" s="286"/>
      <c r="C23" s="287"/>
      <c r="D23" s="287"/>
      <c r="E23" s="286"/>
      <c r="F23" s="288"/>
      <c r="G23" s="286"/>
      <c r="H23" s="289"/>
      <c r="I23" s="280"/>
      <c r="J23" s="281"/>
      <c r="K23" s="281"/>
      <c r="L23" s="281"/>
    </row>
    <row r="24" spans="1:12" ht="15" customHeight="1" x14ac:dyDescent="0.25">
      <c r="A24" s="286"/>
      <c r="B24" s="286"/>
      <c r="C24" s="287"/>
      <c r="D24" s="287"/>
      <c r="E24" s="286"/>
      <c r="F24" s="288"/>
      <c r="G24" s="286"/>
      <c r="H24" s="289"/>
      <c r="I24" s="280"/>
      <c r="J24" s="281"/>
      <c r="K24" s="281"/>
      <c r="L24" s="281"/>
    </row>
    <row r="25" spans="1:12" ht="15" customHeight="1" x14ac:dyDescent="0.25">
      <c r="A25" s="286"/>
      <c r="B25" s="286"/>
      <c r="C25" s="287"/>
      <c r="D25" s="287"/>
      <c r="E25" s="286"/>
      <c r="F25" s="288"/>
      <c r="G25" s="286"/>
      <c r="H25" s="289"/>
      <c r="I25" s="280"/>
      <c r="J25" s="281"/>
      <c r="K25" s="281"/>
      <c r="L25" s="281"/>
    </row>
    <row r="26" spans="1:12" ht="15" customHeight="1" x14ac:dyDescent="0.25">
      <c r="A26" s="286"/>
      <c r="B26" s="286"/>
      <c r="C26" s="287"/>
      <c r="D26" s="287"/>
      <c r="E26" s="286"/>
      <c r="F26" s="288"/>
      <c r="G26" s="286"/>
      <c r="H26" s="289"/>
      <c r="I26" s="280"/>
      <c r="J26" s="281"/>
      <c r="K26" s="281"/>
      <c r="L26" s="281"/>
    </row>
    <row r="27" spans="1:12" ht="15" customHeight="1" x14ac:dyDescent="0.25">
      <c r="A27" s="286"/>
      <c r="B27" s="286"/>
      <c r="C27" s="287"/>
      <c r="D27" s="287"/>
      <c r="E27" s="286"/>
      <c r="F27" s="288"/>
      <c r="G27" s="286"/>
      <c r="H27" s="289"/>
      <c r="I27" s="280"/>
      <c r="J27" s="281"/>
      <c r="K27" s="281"/>
      <c r="L27" s="281"/>
    </row>
    <row r="28" spans="1:12" ht="15" customHeight="1" x14ac:dyDescent="0.25">
      <c r="A28" s="281"/>
      <c r="B28" s="281"/>
      <c r="C28" s="281"/>
      <c r="D28" s="281"/>
      <c r="E28" s="281"/>
      <c r="F28" s="281"/>
      <c r="G28" s="281"/>
      <c r="H28" s="281"/>
      <c r="I28" s="290"/>
      <c r="J28" s="281"/>
      <c r="K28" s="281"/>
      <c r="L28" s="281"/>
    </row>
    <row r="29" spans="1:12" ht="15" customHeight="1" x14ac:dyDescent="0.25">
      <c r="A29" s="281"/>
      <c r="B29" s="281"/>
      <c r="C29" s="281"/>
      <c r="D29" s="281"/>
      <c r="E29" s="281"/>
      <c r="F29" s="281"/>
      <c r="G29" s="281"/>
      <c r="H29" s="281"/>
      <c r="I29" s="290"/>
      <c r="J29" s="281"/>
      <c r="K29" s="281"/>
      <c r="L29" s="281"/>
    </row>
    <row r="30" spans="1:12" ht="15" customHeight="1" x14ac:dyDescent="0.25">
      <c r="A30" s="281"/>
      <c r="B30" s="281"/>
      <c r="C30" s="281"/>
      <c r="D30" s="281"/>
      <c r="E30" s="281"/>
      <c r="F30" s="281"/>
      <c r="G30" s="281"/>
      <c r="H30" s="281"/>
      <c r="I30" s="290"/>
      <c r="J30" s="281"/>
      <c r="K30" s="281"/>
      <c r="L30" s="281"/>
    </row>
    <row r="31" spans="1:12" ht="15" customHeight="1" x14ac:dyDescent="0.25">
      <c r="A31" s="281"/>
      <c r="B31" s="281"/>
      <c r="C31" s="281"/>
      <c r="D31" s="281"/>
      <c r="E31" s="281"/>
      <c r="F31" s="281"/>
      <c r="G31" s="281"/>
      <c r="H31" s="281"/>
      <c r="I31" s="290"/>
      <c r="J31" s="281"/>
      <c r="K31" s="281"/>
      <c r="L31" s="281"/>
    </row>
    <row r="32" spans="1:12" ht="15" customHeight="1" x14ac:dyDescent="0.25">
      <c r="A32" s="281"/>
      <c r="B32" s="281"/>
      <c r="C32" s="281"/>
      <c r="D32" s="281"/>
      <c r="E32" s="281"/>
      <c r="F32" s="281"/>
      <c r="G32" s="281"/>
      <c r="H32" s="281"/>
      <c r="I32" s="290"/>
      <c r="J32" s="281"/>
      <c r="K32" s="281"/>
      <c r="L32" s="281"/>
    </row>
    <row r="33" spans="1:12" ht="15" customHeight="1" x14ac:dyDescent="0.25">
      <c r="A33" s="281"/>
      <c r="B33" s="281"/>
      <c r="C33" s="281"/>
      <c r="D33" s="281"/>
      <c r="E33" s="281"/>
      <c r="F33" s="281"/>
      <c r="G33" s="281"/>
      <c r="H33" s="281"/>
      <c r="I33" s="290"/>
      <c r="J33" s="281"/>
      <c r="K33" s="281"/>
      <c r="L33" s="281"/>
    </row>
    <row r="34" spans="1:12" ht="15" customHeight="1" x14ac:dyDescent="0.25">
      <c r="A34" s="281"/>
      <c r="B34" s="281"/>
      <c r="C34" s="281"/>
      <c r="D34" s="281"/>
      <c r="E34" s="281"/>
      <c r="F34" s="281"/>
      <c r="G34" s="281"/>
      <c r="H34" s="281"/>
      <c r="I34" s="290"/>
      <c r="J34" s="281"/>
      <c r="K34" s="281"/>
      <c r="L34" s="281"/>
    </row>
    <row r="35" spans="1:12" ht="15" customHeight="1" x14ac:dyDescent="0.25">
      <c r="A35" s="281"/>
      <c r="B35" s="281"/>
      <c r="C35" s="281"/>
      <c r="D35" s="281"/>
      <c r="E35" s="281"/>
      <c r="F35" s="281"/>
      <c r="G35" s="281"/>
      <c r="H35" s="281"/>
      <c r="I35" s="290"/>
      <c r="J35" s="281"/>
      <c r="K35" s="281"/>
      <c r="L35" s="281"/>
    </row>
    <row r="36" spans="1:12" ht="15" customHeight="1" x14ac:dyDescent="0.25">
      <c r="A36" s="281"/>
      <c r="B36" s="281"/>
      <c r="C36" s="281"/>
      <c r="D36" s="281"/>
      <c r="E36" s="281"/>
      <c r="F36" s="281"/>
      <c r="G36" s="281"/>
      <c r="H36" s="281"/>
      <c r="I36" s="290"/>
      <c r="J36" s="281"/>
      <c r="K36" s="281"/>
      <c r="L36" s="281"/>
    </row>
    <row r="37" spans="1:12" ht="15" customHeight="1" x14ac:dyDescent="0.25">
      <c r="A37" s="281"/>
      <c r="B37" s="281"/>
      <c r="C37" s="281"/>
      <c r="D37" s="281"/>
      <c r="E37" s="281"/>
      <c r="F37" s="281"/>
      <c r="G37" s="281"/>
      <c r="H37" s="281"/>
      <c r="I37" s="290"/>
      <c r="J37" s="281"/>
      <c r="K37" s="281"/>
      <c r="L37" s="281"/>
    </row>
    <row r="38" spans="1:12" ht="15" customHeight="1" x14ac:dyDescent="0.25">
      <c r="A38" s="281"/>
      <c r="B38" s="281"/>
      <c r="C38" s="281"/>
      <c r="D38" s="281"/>
      <c r="E38" s="281"/>
      <c r="F38" s="281"/>
      <c r="G38" s="281"/>
      <c r="H38" s="281"/>
      <c r="I38" s="290"/>
      <c r="J38" s="281"/>
      <c r="K38" s="281"/>
      <c r="L38" s="281"/>
    </row>
    <row r="39" spans="1:12" ht="15" customHeight="1" x14ac:dyDescent="0.25">
      <c r="A39" s="281"/>
      <c r="B39" s="281"/>
      <c r="C39" s="281"/>
      <c r="D39" s="281"/>
      <c r="E39" s="281"/>
      <c r="F39" s="281"/>
      <c r="G39" s="281"/>
      <c r="H39" s="281"/>
      <c r="I39" s="290"/>
      <c r="J39" s="281"/>
      <c r="K39" s="281"/>
      <c r="L39" s="281"/>
    </row>
    <row r="40" spans="1:12" ht="15" customHeight="1" x14ac:dyDescent="0.25">
      <c r="A40" s="281"/>
      <c r="B40" s="281"/>
      <c r="C40" s="281"/>
      <c r="D40" s="281"/>
      <c r="E40" s="281"/>
      <c r="F40" s="281"/>
      <c r="G40" s="281"/>
      <c r="H40" s="281"/>
      <c r="I40" s="290"/>
      <c r="J40" s="281"/>
      <c r="K40" s="281"/>
      <c r="L40" s="281"/>
    </row>
    <row r="41" spans="1:12" ht="15" customHeight="1" x14ac:dyDescent="0.25">
      <c r="A41" s="281"/>
      <c r="B41" s="281"/>
      <c r="C41" s="281"/>
      <c r="D41" s="281"/>
      <c r="E41" s="281"/>
      <c r="F41" s="281"/>
      <c r="G41" s="281"/>
      <c r="H41" s="281"/>
      <c r="I41" s="290"/>
      <c r="J41" s="281"/>
      <c r="K41" s="281"/>
      <c r="L41" s="281"/>
    </row>
    <row r="42" spans="1:12" ht="15" customHeight="1" x14ac:dyDescent="0.25">
      <c r="A42" s="281"/>
      <c r="B42" s="281"/>
      <c r="C42" s="281"/>
      <c r="D42" s="281"/>
      <c r="E42" s="281"/>
      <c r="F42" s="281"/>
      <c r="G42" s="281"/>
      <c r="H42" s="281"/>
      <c r="I42" s="290"/>
      <c r="J42" s="281"/>
      <c r="K42" s="281"/>
      <c r="L42" s="281"/>
    </row>
    <row r="43" spans="1:12" ht="15" customHeight="1" x14ac:dyDescent="0.25">
      <c r="A43" s="281"/>
      <c r="B43" s="281"/>
      <c r="C43" s="281"/>
      <c r="D43" s="281"/>
      <c r="E43" s="281"/>
      <c r="F43" s="281"/>
      <c r="G43" s="281"/>
      <c r="H43" s="281"/>
      <c r="I43" s="290"/>
      <c r="J43" s="281"/>
      <c r="K43" s="281"/>
      <c r="L43" s="281"/>
    </row>
    <row r="44" spans="1:12" ht="15" customHeight="1" x14ac:dyDescent="0.25">
      <c r="A44" s="281"/>
      <c r="B44" s="281"/>
      <c r="C44" s="281"/>
      <c r="D44" s="281"/>
      <c r="E44" s="281"/>
      <c r="F44" s="281"/>
      <c r="G44" s="281"/>
      <c r="H44" s="281"/>
      <c r="I44" s="290"/>
      <c r="J44" s="281"/>
      <c r="K44" s="281"/>
      <c r="L44" s="281"/>
    </row>
    <row r="45" spans="1:12" ht="15" customHeight="1" x14ac:dyDescent="0.25">
      <c r="A45" s="281"/>
      <c r="B45" s="281"/>
      <c r="C45" s="281"/>
      <c r="D45" s="281"/>
      <c r="E45" s="281"/>
      <c r="F45" s="281"/>
      <c r="G45" s="281"/>
      <c r="H45" s="281"/>
      <c r="I45" s="290"/>
      <c r="J45" s="281"/>
      <c r="K45" s="281"/>
      <c r="L45" s="281"/>
    </row>
    <row r="46" spans="1:12" ht="15" customHeight="1" x14ac:dyDescent="0.25">
      <c r="A46" s="281"/>
      <c r="B46" s="281"/>
      <c r="C46" s="281"/>
      <c r="D46" s="281"/>
      <c r="E46" s="281"/>
      <c r="F46" s="281"/>
      <c r="G46" s="281"/>
      <c r="H46" s="281"/>
      <c r="I46" s="290"/>
      <c r="J46" s="281"/>
      <c r="K46" s="281"/>
      <c r="L46" s="281"/>
    </row>
    <row r="47" spans="1:12" ht="15" customHeight="1" x14ac:dyDescent="0.25">
      <c r="A47" s="281"/>
      <c r="B47" s="281"/>
      <c r="C47" s="281"/>
      <c r="D47" s="281"/>
      <c r="E47" s="281"/>
      <c r="F47" s="281"/>
      <c r="G47" s="281"/>
      <c r="H47" s="281"/>
      <c r="I47" s="290"/>
      <c r="J47" s="281"/>
      <c r="K47" s="281"/>
      <c r="L47" s="281"/>
    </row>
    <row r="48" spans="1:12" ht="15" customHeight="1" x14ac:dyDescent="0.25">
      <c r="A48" s="281"/>
      <c r="B48" s="281"/>
      <c r="C48" s="281"/>
      <c r="D48" s="281"/>
      <c r="E48" s="281"/>
      <c r="F48" s="281"/>
      <c r="G48" s="281"/>
      <c r="H48" s="281"/>
      <c r="I48" s="290"/>
      <c r="J48" s="281"/>
      <c r="K48" s="281"/>
      <c r="L48" s="281"/>
    </row>
    <row r="49" spans="1:12" ht="15" customHeight="1" x14ac:dyDescent="0.25">
      <c r="A49" s="281"/>
      <c r="B49" s="281"/>
      <c r="C49" s="281"/>
      <c r="D49" s="281"/>
      <c r="E49" s="281"/>
      <c r="F49" s="281"/>
      <c r="G49" s="281"/>
      <c r="H49" s="281"/>
      <c r="I49" s="290"/>
      <c r="J49" s="281"/>
      <c r="K49" s="281"/>
      <c r="L49" s="281"/>
    </row>
    <row r="50" spans="1:12" ht="15" customHeight="1" x14ac:dyDescent="0.25">
      <c r="A50" s="281"/>
      <c r="B50" s="281"/>
      <c r="C50" s="281"/>
      <c r="D50" s="281"/>
      <c r="E50" s="281"/>
      <c r="F50" s="281"/>
      <c r="G50" s="281"/>
      <c r="H50" s="281"/>
      <c r="I50" s="290"/>
      <c r="J50" s="281"/>
      <c r="K50" s="281"/>
      <c r="L50" s="281"/>
    </row>
    <row r="51" spans="1:12" ht="15" customHeight="1" x14ac:dyDescent="0.25">
      <c r="A51" s="281"/>
      <c r="B51" s="281"/>
      <c r="C51" s="281"/>
      <c r="D51" s="281"/>
      <c r="E51" s="281"/>
      <c r="F51" s="281"/>
      <c r="G51" s="281"/>
      <c r="H51" s="281"/>
      <c r="I51" s="290"/>
      <c r="J51" s="281"/>
      <c r="K51" s="281"/>
      <c r="L51" s="281"/>
    </row>
    <row r="52" spans="1:12" ht="15" customHeight="1" x14ac:dyDescent="0.25">
      <c r="A52" s="281"/>
      <c r="B52" s="281"/>
      <c r="C52" s="281"/>
      <c r="D52" s="281"/>
      <c r="E52" s="281"/>
      <c r="F52" s="281"/>
      <c r="G52" s="281"/>
      <c r="H52" s="281"/>
      <c r="I52" s="290"/>
      <c r="J52" s="281"/>
      <c r="K52" s="281"/>
      <c r="L52" s="281"/>
    </row>
    <row r="53" spans="1:12" ht="15" customHeight="1" x14ac:dyDescent="0.25">
      <c r="A53" s="281"/>
      <c r="B53" s="281"/>
      <c r="C53" s="281"/>
      <c r="D53" s="281"/>
      <c r="E53" s="281"/>
      <c r="F53" s="281"/>
      <c r="G53" s="281"/>
      <c r="H53" s="281"/>
      <c r="I53" s="290"/>
      <c r="J53" s="281"/>
      <c r="K53" s="281"/>
      <c r="L53" s="281"/>
    </row>
    <row r="54" spans="1:12" ht="15" customHeight="1" x14ac:dyDescent="0.25">
      <c r="A54" s="281"/>
      <c r="B54" s="281"/>
      <c r="C54" s="281"/>
      <c r="D54" s="281"/>
      <c r="E54" s="281"/>
      <c r="F54" s="281"/>
      <c r="G54" s="281"/>
      <c r="H54" s="281"/>
      <c r="I54" s="290"/>
      <c r="J54" s="281"/>
      <c r="K54" s="281"/>
      <c r="L54" s="281"/>
    </row>
    <row r="55" spans="1:12" ht="15" customHeight="1" x14ac:dyDescent="0.25">
      <c r="A55" s="281"/>
      <c r="B55" s="281"/>
      <c r="C55" s="281"/>
      <c r="D55" s="281"/>
      <c r="E55" s="281"/>
      <c r="F55" s="281"/>
      <c r="G55" s="281"/>
      <c r="H55" s="281"/>
      <c r="I55" s="290"/>
      <c r="J55" s="281"/>
      <c r="K55" s="281"/>
      <c r="L55" s="281"/>
    </row>
    <row r="56" spans="1:12" ht="15" customHeight="1" x14ac:dyDescent="0.25">
      <c r="A56" s="281"/>
      <c r="B56" s="281"/>
      <c r="C56" s="281"/>
      <c r="D56" s="281"/>
      <c r="E56" s="281"/>
      <c r="F56" s="281"/>
      <c r="G56" s="281"/>
      <c r="H56" s="281"/>
      <c r="I56" s="290"/>
      <c r="J56" s="281"/>
      <c r="K56" s="281"/>
      <c r="L56" s="281"/>
    </row>
    <row r="57" spans="1:12" ht="15" customHeight="1" x14ac:dyDescent="0.25">
      <c r="A57" s="281"/>
      <c r="B57" s="281"/>
      <c r="C57" s="281"/>
      <c r="D57" s="281"/>
      <c r="E57" s="281"/>
      <c r="F57" s="281"/>
      <c r="G57" s="281"/>
      <c r="H57" s="281"/>
      <c r="I57" s="290"/>
      <c r="J57" s="281"/>
      <c r="K57" s="281"/>
      <c r="L57" s="281"/>
    </row>
    <row r="58" spans="1:12" ht="15" customHeight="1" x14ac:dyDescent="0.25">
      <c r="A58" s="281"/>
      <c r="B58" s="281"/>
      <c r="C58" s="281"/>
      <c r="D58" s="281"/>
      <c r="E58" s="281"/>
      <c r="F58" s="281"/>
      <c r="G58" s="281"/>
      <c r="H58" s="281"/>
      <c r="I58" s="290"/>
      <c r="J58" s="281"/>
      <c r="K58" s="281"/>
      <c r="L58" s="281"/>
    </row>
    <row r="59" spans="1:12" ht="15" customHeight="1" x14ac:dyDescent="0.25">
      <c r="A59" s="281"/>
      <c r="B59" s="281"/>
      <c r="C59" s="281"/>
      <c r="D59" s="281"/>
      <c r="E59" s="281"/>
      <c r="F59" s="281"/>
      <c r="G59" s="281"/>
      <c r="H59" s="281"/>
      <c r="I59" s="290"/>
      <c r="J59" s="281"/>
      <c r="K59" s="281"/>
      <c r="L59" s="281"/>
    </row>
    <row r="60" spans="1:12" ht="15" customHeight="1" x14ac:dyDescent="0.25">
      <c r="A60" s="281"/>
      <c r="B60" s="281"/>
      <c r="C60" s="281"/>
      <c r="D60" s="281"/>
      <c r="E60" s="281"/>
      <c r="F60" s="281"/>
      <c r="G60" s="281"/>
      <c r="H60" s="281"/>
      <c r="I60" s="290"/>
      <c r="J60" s="281"/>
      <c r="K60" s="281"/>
      <c r="L60" s="281"/>
    </row>
    <row r="61" spans="1:12" ht="15" customHeight="1" x14ac:dyDescent="0.25">
      <c r="A61" s="281"/>
      <c r="B61" s="281"/>
      <c r="C61" s="281"/>
      <c r="D61" s="281"/>
      <c r="E61" s="281"/>
      <c r="F61" s="281"/>
      <c r="G61" s="281"/>
      <c r="H61" s="281"/>
      <c r="I61" s="290"/>
      <c r="J61" s="281"/>
      <c r="K61" s="281"/>
      <c r="L61" s="281"/>
    </row>
    <row r="62" spans="1:12" ht="15" customHeight="1" x14ac:dyDescent="0.25">
      <c r="A62" s="281"/>
      <c r="B62" s="281"/>
      <c r="C62" s="281"/>
      <c r="D62" s="281"/>
      <c r="E62" s="281"/>
      <c r="F62" s="281"/>
      <c r="G62" s="281"/>
      <c r="H62" s="281"/>
      <c r="I62" s="290"/>
      <c r="J62" s="281"/>
      <c r="K62" s="281"/>
      <c r="L62" s="281"/>
    </row>
    <row r="63" spans="1:12" ht="15" customHeight="1" x14ac:dyDescent="0.25">
      <c r="A63" s="281"/>
      <c r="B63" s="281"/>
      <c r="C63" s="281"/>
      <c r="D63" s="281"/>
      <c r="E63" s="281"/>
      <c r="F63" s="281"/>
      <c r="G63" s="281"/>
      <c r="H63" s="281"/>
      <c r="I63" s="290"/>
      <c r="J63" s="281"/>
      <c r="K63" s="281"/>
      <c r="L63" s="281"/>
    </row>
    <row r="64" spans="1:12" ht="15" customHeight="1" x14ac:dyDescent="0.25">
      <c r="A64" s="281"/>
      <c r="B64" s="281"/>
      <c r="C64" s="281"/>
      <c r="D64" s="281"/>
      <c r="E64" s="281"/>
      <c r="F64" s="281"/>
      <c r="G64" s="281"/>
      <c r="H64" s="281"/>
      <c r="I64" s="290"/>
      <c r="J64" s="281"/>
      <c r="K64" s="281"/>
      <c r="L64" s="281"/>
    </row>
    <row r="65" spans="1:12" ht="15" customHeight="1" x14ac:dyDescent="0.25">
      <c r="A65" s="281"/>
      <c r="B65" s="281"/>
      <c r="C65" s="281"/>
      <c r="D65" s="281"/>
      <c r="E65" s="281"/>
      <c r="F65" s="281"/>
      <c r="G65" s="281"/>
      <c r="H65" s="281"/>
      <c r="I65" s="290"/>
      <c r="J65" s="281"/>
      <c r="K65" s="281"/>
      <c r="L65" s="281"/>
    </row>
    <row r="66" spans="1:12" ht="15" customHeight="1" x14ac:dyDescent="0.25">
      <c r="A66" s="281"/>
      <c r="B66" s="281"/>
      <c r="C66" s="281"/>
      <c r="D66" s="281"/>
      <c r="E66" s="281"/>
      <c r="F66" s="281"/>
      <c r="G66" s="281"/>
      <c r="H66" s="281"/>
      <c r="I66" s="290"/>
      <c r="J66" s="281"/>
      <c r="K66" s="281"/>
      <c r="L66" s="281"/>
    </row>
    <row r="67" spans="1:12" ht="15" customHeight="1" x14ac:dyDescent="0.25">
      <c r="A67" s="281"/>
      <c r="B67" s="281"/>
      <c r="C67" s="281"/>
      <c r="D67" s="281"/>
      <c r="E67" s="281"/>
      <c r="F67" s="281"/>
      <c r="G67" s="281"/>
      <c r="H67" s="281"/>
      <c r="I67" s="290"/>
      <c r="J67" s="281"/>
      <c r="K67" s="281"/>
      <c r="L67" s="281"/>
    </row>
    <row r="68" spans="1:12" ht="15" customHeight="1" x14ac:dyDescent="0.25">
      <c r="A68" s="281"/>
      <c r="B68" s="281"/>
      <c r="C68" s="281"/>
      <c r="D68" s="281"/>
      <c r="E68" s="281"/>
      <c r="F68" s="281"/>
      <c r="G68" s="281"/>
      <c r="H68" s="281"/>
      <c r="I68" s="290"/>
      <c r="J68" s="281"/>
      <c r="K68" s="281"/>
      <c r="L68" s="281"/>
    </row>
    <row r="69" spans="1:12" ht="15" customHeight="1" x14ac:dyDescent="0.25">
      <c r="A69" s="281"/>
      <c r="B69" s="281"/>
      <c r="C69" s="281"/>
      <c r="D69" s="281"/>
      <c r="E69" s="281"/>
      <c r="F69" s="281"/>
      <c r="G69" s="281"/>
      <c r="H69" s="281"/>
      <c r="I69" s="290"/>
      <c r="J69" s="281"/>
      <c r="K69" s="281"/>
      <c r="L69" s="281"/>
    </row>
    <row r="70" spans="1:12" ht="15" customHeight="1" x14ac:dyDescent="0.25">
      <c r="A70" s="281"/>
      <c r="B70" s="281"/>
      <c r="C70" s="281"/>
      <c r="D70" s="281"/>
      <c r="E70" s="281"/>
      <c r="F70" s="281"/>
      <c r="G70" s="281"/>
      <c r="H70" s="281"/>
      <c r="I70" s="290"/>
      <c r="J70" s="281"/>
      <c r="K70" s="281"/>
      <c r="L70" s="281"/>
    </row>
    <row r="71" spans="1:12" ht="15" customHeight="1" x14ac:dyDescent="0.25">
      <c r="A71" s="281"/>
      <c r="B71" s="281"/>
      <c r="C71" s="281"/>
      <c r="D71" s="281"/>
      <c r="E71" s="281"/>
      <c r="F71" s="281"/>
      <c r="G71" s="281"/>
      <c r="H71" s="281"/>
      <c r="I71" s="290"/>
      <c r="J71" s="281"/>
      <c r="K71" s="281"/>
      <c r="L71" s="281"/>
    </row>
    <row r="72" spans="1:12" ht="15" customHeight="1" x14ac:dyDescent="0.25">
      <c r="A72" s="281"/>
      <c r="B72" s="281"/>
      <c r="C72" s="281"/>
      <c r="D72" s="281"/>
      <c r="E72" s="281"/>
      <c r="F72" s="281"/>
      <c r="G72" s="281"/>
      <c r="H72" s="281"/>
      <c r="I72" s="290"/>
      <c r="J72" s="281"/>
      <c r="K72" s="281"/>
      <c r="L72" s="281"/>
    </row>
    <row r="73" spans="1:12" ht="15" customHeight="1" x14ac:dyDescent="0.25">
      <c r="A73" s="281"/>
      <c r="B73" s="281"/>
      <c r="C73" s="281"/>
      <c r="D73" s="281"/>
      <c r="E73" s="281"/>
      <c r="F73" s="281"/>
      <c r="G73" s="281"/>
      <c r="H73" s="281"/>
      <c r="I73" s="290"/>
      <c r="J73" s="281"/>
      <c r="K73" s="281"/>
      <c r="L73" s="281"/>
    </row>
    <row r="74" spans="1:12" ht="15" customHeight="1" x14ac:dyDescent="0.25">
      <c r="A74" s="281"/>
      <c r="B74" s="281"/>
      <c r="C74" s="281"/>
      <c r="D74" s="281"/>
      <c r="E74" s="281"/>
      <c r="F74" s="281"/>
      <c r="G74" s="281"/>
      <c r="H74" s="281"/>
      <c r="I74" s="290"/>
      <c r="J74" s="281"/>
      <c r="K74" s="281"/>
      <c r="L74" s="281"/>
    </row>
    <row r="75" spans="1:12" ht="15" customHeight="1" x14ac:dyDescent="0.25">
      <c r="A75" s="281"/>
      <c r="B75" s="281"/>
      <c r="C75" s="281"/>
      <c r="D75" s="281"/>
      <c r="E75" s="281"/>
      <c r="F75" s="281"/>
      <c r="G75" s="281"/>
      <c r="H75" s="281"/>
      <c r="I75" s="290"/>
      <c r="J75" s="281"/>
      <c r="K75" s="281"/>
      <c r="L75" s="281"/>
    </row>
    <row r="76" spans="1:12" ht="15" customHeight="1" x14ac:dyDescent="0.25">
      <c r="A76" s="281"/>
      <c r="B76" s="281"/>
      <c r="C76" s="281"/>
      <c r="D76" s="281"/>
      <c r="E76" s="281"/>
      <c r="F76" s="281"/>
      <c r="G76" s="281"/>
      <c r="H76" s="281"/>
      <c r="I76" s="290"/>
      <c r="J76" s="281"/>
      <c r="K76" s="281"/>
      <c r="L76" s="281"/>
    </row>
    <row r="77" spans="1:12" ht="15" customHeight="1" x14ac:dyDescent="0.25">
      <c r="A77" s="281"/>
      <c r="B77" s="281"/>
      <c r="C77" s="281"/>
      <c r="D77" s="281"/>
      <c r="E77" s="281"/>
      <c r="F77" s="281"/>
      <c r="G77" s="281"/>
      <c r="H77" s="281"/>
      <c r="I77" s="290"/>
      <c r="J77" s="281"/>
      <c r="K77" s="281"/>
      <c r="L77" s="281"/>
    </row>
    <row r="78" spans="1:12" ht="15" customHeight="1" x14ac:dyDescent="0.25">
      <c r="A78" s="281"/>
      <c r="B78" s="281"/>
      <c r="C78" s="281"/>
      <c r="D78" s="281"/>
      <c r="E78" s="281"/>
      <c r="F78" s="281"/>
      <c r="G78" s="281"/>
      <c r="H78" s="281"/>
      <c r="I78" s="290"/>
      <c r="J78" s="281"/>
      <c r="K78" s="281"/>
      <c r="L78" s="281"/>
    </row>
    <row r="79" spans="1:12" ht="15" customHeight="1" x14ac:dyDescent="0.25">
      <c r="A79" s="281"/>
      <c r="B79" s="281"/>
      <c r="C79" s="281"/>
      <c r="D79" s="281"/>
      <c r="E79" s="281"/>
      <c r="F79" s="281"/>
      <c r="G79" s="281"/>
      <c r="H79" s="281"/>
      <c r="I79" s="290"/>
      <c r="J79" s="281"/>
      <c r="K79" s="281"/>
      <c r="L79" s="281"/>
    </row>
    <row r="80" spans="1:12" ht="15" customHeight="1" x14ac:dyDescent="0.25">
      <c r="A80" s="281"/>
      <c r="B80" s="281"/>
      <c r="C80" s="281"/>
      <c r="D80" s="281"/>
      <c r="E80" s="281"/>
      <c r="F80" s="281"/>
      <c r="G80" s="281"/>
      <c r="H80" s="281"/>
      <c r="I80" s="290"/>
      <c r="J80" s="281"/>
      <c r="K80" s="281"/>
      <c r="L80" s="281"/>
    </row>
    <row r="81" spans="1:12" ht="15" customHeight="1" x14ac:dyDescent="0.25">
      <c r="A81" s="281"/>
      <c r="B81" s="281"/>
      <c r="C81" s="281"/>
      <c r="D81" s="281"/>
      <c r="E81" s="281"/>
      <c r="F81" s="281"/>
      <c r="G81" s="281"/>
      <c r="H81" s="281"/>
      <c r="I81" s="290"/>
      <c r="J81" s="281"/>
      <c r="K81" s="281"/>
      <c r="L81" s="281"/>
    </row>
    <row r="82" spans="1:12" ht="15" customHeight="1" x14ac:dyDescent="0.25">
      <c r="A82" s="281"/>
      <c r="B82" s="281"/>
      <c r="C82" s="281"/>
      <c r="D82" s="281"/>
      <c r="E82" s="281"/>
      <c r="F82" s="281"/>
      <c r="G82" s="281"/>
      <c r="H82" s="281"/>
      <c r="I82" s="290"/>
      <c r="J82" s="281"/>
      <c r="K82" s="281"/>
      <c r="L82" s="281"/>
    </row>
    <row r="83" spans="1:12" ht="15" customHeight="1" x14ac:dyDescent="0.25">
      <c r="A83" s="281"/>
      <c r="B83" s="281"/>
      <c r="C83" s="281"/>
      <c r="D83" s="281"/>
      <c r="E83" s="281"/>
      <c r="F83" s="281"/>
      <c r="G83" s="281"/>
      <c r="H83" s="281"/>
      <c r="I83" s="290"/>
      <c r="J83" s="281"/>
      <c r="K83" s="281"/>
      <c r="L83" s="281"/>
    </row>
    <row r="84" spans="1:12" ht="15" customHeight="1" x14ac:dyDescent="0.25">
      <c r="A84" s="281"/>
      <c r="B84" s="281"/>
      <c r="C84" s="281"/>
      <c r="D84" s="281"/>
      <c r="E84" s="281"/>
      <c r="F84" s="281"/>
      <c r="G84" s="281"/>
      <c r="H84" s="281"/>
      <c r="I84" s="290"/>
      <c r="J84" s="281"/>
      <c r="K84" s="281"/>
      <c r="L84" s="281"/>
    </row>
    <row r="85" spans="1:12" ht="15" customHeight="1" x14ac:dyDescent="0.25">
      <c r="A85" s="281"/>
      <c r="B85" s="281"/>
      <c r="C85" s="281"/>
      <c r="D85" s="281"/>
      <c r="E85" s="281"/>
      <c r="F85" s="281"/>
      <c r="G85" s="281"/>
      <c r="H85" s="281"/>
      <c r="I85" s="290"/>
      <c r="J85" s="281"/>
      <c r="K85" s="281"/>
      <c r="L85" s="281"/>
    </row>
    <row r="86" spans="1:12" ht="15" customHeight="1" x14ac:dyDescent="0.25">
      <c r="A86" s="281"/>
      <c r="B86" s="281"/>
      <c r="C86" s="281"/>
      <c r="D86" s="281"/>
      <c r="E86" s="281"/>
      <c r="F86" s="281"/>
      <c r="G86" s="281"/>
      <c r="H86" s="281"/>
      <c r="I86" s="290"/>
      <c r="J86" s="281"/>
      <c r="K86" s="281"/>
      <c r="L86" s="281"/>
    </row>
    <row r="87" spans="1:12" ht="15" customHeight="1" x14ac:dyDescent="0.25">
      <c r="A87" s="281"/>
      <c r="B87" s="281"/>
      <c r="C87" s="281"/>
      <c r="D87" s="281"/>
      <c r="E87" s="281"/>
      <c r="F87" s="281"/>
      <c r="G87" s="281"/>
      <c r="H87" s="281"/>
      <c r="I87" s="290"/>
      <c r="J87" s="281"/>
      <c r="K87" s="281"/>
      <c r="L87" s="281"/>
    </row>
    <row r="88" spans="1:12" ht="15" customHeight="1" x14ac:dyDescent="0.25">
      <c r="A88" s="281"/>
      <c r="B88" s="281"/>
      <c r="C88" s="281"/>
      <c r="D88" s="281"/>
      <c r="E88" s="281"/>
      <c r="F88" s="281"/>
      <c r="G88" s="281"/>
      <c r="H88" s="281"/>
      <c r="I88" s="290"/>
      <c r="J88" s="281"/>
      <c r="K88" s="281"/>
      <c r="L88" s="281"/>
    </row>
    <row r="89" spans="1:12" ht="15" customHeight="1" x14ac:dyDescent="0.25">
      <c r="A89" s="281"/>
      <c r="B89" s="281"/>
      <c r="C89" s="281"/>
      <c r="D89" s="281"/>
      <c r="E89" s="281"/>
      <c r="F89" s="281"/>
      <c r="G89" s="281"/>
      <c r="H89" s="281"/>
      <c r="I89" s="290"/>
      <c r="J89" s="281"/>
      <c r="K89" s="281"/>
      <c r="L89" s="281"/>
    </row>
    <row r="90" spans="1:12" ht="15" customHeight="1" x14ac:dyDescent="0.25">
      <c r="A90" s="281"/>
      <c r="B90" s="281"/>
      <c r="C90" s="281"/>
      <c r="D90" s="281"/>
      <c r="E90" s="281"/>
      <c r="F90" s="281"/>
      <c r="G90" s="281"/>
      <c r="H90" s="281"/>
      <c r="I90" s="290"/>
      <c r="J90" s="281"/>
      <c r="K90" s="281"/>
      <c r="L90" s="281"/>
    </row>
    <row r="91" spans="1:12" ht="15" customHeight="1" x14ac:dyDescent="0.25">
      <c r="A91" s="281"/>
      <c r="B91" s="281"/>
      <c r="C91" s="281"/>
      <c r="D91" s="281"/>
      <c r="E91" s="281"/>
      <c r="F91" s="281"/>
      <c r="G91" s="281"/>
      <c r="H91" s="281"/>
      <c r="I91" s="290"/>
      <c r="J91" s="281"/>
      <c r="K91" s="281"/>
      <c r="L91" s="281"/>
    </row>
    <row r="92" spans="1:12" ht="15" customHeight="1" x14ac:dyDescent="0.25">
      <c r="A92" s="281"/>
      <c r="B92" s="281"/>
      <c r="C92" s="281"/>
      <c r="D92" s="281"/>
      <c r="E92" s="281"/>
      <c r="F92" s="281"/>
      <c r="G92" s="281"/>
      <c r="H92" s="281"/>
      <c r="I92" s="290"/>
      <c r="J92" s="281"/>
      <c r="K92" s="281"/>
      <c r="L92" s="281"/>
    </row>
    <row r="93" spans="1:12" ht="15" customHeight="1" x14ac:dyDescent="0.25">
      <c r="A93" s="281"/>
      <c r="B93" s="281"/>
      <c r="C93" s="281"/>
      <c r="D93" s="281"/>
      <c r="E93" s="281"/>
      <c r="F93" s="281"/>
      <c r="G93" s="281"/>
      <c r="H93" s="281"/>
      <c r="I93" s="290"/>
      <c r="J93" s="281"/>
      <c r="K93" s="281"/>
      <c r="L93" s="281"/>
    </row>
    <row r="94" spans="1:12" ht="15" customHeight="1" x14ac:dyDescent="0.25">
      <c r="A94" s="281"/>
      <c r="B94" s="281"/>
      <c r="C94" s="281"/>
      <c r="D94" s="281"/>
      <c r="E94" s="281"/>
      <c r="F94" s="281"/>
      <c r="G94" s="281"/>
      <c r="H94" s="281"/>
      <c r="I94" s="290"/>
      <c r="J94" s="281"/>
      <c r="K94" s="281"/>
      <c r="L94" s="281"/>
    </row>
    <row r="95" spans="1:12" ht="15" customHeight="1" x14ac:dyDescent="0.25">
      <c r="A95" s="281"/>
      <c r="B95" s="281"/>
      <c r="C95" s="281"/>
      <c r="D95" s="281"/>
      <c r="E95" s="281"/>
      <c r="F95" s="281"/>
      <c r="G95" s="281"/>
      <c r="H95" s="281"/>
      <c r="I95" s="290"/>
      <c r="J95" s="281"/>
      <c r="K95" s="281"/>
      <c r="L95" s="281"/>
    </row>
    <row r="96" spans="1:12" ht="15" customHeight="1" x14ac:dyDescent="0.25">
      <c r="A96" s="281"/>
      <c r="B96" s="281"/>
      <c r="C96" s="281"/>
      <c r="D96" s="281"/>
      <c r="E96" s="281"/>
      <c r="F96" s="281"/>
      <c r="G96" s="281"/>
      <c r="H96" s="281"/>
      <c r="I96" s="290"/>
      <c r="J96" s="281"/>
      <c r="K96" s="281"/>
      <c r="L96" s="281"/>
    </row>
    <row r="97" spans="1:12" ht="15" customHeight="1" x14ac:dyDescent="0.25">
      <c r="A97" s="281"/>
      <c r="B97" s="281"/>
      <c r="C97" s="281"/>
      <c r="D97" s="281"/>
      <c r="E97" s="281"/>
      <c r="F97" s="281"/>
      <c r="G97" s="281"/>
      <c r="H97" s="281"/>
      <c r="I97" s="290"/>
      <c r="J97" s="281"/>
      <c r="K97" s="281"/>
      <c r="L97" s="281"/>
    </row>
    <row r="98" spans="1:12" ht="15" customHeight="1" x14ac:dyDescent="0.25">
      <c r="A98" s="281"/>
      <c r="B98" s="281"/>
      <c r="C98" s="281"/>
      <c r="D98" s="281"/>
      <c r="E98" s="281"/>
      <c r="F98" s="281"/>
      <c r="G98" s="281"/>
      <c r="H98" s="281"/>
      <c r="I98" s="290"/>
      <c r="J98" s="281"/>
      <c r="K98" s="281"/>
      <c r="L98" s="281"/>
    </row>
    <row r="99" spans="1:12" ht="15" customHeight="1" x14ac:dyDescent="0.25">
      <c r="A99" s="281"/>
      <c r="B99" s="281"/>
      <c r="C99" s="281"/>
      <c r="D99" s="281"/>
      <c r="E99" s="281"/>
      <c r="F99" s="281"/>
      <c r="G99" s="281"/>
      <c r="H99" s="281"/>
      <c r="I99" s="290"/>
      <c r="J99" s="281"/>
      <c r="K99" s="281"/>
      <c r="L99" s="28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591</v>
      </c>
      <c r="B1" s="343"/>
      <c r="C1" s="343"/>
      <c r="D1" s="343"/>
      <c r="E1" s="343"/>
      <c r="F1" s="343"/>
      <c r="G1" s="343"/>
    </row>
    <row r="2" spans="1:7" ht="27.95" customHeight="1" x14ac:dyDescent="0.25">
      <c r="A2" s="219" t="s">
        <v>592</v>
      </c>
      <c r="B2" s="219" t="s">
        <v>593</v>
      </c>
      <c r="C2" s="219" t="s">
        <v>594</v>
      </c>
      <c r="D2" s="219" t="s">
        <v>595</v>
      </c>
      <c r="E2" s="219" t="s">
        <v>596</v>
      </c>
      <c r="F2" s="219" t="s">
        <v>25</v>
      </c>
      <c r="G2" s="219" t="s">
        <v>597</v>
      </c>
    </row>
    <row r="3" spans="1:7" ht="285" customHeight="1" x14ac:dyDescent="0.25">
      <c r="A3" s="220" t="s">
        <v>598</v>
      </c>
      <c r="B3" s="221" t="s">
        <v>599</v>
      </c>
      <c r="C3" s="222" t="s">
        <v>600</v>
      </c>
      <c r="D3" s="223" t="s">
        <v>601</v>
      </c>
      <c r="E3" s="224" t="s">
        <v>602</v>
      </c>
      <c r="F3" s="225" t="s">
        <v>603</v>
      </c>
      <c r="G3" s="226" t="s">
        <v>604</v>
      </c>
    </row>
    <row r="4" spans="1:7" ht="225" customHeight="1" x14ac:dyDescent="0.25">
      <c r="A4" s="227" t="s">
        <v>605</v>
      </c>
      <c r="B4" s="228" t="s">
        <v>599</v>
      </c>
      <c r="C4" s="229" t="s">
        <v>606</v>
      </c>
      <c r="D4" s="230" t="s">
        <v>607</v>
      </c>
      <c r="E4" s="231" t="s">
        <v>608</v>
      </c>
      <c r="F4" s="225" t="s">
        <v>603</v>
      </c>
      <c r="G4" s="226" t="s">
        <v>604</v>
      </c>
    </row>
    <row r="5" spans="1:7" ht="255" customHeight="1" x14ac:dyDescent="0.25">
      <c r="A5" s="220" t="s">
        <v>609</v>
      </c>
      <c r="B5" s="221" t="s">
        <v>599</v>
      </c>
      <c r="C5" s="222" t="s">
        <v>610</v>
      </c>
      <c r="D5" s="223" t="s">
        <v>611</v>
      </c>
      <c r="E5" s="224" t="s">
        <v>612</v>
      </c>
      <c r="F5" s="225" t="s">
        <v>603</v>
      </c>
      <c r="G5" s="226" t="s">
        <v>613</v>
      </c>
    </row>
    <row r="6" spans="1:7" ht="255" customHeight="1" x14ac:dyDescent="0.25">
      <c r="A6" s="227" t="s">
        <v>614</v>
      </c>
      <c r="B6" s="228" t="s">
        <v>599</v>
      </c>
      <c r="C6" s="229" t="s">
        <v>615</v>
      </c>
      <c r="D6" s="230" t="s">
        <v>616</v>
      </c>
      <c r="E6" s="231" t="s">
        <v>617</v>
      </c>
      <c r="F6" s="225" t="s">
        <v>603</v>
      </c>
      <c r="G6" s="232" t="s">
        <v>618</v>
      </c>
    </row>
    <row r="7" spans="1:7" ht="255" customHeight="1" x14ac:dyDescent="0.25">
      <c r="A7" s="220" t="s">
        <v>619</v>
      </c>
      <c r="B7" s="221" t="s">
        <v>599</v>
      </c>
      <c r="C7" s="222" t="s">
        <v>620</v>
      </c>
      <c r="D7" s="223" t="s">
        <v>621</v>
      </c>
      <c r="E7" s="224" t="s">
        <v>622</v>
      </c>
      <c r="F7" s="225" t="s">
        <v>603</v>
      </c>
      <c r="G7" s="232" t="s">
        <v>623</v>
      </c>
    </row>
    <row r="8" spans="1:7" ht="240" customHeight="1" x14ac:dyDescent="0.25">
      <c r="A8" s="227" t="s">
        <v>624</v>
      </c>
      <c r="B8" s="228" t="s">
        <v>625</v>
      </c>
      <c r="C8" s="229" t="s">
        <v>626</v>
      </c>
      <c r="D8" s="230" t="s">
        <v>627</v>
      </c>
      <c r="E8" s="231" t="s">
        <v>628</v>
      </c>
      <c r="F8" s="225" t="s">
        <v>603</v>
      </c>
      <c r="G8" s="226" t="s">
        <v>629</v>
      </c>
    </row>
    <row r="9" spans="1:7" ht="270" customHeight="1" x14ac:dyDescent="0.25">
      <c r="A9" s="220" t="s">
        <v>630</v>
      </c>
      <c r="B9" s="221" t="s">
        <v>625</v>
      </c>
      <c r="C9" s="222" t="s">
        <v>631</v>
      </c>
      <c r="D9" s="223" t="s">
        <v>632</v>
      </c>
      <c r="E9" s="224" t="s">
        <v>633</v>
      </c>
      <c r="F9" s="225" t="s">
        <v>603</v>
      </c>
      <c r="G9" s="226" t="s">
        <v>634</v>
      </c>
    </row>
    <row r="10" spans="1:7" ht="270" customHeight="1" x14ac:dyDescent="0.25">
      <c r="A10" s="227" t="s">
        <v>635</v>
      </c>
      <c r="B10" s="228" t="s">
        <v>625</v>
      </c>
      <c r="C10" s="229" t="s">
        <v>636</v>
      </c>
      <c r="D10" s="230" t="s">
        <v>637</v>
      </c>
      <c r="E10" s="231" t="s">
        <v>638</v>
      </c>
      <c r="F10" s="225" t="s">
        <v>603</v>
      </c>
      <c r="G10" s="226" t="s">
        <v>613</v>
      </c>
    </row>
    <row r="11" spans="1:7" ht="240" customHeight="1" x14ac:dyDescent="0.25">
      <c r="A11" s="220" t="s">
        <v>639</v>
      </c>
      <c r="B11" s="221" t="s">
        <v>640</v>
      </c>
      <c r="C11" s="222" t="s">
        <v>641</v>
      </c>
      <c r="D11" s="223" t="s">
        <v>642</v>
      </c>
      <c r="E11" s="224" t="s">
        <v>643</v>
      </c>
      <c r="F11" s="225" t="s">
        <v>603</v>
      </c>
      <c r="G11" s="226" t="s">
        <v>644</v>
      </c>
    </row>
    <row r="12" spans="1:7" ht="240" customHeight="1" x14ac:dyDescent="0.25">
      <c r="A12" s="227" t="s">
        <v>645</v>
      </c>
      <c r="B12" s="228" t="s">
        <v>640</v>
      </c>
      <c r="C12" s="229" t="s">
        <v>646</v>
      </c>
      <c r="D12" s="230" t="s">
        <v>647</v>
      </c>
      <c r="E12" s="231" t="s">
        <v>648</v>
      </c>
      <c r="F12" s="225" t="s">
        <v>603</v>
      </c>
      <c r="G12" s="226" t="s">
        <v>649</v>
      </c>
    </row>
    <row r="13" spans="1:7" ht="240" customHeight="1" x14ac:dyDescent="0.25">
      <c r="A13" s="220" t="s">
        <v>650</v>
      </c>
      <c r="B13" s="221" t="s">
        <v>640</v>
      </c>
      <c r="C13" s="222" t="s">
        <v>651</v>
      </c>
      <c r="D13" s="223" t="s">
        <v>652</v>
      </c>
      <c r="E13" s="224" t="s">
        <v>653</v>
      </c>
      <c r="F13" s="225" t="s">
        <v>603</v>
      </c>
      <c r="G13" s="232" t="s">
        <v>654</v>
      </c>
    </row>
    <row r="14" spans="1:7" ht="375" customHeight="1" x14ac:dyDescent="0.25">
      <c r="A14" s="227" t="s">
        <v>655</v>
      </c>
      <c r="B14" s="228" t="s">
        <v>656</v>
      </c>
      <c r="C14" s="229" t="s">
        <v>657</v>
      </c>
      <c r="D14" s="230" t="s">
        <v>658</v>
      </c>
      <c r="E14" s="231" t="s">
        <v>659</v>
      </c>
      <c r="F14" s="225" t="s">
        <v>603</v>
      </c>
      <c r="G14" s="232" t="s">
        <v>660</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2026-08-31T05:52:42Z</dcterms:modified>
  <cp:category>Operations</cp:category>
  <dc:language>en-US</dc:language>
</cp:coreProperties>
</file>