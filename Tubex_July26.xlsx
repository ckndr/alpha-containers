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BBD57895CBE259A8C1A3AA06035BD98C4EFC56F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9" i="2" s="1"/>
  <c r="J109" i="5"/>
  <c r="H109" i="5"/>
  <c r="F88" i="2" s="1"/>
  <c r="J108" i="5"/>
  <c r="H108" i="5"/>
  <c r="F87" i="2" s="1"/>
  <c r="H107" i="5"/>
  <c r="H106" i="5"/>
  <c r="H105" i="5"/>
  <c r="J104" i="5"/>
  <c r="H104" i="5"/>
  <c r="F85" i="2" s="1"/>
  <c r="H103" i="5"/>
  <c r="H102" i="5"/>
  <c r="J101" i="5"/>
  <c r="H101" i="5"/>
  <c r="F82" i="2" s="1"/>
  <c r="J100" i="5"/>
  <c r="H100" i="5"/>
  <c r="F81" i="2" s="1"/>
  <c r="H99" i="5"/>
  <c r="J98" i="5"/>
  <c r="H98" i="5"/>
  <c r="F79" i="2" s="1"/>
  <c r="J97" i="5"/>
  <c r="H97" i="5"/>
  <c r="F78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2" i="2" s="1"/>
  <c r="H50" i="5"/>
  <c r="H49" i="5"/>
  <c r="H48" i="5"/>
  <c r="J47" i="5"/>
  <c r="H47" i="5"/>
  <c r="F58" i="2" s="1"/>
  <c r="H46" i="5"/>
  <c r="H45" i="5"/>
  <c r="H44" i="5"/>
  <c r="J43" i="5"/>
  <c r="H43" i="5"/>
  <c r="F54" i="2" s="1"/>
  <c r="J42" i="5"/>
  <c r="H42" i="5"/>
  <c r="F53" i="2" s="1"/>
  <c r="J41" i="5"/>
  <c r="H41" i="5"/>
  <c r="F52" i="2" s="1"/>
  <c r="J40" i="5"/>
  <c r="H40" i="5"/>
  <c r="F51" i="2" s="1"/>
  <c r="H39" i="5"/>
  <c r="J38" i="5"/>
  <c r="H38" i="5"/>
  <c r="F49" i="2" s="1"/>
  <c r="H37" i="5"/>
  <c r="H36" i="5"/>
  <c r="J35" i="5"/>
  <c r="H35" i="5"/>
  <c r="F46" i="2" s="1"/>
  <c r="J34" i="5"/>
  <c r="H34" i="5"/>
  <c r="F45" i="2" s="1"/>
  <c r="J33" i="5"/>
  <c r="H33" i="5"/>
  <c r="F44" i="2" s="1"/>
  <c r="H32" i="5"/>
  <c r="H31" i="5"/>
  <c r="H30" i="5"/>
  <c r="J29" i="5"/>
  <c r="H29" i="5"/>
  <c r="F39" i="2" s="1"/>
  <c r="J28" i="5"/>
  <c r="H28" i="5"/>
  <c r="F38" i="2" s="1"/>
  <c r="J27" i="5"/>
  <c r="H27" i="5"/>
  <c r="F37" i="2" s="1"/>
  <c r="J26" i="5"/>
  <c r="H26" i="5"/>
  <c r="F36" i="2" s="1"/>
  <c r="J25" i="5"/>
  <c r="H25" i="5"/>
  <c r="F35" i="2" s="1"/>
  <c r="H24" i="5"/>
  <c r="J23" i="5"/>
  <c r="H23" i="5"/>
  <c r="F33" i="2" s="1"/>
  <c r="H22" i="5"/>
  <c r="J21" i="5"/>
  <c r="H21" i="5"/>
  <c r="F31" i="2" s="1"/>
  <c r="J20" i="5"/>
  <c r="H20" i="5"/>
  <c r="F30" i="2" s="1"/>
  <c r="J19" i="5"/>
  <c r="H19" i="5"/>
  <c r="F29" i="2" s="1"/>
  <c r="H18" i="5"/>
  <c r="J17" i="5"/>
  <c r="H17" i="5"/>
  <c r="F27" i="2" s="1"/>
  <c r="J16" i="5"/>
  <c r="H16" i="5"/>
  <c r="F26" i="2" s="1"/>
  <c r="J15" i="5"/>
  <c r="H15" i="5"/>
  <c r="F25" i="2" s="1"/>
  <c r="J14" i="5"/>
  <c r="H14" i="5"/>
  <c r="F24" i="2" s="1"/>
  <c r="J12" i="5"/>
  <c r="H10" i="5"/>
  <c r="H9" i="5"/>
  <c r="H8" i="5"/>
  <c r="H7" i="5"/>
  <c r="H6" i="5"/>
  <c r="H5" i="5"/>
  <c r="H4" i="5"/>
  <c r="J3" i="5"/>
  <c r="H3" i="5"/>
  <c r="F11" i="2" s="1"/>
  <c r="J1" i="5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19" i="2"/>
  <c r="F119" i="2"/>
  <c r="G117" i="2"/>
  <c r="F117" i="2"/>
  <c r="F101" i="2"/>
  <c r="F100" i="2"/>
  <c r="F99" i="2"/>
  <c r="F98" i="2"/>
  <c r="F97" i="2"/>
  <c r="F96" i="2"/>
  <c r="F65" i="2"/>
  <c r="F64" i="2"/>
  <c r="F42" i="2"/>
  <c r="F21" i="2"/>
  <c r="F19" i="2"/>
  <c r="F18" i="2"/>
  <c r="F14" i="2"/>
  <c r="F13" i="2"/>
  <c r="F10" i="2"/>
  <c r="F7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J19" i="1"/>
  <c r="H19" i="1"/>
  <c r="I19" i="1" s="1"/>
  <c r="T18" i="1"/>
  <c r="U18" i="1" s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J111" i="5" l="1"/>
  <c r="F111" i="2"/>
  <c r="F91" i="2"/>
  <c r="J107" i="5"/>
  <c r="F110" i="2"/>
  <c r="J106" i="5"/>
  <c r="F109" i="2"/>
  <c r="F90" i="2"/>
  <c r="J105" i="5"/>
  <c r="F86" i="2"/>
  <c r="J103" i="5"/>
  <c r="F84" i="2"/>
  <c r="J102" i="5"/>
  <c r="F107" i="2"/>
  <c r="F83" i="2"/>
  <c r="J99" i="5"/>
  <c r="F80" i="2"/>
  <c r="F106" i="2"/>
  <c r="J96" i="5"/>
  <c r="F105" i="2"/>
  <c r="F77" i="2"/>
  <c r="J63" i="5"/>
  <c r="F76" i="2"/>
  <c r="J62" i="5"/>
  <c r="F75" i="2"/>
  <c r="J61" i="5"/>
  <c r="F74" i="2"/>
  <c r="J60" i="5"/>
  <c r="F108" i="2"/>
  <c r="F73" i="2"/>
  <c r="J59" i="5"/>
  <c r="F72" i="2"/>
  <c r="J58" i="5"/>
  <c r="F71" i="2"/>
  <c r="J57" i="5"/>
  <c r="F70" i="2"/>
  <c r="J56" i="5"/>
  <c r="F69" i="2"/>
  <c r="J55" i="5"/>
  <c r="F68" i="2"/>
  <c r="J54" i="5"/>
  <c r="F67" i="2"/>
  <c r="J53" i="5"/>
  <c r="F66" i="2"/>
  <c r="J52" i="5"/>
  <c r="F63" i="2"/>
  <c r="J50" i="5"/>
  <c r="F61" i="2"/>
  <c r="J49" i="5"/>
  <c r="F60" i="2"/>
  <c r="J48" i="5"/>
  <c r="F59" i="2"/>
  <c r="J46" i="5"/>
  <c r="F57" i="2"/>
  <c r="J45" i="5"/>
  <c r="F56" i="2"/>
  <c r="J44" i="5"/>
  <c r="F55" i="2"/>
  <c r="J39" i="5"/>
  <c r="F50" i="2"/>
  <c r="J37" i="5"/>
  <c r="F48" i="2"/>
  <c r="J36" i="5"/>
  <c r="F47" i="2"/>
  <c r="J32" i="5"/>
  <c r="F43" i="2"/>
  <c r="J31" i="5"/>
  <c r="F41" i="2"/>
  <c r="J30" i="5"/>
  <c r="F40" i="2"/>
  <c r="J24" i="5"/>
  <c r="F34" i="2"/>
  <c r="J22" i="5"/>
  <c r="F32" i="2"/>
  <c r="J18" i="5"/>
  <c r="F28" i="2"/>
  <c r="J10" i="5"/>
  <c r="F23" i="2"/>
  <c r="J9" i="5"/>
  <c r="F22" i="2"/>
  <c r="J8" i="5"/>
  <c r="F20" i="2"/>
  <c r="J7" i="5"/>
  <c r="F17" i="2"/>
  <c r="J6" i="5"/>
  <c r="F16" i="2"/>
  <c r="J5" i="5"/>
  <c r="F15" i="2"/>
  <c r="J4" i="5"/>
  <c r="F12" i="2"/>
  <c r="F102" i="2"/>
  <c r="H96" i="2"/>
  <c r="J59" i="1"/>
  <c r="I59" i="1"/>
  <c r="I58" i="1"/>
  <c r="J58" i="1"/>
  <c r="I57" i="1"/>
  <c r="J57" i="1"/>
  <c r="J56" i="1"/>
  <c r="I56" i="1"/>
  <c r="J55" i="1"/>
  <c r="I55" i="1"/>
  <c r="J54" i="1"/>
  <c r="I54" i="1"/>
  <c r="J53" i="1"/>
  <c r="I53" i="1"/>
  <c r="J52" i="1"/>
  <c r="I52" i="1"/>
  <c r="I51" i="1"/>
  <c r="J51" i="1"/>
  <c r="J50" i="1"/>
  <c r="I50" i="1"/>
  <c r="J49" i="1"/>
  <c r="I49" i="1"/>
  <c r="I48" i="1"/>
  <c r="J48" i="1"/>
  <c r="I47" i="1"/>
  <c r="J47" i="1"/>
  <c r="J46" i="1"/>
  <c r="I46" i="1"/>
  <c r="J45" i="1"/>
  <c r="I45" i="1"/>
  <c r="I44" i="1"/>
  <c r="J44" i="1"/>
  <c r="I43" i="1"/>
  <c r="J43" i="1"/>
  <c r="J42" i="1"/>
  <c r="I42" i="1"/>
  <c r="I41" i="1"/>
  <c r="J41" i="1"/>
  <c r="I40" i="1"/>
  <c r="J40" i="1"/>
  <c r="J39" i="1"/>
  <c r="I39" i="1"/>
  <c r="J38" i="1"/>
  <c r="I38" i="1"/>
  <c r="I37" i="1"/>
  <c r="J37" i="1"/>
  <c r="I36" i="1"/>
  <c r="J36" i="1"/>
  <c r="J35" i="1"/>
  <c r="I35" i="1"/>
  <c r="J34" i="1"/>
  <c r="I34" i="1"/>
  <c r="I33" i="1"/>
  <c r="J33" i="1"/>
  <c r="J32" i="1"/>
  <c r="I32" i="1"/>
  <c r="I31" i="1"/>
  <c r="J31" i="1"/>
  <c r="J30" i="1"/>
  <c r="I30" i="1"/>
  <c r="I29" i="1"/>
  <c r="J29" i="1"/>
  <c r="I28" i="1"/>
  <c r="J28" i="1"/>
  <c r="I27" i="1"/>
  <c r="J27" i="1"/>
  <c r="J26" i="1"/>
  <c r="I26" i="1"/>
  <c r="I25" i="1"/>
  <c r="J25" i="1"/>
  <c r="J23" i="1"/>
  <c r="G99" i="2"/>
  <c r="H99" i="2" s="1"/>
  <c r="I23" i="1"/>
  <c r="G100" i="2"/>
  <c r="H100" i="2" s="1"/>
  <c r="I22" i="1"/>
  <c r="J22" i="1"/>
  <c r="G98" i="2"/>
  <c r="H98" i="2" s="1"/>
  <c r="J21" i="1"/>
  <c r="I21" i="1"/>
  <c r="G97" i="2"/>
  <c r="H97" i="2" s="1"/>
  <c r="I20" i="1"/>
  <c r="J20" i="1"/>
  <c r="G101" i="2"/>
  <c r="H101" i="2" s="1"/>
  <c r="I18" i="1"/>
  <c r="J18" i="1"/>
  <c r="G96" i="2"/>
  <c r="I17" i="1"/>
  <c r="J17" i="1"/>
  <c r="H24" i="1"/>
  <c r="I15" i="1"/>
  <c r="J15" i="1"/>
  <c r="I14" i="1"/>
  <c r="J14" i="1"/>
  <c r="I13" i="1"/>
  <c r="J13" i="1"/>
  <c r="H3" i="2"/>
  <c r="I12" i="1"/>
  <c r="J12" i="1"/>
  <c r="H16" i="1"/>
  <c r="G4" i="2"/>
  <c r="I11" i="1"/>
  <c r="I16" i="1" s="1"/>
  <c r="J11" i="1"/>
  <c r="G16" i="1"/>
  <c r="N14" i="1"/>
  <c r="U9" i="1"/>
  <c r="H102" i="2" l="1"/>
  <c r="H107" i="2"/>
  <c r="H110" i="2"/>
  <c r="H111" i="2"/>
  <c r="H105" i="2"/>
  <c r="H108" i="2"/>
  <c r="H114" i="2"/>
  <c r="H116" i="2"/>
  <c r="H118" i="2"/>
  <c r="H120" i="2"/>
  <c r="H121" i="2"/>
  <c r="H123" i="2"/>
  <c r="H124" i="2"/>
  <c r="H125" i="2"/>
  <c r="H126" i="2"/>
  <c r="H127" i="2"/>
  <c r="H128" i="2"/>
  <c r="H129" i="2"/>
  <c r="H130" i="2"/>
  <c r="H131" i="2"/>
  <c r="H132" i="2"/>
  <c r="H106" i="2"/>
  <c r="H109" i="2"/>
  <c r="H113" i="2"/>
  <c r="H115" i="2"/>
  <c r="H117" i="2"/>
  <c r="H119" i="2"/>
  <c r="H12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22" i="2"/>
  <c r="E119" i="2"/>
  <c r="E117" i="2"/>
  <c r="E115" i="2"/>
  <c r="E113" i="2"/>
  <c r="E109" i="2"/>
  <c r="E106" i="2"/>
  <c r="E133" i="2"/>
  <c r="E132" i="2"/>
  <c r="E131" i="2"/>
  <c r="E130" i="2"/>
  <c r="E129" i="2"/>
  <c r="E128" i="2"/>
  <c r="E127" i="2"/>
  <c r="E126" i="2"/>
  <c r="E125" i="2"/>
  <c r="E124" i="2"/>
  <c r="E123" i="2"/>
  <c r="E121" i="2"/>
  <c r="E120" i="2"/>
  <c r="E118" i="2"/>
  <c r="E116" i="2"/>
  <c r="E114" i="2"/>
  <c r="E111" i="2"/>
  <c r="E108" i="2"/>
  <c r="E105" i="2"/>
  <c r="E110" i="2"/>
  <c r="E107" i="2"/>
  <c r="H7" i="2"/>
  <c r="H13" i="2"/>
  <c r="H17" i="2"/>
  <c r="H21" i="2"/>
  <c r="H25" i="2"/>
  <c r="H37" i="2"/>
  <c r="H40" i="2"/>
  <c r="H43" i="2"/>
  <c r="H46" i="2"/>
  <c r="H49" i="2"/>
  <c r="H52" i="2"/>
  <c r="H55" i="2"/>
  <c r="H32" i="2"/>
  <c r="H33" i="2"/>
  <c r="H34" i="2"/>
  <c r="H35" i="2"/>
  <c r="H36" i="2"/>
  <c r="H10" i="2"/>
  <c r="H14" i="2"/>
  <c r="H18" i="2"/>
  <c r="H22" i="2"/>
  <c r="H38" i="2"/>
  <c r="H41" i="2"/>
  <c r="H44" i="2"/>
  <c r="H47" i="2"/>
  <c r="H50" i="2"/>
  <c r="H53" i="2"/>
  <c r="H56" i="2"/>
  <c r="H59" i="2"/>
  <c r="H62" i="2"/>
  <c r="H65" i="2"/>
  <c r="H68" i="2"/>
  <c r="H70" i="2"/>
  <c r="H72" i="2"/>
  <c r="H74" i="2"/>
  <c r="H77" i="2"/>
  <c r="M10" i="1"/>
  <c r="N10" i="1"/>
  <c r="O10" i="1" s="1"/>
  <c r="M12" i="1"/>
  <c r="N12" i="1"/>
  <c r="O12" i="1" s="1"/>
  <c r="M8" i="1"/>
  <c r="N8" i="1"/>
  <c r="O8" i="1" s="1"/>
  <c r="M9" i="1"/>
  <c r="N9" i="1"/>
  <c r="O9" i="1" s="1"/>
  <c r="M11" i="1"/>
  <c r="N11" i="1"/>
  <c r="O11" i="1" s="1"/>
  <c r="M13" i="1"/>
  <c r="N13" i="1"/>
  <c r="O13" i="1" s="1"/>
  <c r="M7" i="1"/>
  <c r="N7" i="1"/>
  <c r="O7" i="1" s="1"/>
  <c r="G102" i="2"/>
  <c r="I24" i="1"/>
  <c r="H4" i="2"/>
  <c r="G7" i="2"/>
  <c r="H58" i="2" l="1"/>
  <c r="H61" i="2"/>
  <c r="H64" i="2"/>
  <c r="H67" i="2"/>
  <c r="H69" i="2"/>
  <c r="H71" i="2"/>
  <c r="H73" i="2"/>
  <c r="H75" i="2"/>
  <c r="H78" i="2"/>
  <c r="H81" i="2"/>
  <c r="H83" i="2"/>
  <c r="H86" i="2"/>
  <c r="H89" i="2"/>
  <c r="H91" i="2"/>
  <c r="H12" i="2"/>
  <c r="H16" i="2"/>
  <c r="H20" i="2"/>
  <c r="H24" i="2"/>
  <c r="H26" i="2"/>
  <c r="H27" i="2"/>
  <c r="H28" i="2"/>
  <c r="H29" i="2"/>
  <c r="H30" i="2"/>
  <c r="H31" i="2"/>
  <c r="H80" i="2"/>
  <c r="H82" i="2"/>
  <c r="H85" i="2"/>
  <c r="H87" i="2"/>
  <c r="H90" i="2"/>
  <c r="H11" i="2"/>
  <c r="H15" i="2"/>
  <c r="H19" i="2"/>
  <c r="H23" i="2"/>
  <c r="H39" i="2"/>
  <c r="H42" i="2"/>
  <c r="H45" i="2"/>
  <c r="H48" i="2"/>
  <c r="H51" i="2"/>
  <c r="H54" i="2"/>
  <c r="H57" i="2"/>
  <c r="H60" i="2"/>
  <c r="H63" i="2"/>
  <c r="H66" i="2"/>
  <c r="H76" i="2"/>
  <c r="H79" i="2"/>
  <c r="H84" i="2"/>
  <c r="H88" i="2"/>
  <c r="F146" i="2"/>
  <c r="G146" i="2"/>
  <c r="F145" i="2"/>
  <c r="G145" i="2"/>
  <c r="F144" i="2"/>
  <c r="G144" i="2"/>
  <c r="F143" i="2"/>
  <c r="G143" i="2"/>
  <c r="F142" i="2"/>
  <c r="G142" i="2"/>
  <c r="F141" i="2"/>
  <c r="G141" i="2"/>
  <c r="F129" i="2"/>
  <c r="G129" i="2"/>
  <c r="F126" i="2"/>
  <c r="G126" i="2"/>
  <c r="F124" i="2"/>
  <c r="G124" i="2"/>
  <c r="F122" i="2"/>
  <c r="G122" i="2"/>
  <c r="F120" i="2"/>
  <c r="G120" i="2"/>
  <c r="G109" i="2"/>
  <c r="I109" i="2"/>
  <c r="F115" i="2"/>
  <c r="G115" i="2"/>
  <c r="G106" i="2"/>
  <c r="I106" i="2"/>
  <c r="F140" i="2"/>
  <c r="G140" i="2"/>
  <c r="F139" i="2"/>
  <c r="G139" i="2"/>
  <c r="F138" i="2"/>
  <c r="G138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8" i="2"/>
  <c r="G128" i="2"/>
  <c r="F127" i="2"/>
  <c r="G127" i="2"/>
  <c r="F125" i="2"/>
  <c r="G125" i="2"/>
  <c r="F123" i="2"/>
  <c r="G123" i="2"/>
  <c r="F121" i="2"/>
  <c r="G121" i="2"/>
  <c r="G111" i="2"/>
  <c r="F118" i="2"/>
  <c r="G118" i="2"/>
  <c r="I111" i="2"/>
  <c r="G108" i="2"/>
  <c r="I108" i="2"/>
  <c r="G105" i="2"/>
  <c r="I105" i="2"/>
  <c r="G110" i="2"/>
  <c r="I110" i="2"/>
  <c r="F116" i="2"/>
  <c r="G116" i="2"/>
  <c r="G107" i="2"/>
  <c r="I107" i="2"/>
  <c r="E88" i="2"/>
  <c r="E84" i="2"/>
  <c r="E79" i="2"/>
  <c r="E76" i="2"/>
  <c r="E66" i="2"/>
  <c r="G66" i="2" s="1"/>
  <c r="E63" i="2"/>
  <c r="E60" i="2"/>
  <c r="E57" i="2"/>
  <c r="E54" i="2"/>
  <c r="E51" i="2"/>
  <c r="E48" i="2"/>
  <c r="E45" i="2"/>
  <c r="E42" i="2"/>
  <c r="E39" i="2"/>
  <c r="E23" i="2"/>
  <c r="G23" i="2" s="1"/>
  <c r="E19" i="2"/>
  <c r="E15" i="2"/>
  <c r="E11" i="2"/>
  <c r="E90" i="2"/>
  <c r="E87" i="2"/>
  <c r="E85" i="2"/>
  <c r="E82" i="2"/>
  <c r="E80" i="2"/>
  <c r="E77" i="2"/>
  <c r="E74" i="2"/>
  <c r="E72" i="2"/>
  <c r="E70" i="2"/>
  <c r="E68" i="2"/>
  <c r="E65" i="2"/>
  <c r="E62" i="2"/>
  <c r="E59" i="2"/>
  <c r="E56" i="2"/>
  <c r="E53" i="2"/>
  <c r="E50" i="2"/>
  <c r="E47" i="2"/>
  <c r="E44" i="2"/>
  <c r="E41" i="2"/>
  <c r="E38" i="2"/>
  <c r="E22" i="2"/>
  <c r="E18" i="2"/>
  <c r="E14" i="2"/>
  <c r="E10" i="2"/>
  <c r="E37" i="2"/>
  <c r="E36" i="2"/>
  <c r="E35" i="2"/>
  <c r="E34" i="2"/>
  <c r="E33" i="2"/>
  <c r="E32" i="2"/>
  <c r="E31" i="2"/>
  <c r="E30" i="2"/>
  <c r="E29" i="2"/>
  <c r="E28" i="2"/>
  <c r="E27" i="2"/>
  <c r="E26" i="2"/>
  <c r="E24" i="2"/>
  <c r="E20" i="2"/>
  <c r="E16" i="2"/>
  <c r="E12" i="2"/>
  <c r="E91" i="2"/>
  <c r="E89" i="2"/>
  <c r="E86" i="2"/>
  <c r="E83" i="2"/>
  <c r="E81" i="2"/>
  <c r="E78" i="2"/>
  <c r="E75" i="2"/>
  <c r="E73" i="2"/>
  <c r="E71" i="2"/>
  <c r="E69" i="2"/>
  <c r="E67" i="2"/>
  <c r="G67" i="2" s="1"/>
  <c r="E64" i="2"/>
  <c r="E61" i="2"/>
  <c r="E58" i="2"/>
  <c r="E55" i="2"/>
  <c r="E52" i="2"/>
  <c r="E49" i="2"/>
  <c r="E46" i="2"/>
  <c r="E43" i="2"/>
  <c r="G43" i="2" s="1"/>
  <c r="E40" i="2"/>
  <c r="E25" i="2"/>
  <c r="E21" i="2"/>
  <c r="E17" i="2"/>
  <c r="E13" i="2"/>
  <c r="G88" i="2" l="1"/>
  <c r="I88" i="2"/>
  <c r="G84" i="2"/>
  <c r="I84" i="2"/>
  <c r="G79" i="2"/>
  <c r="I79" i="2"/>
  <c r="G76" i="2"/>
  <c r="I76" i="2"/>
  <c r="G63" i="2"/>
  <c r="I63" i="2"/>
  <c r="G60" i="2"/>
  <c r="I60" i="2"/>
  <c r="G57" i="2"/>
  <c r="I57" i="2"/>
  <c r="G54" i="2"/>
  <c r="I54" i="2"/>
  <c r="G51" i="2"/>
  <c r="I51" i="2"/>
  <c r="G48" i="2"/>
  <c r="I48" i="2"/>
  <c r="G45" i="2"/>
  <c r="I45" i="2"/>
  <c r="G42" i="2"/>
  <c r="I42" i="2"/>
  <c r="G39" i="2"/>
  <c r="I39" i="2"/>
  <c r="G19" i="2"/>
  <c r="I19" i="2"/>
  <c r="G15" i="2"/>
  <c r="I15" i="2"/>
  <c r="G11" i="2"/>
  <c r="I11" i="2"/>
  <c r="G90" i="2"/>
  <c r="I90" i="2"/>
  <c r="G87" i="2"/>
  <c r="I87" i="2"/>
  <c r="G85" i="2"/>
  <c r="I85" i="2"/>
  <c r="G82" i="2"/>
  <c r="I82" i="2"/>
  <c r="G80" i="2"/>
  <c r="I80" i="2"/>
  <c r="G77" i="2"/>
  <c r="I77" i="2"/>
  <c r="G74" i="2"/>
  <c r="I74" i="2"/>
  <c r="G72" i="2"/>
  <c r="I72" i="2"/>
  <c r="G70" i="2"/>
  <c r="I70" i="2"/>
  <c r="G68" i="2"/>
  <c r="I68" i="2"/>
  <c r="G65" i="2"/>
  <c r="I65" i="2"/>
  <c r="G62" i="2"/>
  <c r="I62" i="2"/>
  <c r="G59" i="2"/>
  <c r="I59" i="2"/>
  <c r="G56" i="2"/>
  <c r="I56" i="2"/>
  <c r="G53" i="2"/>
  <c r="I53" i="2"/>
  <c r="G50" i="2"/>
  <c r="I50" i="2"/>
  <c r="G47" i="2"/>
  <c r="I47" i="2"/>
  <c r="G44" i="2"/>
  <c r="I44" i="2"/>
  <c r="G41" i="2"/>
  <c r="I41" i="2" s="1"/>
  <c r="G38" i="2"/>
  <c r="I38" i="2"/>
  <c r="G22" i="2"/>
  <c r="I22" i="2"/>
  <c r="G18" i="2"/>
  <c r="I18" i="2"/>
  <c r="G14" i="2"/>
  <c r="I14" i="2"/>
  <c r="G10" i="2"/>
  <c r="I10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4" i="2"/>
  <c r="I24" i="2"/>
  <c r="G20" i="2"/>
  <c r="I20" i="2"/>
  <c r="G16" i="2"/>
  <c r="I16" i="2"/>
  <c r="G12" i="2"/>
  <c r="I12" i="2"/>
  <c r="G91" i="2"/>
  <c r="I91" i="2"/>
  <c r="G89" i="2"/>
  <c r="I89" i="2"/>
  <c r="G86" i="2"/>
  <c r="I86" i="2"/>
  <c r="G83" i="2"/>
  <c r="I83" i="2"/>
  <c r="G81" i="2"/>
  <c r="I81" i="2"/>
  <c r="G78" i="2"/>
  <c r="I78" i="2"/>
  <c r="G75" i="2"/>
  <c r="I75" i="2"/>
  <c r="G73" i="2"/>
  <c r="I73" i="2"/>
  <c r="G71" i="2"/>
  <c r="I71" i="2"/>
  <c r="G69" i="2"/>
  <c r="I69" i="2"/>
  <c r="G64" i="2"/>
  <c r="I64" i="2"/>
  <c r="G61" i="2"/>
  <c r="I61" i="2"/>
  <c r="G58" i="2"/>
  <c r="I58" i="2"/>
  <c r="G55" i="2"/>
  <c r="I55" i="2"/>
  <c r="G52" i="2"/>
  <c r="I52" i="2"/>
  <c r="G49" i="2"/>
  <c r="I49" i="2"/>
  <c r="G46" i="2"/>
  <c r="I46" i="2"/>
  <c r="G40" i="2"/>
  <c r="I40" i="2"/>
  <c r="G25" i="2"/>
  <c r="I25" i="2"/>
  <c r="G21" i="2"/>
  <c r="I21" i="2"/>
  <c r="G17" i="2"/>
  <c r="I17" i="2"/>
  <c r="G13" i="2"/>
  <c r="I13" i="2"/>
</calcChain>
</file>

<file path=xl/sharedStrings.xml><?xml version="1.0" encoding="utf-8"?>
<sst xmlns="http://schemas.openxmlformats.org/spreadsheetml/2006/main" count="4857" uniqueCount="923">
  <si>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</si>
  <si>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</si>
  <si>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</si>
  <si>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</si>
  <si>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</si>
  <si>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</si>
  <si>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</si>
  <si>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</si>
  <si>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</si>
  <si>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</si>
  <si>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</si>
  <si>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</si>
  <si>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</si>
  <si>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</si>
  <si>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</si>
  <si>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</si>
  <si>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</si>
  <si>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</si>
  <si>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</si>
  <si>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</si>
  <si>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</si>
  <si>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</si>
  <si>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</si>
  <si>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</si>
  <si>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</si>
  <si>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</si>
  <si>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</si>
  <si>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</si>
  <si>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Samsol International Private Limited</t>
  </si>
  <si>
    <t>S 43 25MM</t>
  </si>
  <si>
    <t>S-45</t>
  </si>
  <si>
    <t>Material Shortage</t>
  </si>
  <si>
    <t>TUBES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</si>
  <si>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</si>
  <si>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</si>
  <si>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</si>
  <si>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</si>
  <si>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</si>
  <si>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</si>
  <si>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</si>
  <si>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</si>
  <si>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Power Shutdown</t>
  </si>
  <si>
    <t>PET</t>
  </si>
  <si>
    <t>PET BOTTLE SMALL (120ML) YELLOW</t>
  </si>
  <si>
    <t>120 ml</t>
  </si>
  <si>
    <t>PET BOTTLE 130ML WHITE</t>
  </si>
  <si>
    <t>130 ml</t>
  </si>
  <si>
    <t>Gas Shutdown</t>
  </si>
  <si>
    <t>PET BOTTLE SMALL (130ML) TRANSPARENT</t>
  </si>
  <si>
    <t>Workers Shortage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</si>
  <si>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</si>
  <si>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</si>
  <si>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</si>
  <si>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</si>
  <si>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</si>
  <si>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</si>
  <si>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</si>
  <si>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</si>
  <si>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</si>
  <si>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</si>
  <si>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</si>
  <si>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</si>
  <si>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</si>
  <si>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</si>
  <si>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</si>
  <si>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</si>
  <si>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</si>
  <si>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</si>
  <si>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</si>
  <si>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</si>
  <si>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</si>
  <si>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</si>
  <si>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</si>
  <si>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</si>
  <si>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</si>
  <si>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</si>
  <si>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</si>
  <si>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</si>
  <si>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</si>
  <si>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</si>
  <si>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</si>
  <si>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</si>
  <si>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</si>
  <si>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</si>
  <si>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</si>
  <si>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</si>
  <si>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</si>
  <si>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</si>
  <si>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</si>
  <si>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</si>
  <si>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</si>
  <si>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</si>
  <si>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</si>
  <si>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</si>
  <si>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</si>
  <si>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</si>
  <si>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</si>
  <si>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</si>
  <si>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</si>
  <si>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</si>
  <si>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</si>
  <si>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</si>
  <si>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</si>
  <si>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</si>
  <si>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</si>
  <si>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</si>
  <si>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</si>
  <si>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</si>
  <si>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</si>
  <si>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</si>
  <si>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</si>
  <si>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</si>
  <si>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</si>
  <si>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</si>
  <si>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</si>
  <si>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</si>
  <si>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</si>
  <si>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</si>
  <si>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</si>
  <si>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</si>
  <si>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</si>
  <si>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</si>
  <si>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</si>
  <si>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</si>
  <si>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</si>
  <si>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</si>
  <si>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</si>
  <si>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</si>
  <si>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</si>
  <si>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</si>
  <si>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</si>
  <si>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</si>
  <si>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</si>
  <si>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</si>
  <si>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</si>
  <si>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</si>
  <si>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</si>
  <si>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</si>
  <si>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</si>
  <si>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</si>
  <si>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</si>
  <si>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</si>
  <si>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</si>
  <si>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</si>
  <si>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</si>
  <si>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</si>
  <si>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</si>
  <si>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</si>
  <si>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</si>
  <si>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</si>
  <si>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</si>
  <si>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</si>
  <si>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</si>
  <si>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</si>
  <si>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</si>
  <si>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</si>
  <si>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</si>
  <si>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</si>
  <si>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</si>
  <si>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</si>
  <si>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</si>
  <si>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</si>
  <si>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</si>
  <si>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</si>
  <si>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</si>
  <si>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</si>
  <si>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</si>
  <si>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</si>
  <si>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</si>
  <si>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</si>
  <si>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</si>
  <si>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</si>
  <si>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</si>
  <si>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</si>
  <si>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</si>
  <si>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</si>
  <si>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</si>
  <si>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</si>
  <si>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</si>
  <si>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</si>
  <si>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</si>
  <si>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</si>
  <si>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</si>
  <si>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</si>
  <si>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</si>
  <si>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</si>
  <si>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</si>
  <si>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</si>
  <si>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</si>
  <si>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</si>
  <si>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</si>
  <si>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</si>
  <si>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</si>
  <si>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</si>
  <si>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</si>
  <si>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</si>
  <si>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</si>
  <si>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</si>
  <si>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</si>
  <si>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</si>
  <si>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</si>
  <si>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</si>
  <si>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</si>
  <si>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</si>
  <si>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</si>
  <si>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</si>
  <si>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</si>
  <si>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</si>
  <si>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</si>
  <si>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</si>
  <si>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</si>
  <si>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</si>
  <si>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</si>
  <si>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</si>
  <si>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</si>
  <si>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</si>
  <si>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</si>
  <si>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</si>
  <si>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</si>
  <si>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</si>
  <si>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</si>
  <si>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</si>
  <si>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</si>
  <si>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</si>
  <si>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</si>
  <si>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</si>
  <si>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</si>
  <si>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</si>
  <si>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</si>
  <si>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</si>
  <si>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</si>
  <si>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</si>
  <si>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</si>
  <si>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</si>
  <si>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</si>
  <si>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</si>
  <si>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</si>
  <si>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</si>
  <si>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</si>
  <si>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</si>
  <si>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</si>
  <si>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</si>
  <si>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</si>
  <si>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</si>
  <si>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</si>
  <si>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</si>
  <si>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</si>
  <si>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</si>
  <si>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</si>
  <si>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</si>
  <si>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</si>
  <si>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</si>
  <si>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</si>
  <si>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</si>
  <si>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</si>
  <si>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</si>
  <si>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</si>
  <si>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</si>
  <si>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</si>
  <si>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</si>
  <si>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</si>
  <si>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</si>
  <si>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</si>
  <si>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</si>
  <si>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</si>
  <si>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</si>
  <si>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</si>
  <si>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</si>
  <si>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</si>
  <si>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</si>
  <si>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</si>
  <si>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</si>
  <si>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</si>
  <si>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</si>
  <si>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</si>
  <si>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</si>
  <si>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</si>
  <si>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</si>
  <si>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</si>
  <si>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</si>
  <si>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</si>
  <si>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</si>
  <si>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</si>
  <si>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</si>
  <si>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</si>
  <si>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</si>
  <si>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</si>
  <si>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</si>
  <si>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</si>
  <si>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</si>
  <si>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</si>
  <si>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</si>
  <si>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</si>
  <si>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</si>
  <si>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</si>
  <si>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</si>
  <si>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</si>
  <si>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</si>
  <si>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</si>
  <si>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</si>
  <si>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</si>
  <si>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</si>
  <si>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</si>
  <si>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</si>
  <si>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</si>
  <si>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</si>
  <si>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</si>
  <si>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</si>
  <si>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</si>
  <si>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</si>
  <si>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</si>
  <si>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</si>
  <si>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</si>
  <si>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</si>
  <si>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</si>
  <si>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</si>
  <si>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</si>
  <si>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</si>
  <si>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</si>
  <si>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</si>
  <si>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</si>
  <si>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</si>
  <si>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</si>
  <si>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</si>
  <si>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</si>
  <si>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</si>
  <si>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</si>
  <si>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</si>
  <si>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</si>
  <si>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</si>
  <si>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</si>
  <si>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</si>
  <si>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</si>
  <si>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</si>
  <si>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</si>
  <si>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</si>
  <si>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</si>
  <si>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</si>
  <si>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</si>
  <si>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</si>
  <si>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</si>
  <si>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</si>
  <si>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</si>
  <si>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</si>
  <si>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</si>
  <si>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</si>
  <si>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</si>
  <si>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</si>
  <si>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</si>
  <si>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</si>
  <si>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</si>
  <si>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</si>
  <si>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</si>
  <si>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</si>
  <si>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</si>
  <si>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</si>
  <si>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</si>
  <si>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</si>
  <si>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</si>
  <si>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</si>
  <si>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</si>
  <si>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</si>
  <si>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</si>
  <si>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Added proportionally per user request (11-Jul-2026)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</si>
  <si>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</si>
  <si>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</si>
  <si>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</si>
  <si>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</si>
  <si>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</si>
  <si>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</si>
  <si>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</si>
  <si>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</si>
  <si>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</si>
  <si>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</si>
  <si>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</si>
  <si>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</si>
  <si>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</si>
  <si>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</si>
  <si>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</si>
  <si>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</si>
  <si>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</si>
  <si>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</si>
  <si>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</si>
  <si>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</si>
  <si>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</si>
  <si>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</si>
  <si>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</si>
  <si>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</si>
  <si>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</si>
  <si>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</si>
  <si>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</si>
  <si>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</si>
  <si>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</si>
  <si>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</si>
  <si>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</si>
  <si>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</si>
  <si>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</si>
  <si>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</si>
  <si>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</si>
  <si>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</si>
  <si>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</si>
  <si>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</si>
  <si>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</si>
  <si>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</si>
  <si>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</si>
  <si>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</si>
  <si>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</si>
  <si>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</si>
  <si>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</si>
  <si>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</si>
  <si>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</si>
  <si>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</si>
  <si>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</si>
  <si>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</si>
  <si>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</si>
  <si>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</si>
  <si>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</si>
  <si>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</si>
  <si>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</si>
  <si>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</si>
  <si>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</si>
  <si>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</si>
  <si>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</si>
  <si>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</si>
  <si>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</si>
  <si>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</si>
  <si>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</si>
  <si>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</si>
  <si>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</si>
  <si>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</si>
  <si>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</si>
  <si>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</si>
  <si>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</si>
  <si>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</si>
  <si>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</si>
  <si>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</si>
  <si>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</si>
  <si>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</si>
  <si>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</si>
  <si>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</si>
  <si>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</si>
  <si>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</si>
  <si>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</si>
  <si>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</si>
  <si>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</si>
  <si>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</si>
  <si>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</si>
  <si>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</si>
  <si>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</si>
  <si>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</si>
  <si>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</si>
  <si>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</si>
  <si>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</si>
  <si>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</si>
  <si>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</si>
  <si>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</si>
  <si>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</si>
  <si>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</si>
  <si>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</si>
  <si>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</si>
  <si>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</si>
  <si>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</si>
  <si>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</si>
  <si>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</si>
  <si>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</si>
  <si>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</si>
  <si>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</si>
  <si>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</si>
  <si>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</si>
  <si>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</si>
  <si>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</si>
  <si>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</si>
  <si>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</si>
  <si>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</si>
  <si>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</si>
  <si>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</si>
  <si>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</si>
  <si>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</si>
  <si>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</si>
  <si>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</si>
  <si>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</si>
  <si>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</si>
  <si>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</si>
  <si>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</si>
  <si>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</si>
  <si>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</si>
  <si>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</si>
  <si>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</si>
  <si>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</si>
  <si>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</si>
  <si>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</si>
  <si>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</si>
  <si>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</si>
  <si>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</si>
  <si>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</si>
  <si>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</si>
  <si>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</si>
  <si>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</si>
  <si>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</si>
  <si>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</si>
  <si>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</si>
  <si>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</si>
  <si>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</si>
  <si>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</si>
  <si>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</si>
  <si>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</si>
  <si>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</si>
  <si>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</si>
  <si>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</si>
  <si>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</si>
  <si>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</si>
  <si>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</si>
  <si>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</si>
  <si>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</si>
  <si>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</si>
  <si>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</si>
  <si>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</si>
  <si>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</si>
  <si>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</si>
  <si>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</si>
  <si>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</si>
  <si>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</si>
  <si>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</si>
  <si>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</si>
  <si>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</si>
  <si>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</si>
  <si>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</si>
  <si>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</si>
  <si>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</si>
  <si>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</si>
  <si>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</si>
  <si>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</si>
  <si>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</si>
  <si>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</si>
  <si>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</si>
  <si>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</si>
  <si>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</si>
  <si>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</si>
  <si>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</si>
  <si>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</si>
  <si>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</si>
  <si>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</si>
  <si>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</si>
  <si>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</si>
  <si>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</si>
  <si>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</si>
  <si>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</si>
  <si>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</si>
  <si>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</si>
  <si>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</si>
  <si>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</si>
  <si>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</si>
  <si>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</si>
  <si>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</si>
  <si>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</si>
  <si>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</si>
  <si>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</si>
  <si>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</si>
  <si>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</si>
  <si>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</si>
  <si>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</si>
  <si>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</si>
  <si>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</si>
  <si>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</si>
  <si>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</si>
  <si>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</si>
  <si>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</si>
  <si>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</si>
  <si>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</si>
  <si>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</si>
  <si>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</si>
  <si>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</si>
  <si>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</si>
  <si>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</si>
  <si>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</si>
  <si>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</si>
  <si>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</si>
  <si>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</si>
  <si>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</si>
  <si>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</si>
  <si>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</si>
  <si>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</si>
  <si>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</si>
  <si>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</si>
  <si>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</si>
  <si>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</si>
  <si>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</si>
  <si>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</si>
  <si>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</si>
  <si>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</si>
  <si>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</si>
  <si>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</si>
  <si>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</si>
  <si>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</si>
  <si>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</si>
  <si>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</si>
  <si>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</si>
  <si>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</si>
  <si>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</si>
  <si>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</si>
  <si>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</si>
  <si>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</si>
  <si>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</si>
  <si>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</si>
  <si>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</si>
  <si>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</si>
  <si>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</si>
  <si>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</si>
  <si>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20-Jul-2026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</si>
  <si>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</si>
  <si>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</si>
  <si>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</si>
  <si>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</si>
  <si>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</si>
  <si>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</si>
  <si>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</si>
  <si>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200ml</t>
  </si>
  <si>
    <t>OK</t>
  </si>
  <si>
    <t>Ready for dispatch</t>
  </si>
  <si>
    <t>32</t>
  </si>
  <si>
    <t>30</t>
  </si>
  <si>
    <t>35</t>
  </si>
  <si>
    <t>20.5</t>
  </si>
  <si>
    <t>Order Cancel</t>
  </si>
  <si>
    <t>19</t>
  </si>
  <si>
    <t>Not Ready</t>
  </si>
  <si>
    <t>Inprogress on Packing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</si>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</sst>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7"/>
    <xf numFmtId="172" fontId="24" fillId="0" borderId="27"/>
    <xf numFmtId="0" fontId="24" fillId="0" borderId="27"/>
    <xf numFmtId="0" fontId="24" fillId="0" borderId="27">
      <alignment horizontal="left"/>
    </xf>
    <xf numFmtId="0" fontId="24" fillId="0" borderId="27"/>
    <xf numFmtId="0" fontId="24" fillId="0" borderId="27"/>
    <xf numFmtId="0" fontId="1" fillId="0" borderId="27"/>
    <xf numFmtId="0" fontId="1" fillId="0" borderId="27">
      <alignment horizontal="left"/>
    </xf>
    <xf numFmtId="0" fontId="24" fillId="0" borderId="27"/>
    <xf numFmtId="43" fontId="24" fillId="0" borderId="27"/>
  </cellStyleXfs>
  <cellXfs count="28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6" fillId="6" borderId="7" xfId="0" applyFont="1" applyFill="1" applyBorder="1" applyAlignment="1">
      <alignment horizontal="center" vertical="center"/>
    </xf>
    <xf numFmtId="0" fontId="46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6" fillId="6" borderId="25" xfId="0" applyFont="1" applyFill="1" applyBorder="1" applyAlignment="1">
      <alignment horizontal="left" vertical="center"/>
    </xf>
    <xf numFmtId="0" fontId="46" fillId="8" borderId="25" xfId="0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167" fontId="24" fillId="0" borderId="27" xfId="0" applyNumberFormat="1" applyFont="1"/>
    <xf numFmtId="0" fontId="24" fillId="0" borderId="27" xfId="0" applyFont="1"/>
    <xf numFmtId="3" fontId="24" fillId="0" borderId="27" xfId="0" applyNumberFormat="1" applyFont="1"/>
    <xf numFmtId="168" fontId="24" fillId="0" borderId="27" xfId="0" applyNumberFormat="1" applyFont="1"/>
    <xf numFmtId="0" fontId="51" fillId="10" borderId="29" xfId="0" applyFont="1" applyFill="1" applyBorder="1" applyAlignment="1">
      <alignment horizontal="center" vertical="center"/>
    </xf>
    <xf numFmtId="0" fontId="51" fillId="10" borderId="29" xfId="0" applyFont="1" applyFill="1" applyBorder="1" applyAlignment="1">
      <alignment horizontal="left" vertical="center"/>
    </xf>
    <xf numFmtId="3" fontId="52" fillId="10" borderId="29" xfId="0" applyNumberFormat="1" applyFont="1" applyFill="1" applyBorder="1" applyAlignment="1">
      <alignment horizontal="center" vertical="center"/>
    </xf>
    <xf numFmtId="0" fontId="51" fillId="10" borderId="29" xfId="0" applyFont="1" applyFill="1" applyBorder="1" applyAlignment="1">
      <alignment horizontal="left" vertical="center" wrapText="1"/>
    </xf>
    <xf numFmtId="0" fontId="51" fillId="11" borderId="29" xfId="0" applyFont="1" applyFill="1" applyBorder="1" applyAlignment="1">
      <alignment horizontal="center" vertical="center"/>
    </xf>
    <xf numFmtId="0" fontId="51" fillId="11" borderId="29" xfId="0" applyFont="1" applyFill="1" applyBorder="1" applyAlignment="1">
      <alignment horizontal="left" vertical="center"/>
    </xf>
    <xf numFmtId="3" fontId="52" fillId="11" borderId="29" xfId="0" applyNumberFormat="1" applyFont="1" applyFill="1" applyBorder="1" applyAlignment="1">
      <alignment horizontal="center" vertical="center"/>
    </xf>
    <xf numFmtId="0" fontId="51" fillId="11" borderId="29" xfId="0" applyFont="1" applyFill="1" applyBorder="1" applyAlignment="1">
      <alignment horizontal="left" vertical="center" wrapText="1"/>
    </xf>
    <xf numFmtId="0" fontId="51" fillId="0" borderId="28" xfId="0" applyFont="1" applyBorder="1" applyAlignment="1">
      <alignment horizontal="center" vertical="center"/>
    </xf>
    <xf numFmtId="0" fontId="51" fillId="0" borderId="28" xfId="0" applyFont="1" applyBorder="1" applyAlignment="1">
      <alignment horizontal="left" vertical="center"/>
    </xf>
    <xf numFmtId="3" fontId="51" fillId="0" borderId="28" xfId="0" applyNumberFormat="1" applyFont="1" applyBorder="1" applyAlignment="1">
      <alignment horizontal="center" vertical="center"/>
    </xf>
    <xf numFmtId="0" fontId="51" fillId="0" borderId="28" xfId="0" applyFont="1" applyBorder="1" applyAlignment="1">
      <alignment horizontal="left" vertical="center" wrapText="1"/>
    </xf>
    <xf numFmtId="0" fontId="51" fillId="0" borderId="28" xfId="0" applyFont="1" applyBorder="1"/>
    <xf numFmtId="0" fontId="53" fillId="0" borderId="30" xfId="0" applyFont="1" applyBorder="1" applyAlignment="1">
      <alignment horizontal="center" vertical="center"/>
    </xf>
    <xf numFmtId="0" fontId="53" fillId="0" borderId="30" xfId="0" applyFont="1" applyBorder="1" applyAlignment="1">
      <alignment horizontal="left" vertical="center"/>
    </xf>
    <xf numFmtId="3" fontId="53" fillId="0" borderId="30" xfId="0" applyNumberFormat="1" applyFont="1" applyBorder="1" applyAlignment="1">
      <alignment horizontal="left" vertical="center"/>
    </xf>
    <xf numFmtId="171" fontId="53" fillId="0" borderId="30" xfId="0" applyNumberFormat="1" applyFont="1" applyBorder="1" applyAlignment="1">
      <alignment horizontal="center" vertical="center"/>
    </xf>
    <xf numFmtId="3" fontId="53" fillId="0" borderId="30" xfId="0" applyNumberFormat="1" applyFont="1" applyBorder="1" applyAlignment="1">
      <alignment horizontal="center" vertical="center"/>
    </xf>
    <xf numFmtId="3" fontId="54" fillId="0" borderId="30" xfId="0" applyNumberFormat="1" applyFont="1" applyBorder="1" applyAlignment="1">
      <alignment horizontal="center" vertical="center"/>
    </xf>
    <xf numFmtId="9" fontId="53" fillId="0" borderId="30" xfId="0" applyNumberFormat="1" applyFont="1" applyBorder="1" applyAlignment="1">
      <alignment horizontal="center" vertical="center"/>
    </xf>
    <xf numFmtId="0" fontId="54" fillId="0" borderId="30" xfId="0" applyFont="1" applyBorder="1" applyAlignment="1">
      <alignment horizontal="left" vertical="center"/>
    </xf>
    <xf numFmtId="0" fontId="41" fillId="3" borderId="26" xfId="0" applyFont="1" applyFill="1" applyBorder="1" applyAlignment="1">
      <alignment horizontal="left" vertical="center"/>
    </xf>
    <xf numFmtId="169" fontId="41" fillId="3" borderId="26" xfId="0" applyNumberFormat="1" applyFont="1" applyFill="1" applyBorder="1" applyAlignment="1">
      <alignment horizontal="center" vertical="center"/>
    </xf>
    <xf numFmtId="0" fontId="41" fillId="3" borderId="26" xfId="0" applyFont="1" applyFill="1" applyBorder="1" applyAlignment="1">
      <alignment horizontal="right" vertical="center"/>
    </xf>
    <xf numFmtId="3" fontId="41" fillId="3" borderId="26" xfId="0" applyNumberFormat="1" applyFont="1" applyFill="1" applyBorder="1" applyAlignment="1">
      <alignment horizontal="center" vertical="center"/>
    </xf>
    <xf numFmtId="0" fontId="53" fillId="0" borderId="28" xfId="0" applyFont="1" applyBorder="1"/>
    <xf numFmtId="0" fontId="37" fillId="3" borderId="27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7" xfId="0" applyNumberFormat="1" applyFont="1" applyFill="1" applyAlignment="1">
      <alignment horizontal="center" vertical="center"/>
    </xf>
    <xf numFmtId="167" fontId="38" fillId="3" borderId="27" xfId="0" applyNumberFormat="1" applyFont="1" applyFill="1" applyAlignment="1">
      <alignment horizontal="center"/>
    </xf>
    <xf numFmtId="0" fontId="42" fillId="5" borderId="27" xfId="0" applyFont="1" applyFill="1" applyAlignment="1">
      <alignment vertical="center"/>
    </xf>
    <xf numFmtId="0" fontId="37" fillId="3" borderId="27" xfId="0" applyFont="1" applyFill="1" applyAlignment="1">
      <alignment vertical="center"/>
    </xf>
    <xf numFmtId="0" fontId="36" fillId="3" borderId="27" xfId="0" applyFont="1" applyFill="1" applyAlignment="1">
      <alignment horizontal="center" vertical="center"/>
    </xf>
    <xf numFmtId="3" fontId="36" fillId="5" borderId="27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7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7" xfId="0" applyFont="1" applyFill="1" applyAlignment="1">
      <alignment horizontal="left" vertical="center"/>
    </xf>
    <xf numFmtId="0" fontId="21" fillId="9" borderId="27" xfId="0" applyFont="1" applyFill="1" applyAlignment="1">
      <alignment horizontal="left" vertical="center" indent="1"/>
    </xf>
    <xf numFmtId="0" fontId="8" fillId="3" borderId="27" xfId="0" applyFont="1" applyFill="1" applyAlignment="1">
      <alignment horizontal="left" vertical="center" indent="1"/>
    </xf>
    <xf numFmtId="0" fontId="29" fillId="0" borderId="27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7" xfId="0" applyFont="1" applyFill="1" applyAlignment="1">
      <alignment horizontal="left" vertical="center"/>
    </xf>
    <xf numFmtId="0" fontId="26" fillId="12" borderId="27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zoomScaleNormal="100" workbookViewId="0">
      <selection activeCell="L15" sqref="L15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06" width="8.7109375" style="131" customWidth="1"/>
    <col min="107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6" t="s">
        <v>0</v>
      </c>
      <c r="C2" s="259"/>
      <c r="D2" s="259"/>
      <c r="E2" s="260"/>
      <c r="F2" s="259"/>
      <c r="G2" s="261"/>
      <c r="H2" s="259"/>
      <c r="I2" s="259"/>
      <c r="J2" s="259"/>
      <c r="K2" s="259"/>
      <c r="L2" s="259"/>
      <c r="M2" s="259"/>
      <c r="N2" s="259"/>
      <c r="O2" s="259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58" t="s">
        <v>1</v>
      </c>
      <c r="C3" s="259"/>
      <c r="D3" s="259"/>
      <c r="E3" s="260"/>
      <c r="F3" s="259"/>
      <c r="G3" s="261"/>
      <c r="H3" s="263">
        <f ca="1">TODAY()-1</f>
        <v>46222</v>
      </c>
      <c r="I3" s="259"/>
      <c r="J3" s="259"/>
      <c r="K3" s="259"/>
      <c r="L3" s="259"/>
      <c r="M3" s="259"/>
      <c r="N3" s="259"/>
      <c r="O3" s="259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5" t="s">
        <v>2</v>
      </c>
      <c r="C5" s="259"/>
      <c r="D5" s="133" t="s">
        <v>3</v>
      </c>
      <c r="E5" s="133"/>
      <c r="F5" s="134"/>
      <c r="G5" s="265" t="s">
        <v>4</v>
      </c>
      <c r="H5" s="259"/>
      <c r="I5" s="135"/>
      <c r="J5" s="265" t="s">
        <v>5</v>
      </c>
      <c r="K5" s="259"/>
      <c r="L5" s="165"/>
      <c r="M5" s="136" t="s">
        <v>6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2">
        <f>SUMPRODUCT((Production_Log!$A$3:$A$8963=MAX(Production_Log!$A$3:$A$8963))*(LEFT(Production_Log!$B$3:$B$8963,5)="Print")*(ISERROR(SEARCH("(Varnish)",Production_Log!$D$3:$D$8963)))*Production_Log!$H$3:$H$8963)</f>
        <v>0</v>
      </c>
      <c r="C6" s="259"/>
      <c r="D6" s="137">
        <f>SUMIF($B$11:$B$64,"TUBE",$H$11:$H$64)</f>
        <v>188216</v>
      </c>
      <c r="E6" s="262"/>
      <c r="F6" s="259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2.5524732585712362E-2</v>
      </c>
      <c r="H6" s="138"/>
      <c r="I6" s="135"/>
      <c r="J6" s="262">
        <f>SUMIF($B$11:$B$64,"TUBE",$K$11:$K$64)</f>
        <v>243362</v>
      </c>
      <c r="K6" s="259"/>
      <c r="L6" s="139"/>
      <c r="M6" s="166" t="s">
        <v>7</v>
      </c>
      <c r="N6" s="166" t="s">
        <v>8</v>
      </c>
      <c r="O6" s="166" t="s">
        <v>9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4" t="s">
        <v>10</v>
      </c>
      <c r="C7" s="259"/>
      <c r="D7" s="140" t="s">
        <v>11</v>
      </c>
      <c r="E7" s="140"/>
      <c r="F7" s="141"/>
      <c r="G7" s="264" t="s">
        <v>12</v>
      </c>
      <c r="H7" s="259"/>
      <c r="I7" s="142"/>
      <c r="J7" s="141" t="s">
        <v>5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70</v>
      </c>
      <c r="O7" s="151">
        <f t="shared" ref="O7:O13" si="0">IFERROR(N7/$N$14,"")</f>
        <v>0.56910569105691056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7">
        <f>SUMPRODUCT((Production_Log!$A$3:$A$8963=MAX(Production_Log!$A$3:$A$8963))*(Production_Log!$B$3:$B$8963="PF Machine")*Production_Log!$H$3:$H$8963)</f>
        <v>10080</v>
      </c>
      <c r="C8" s="259"/>
      <c r="D8" s="143">
        <f>SUMIF($B$11:$B$64,"PET",$H$11:$H$64)</f>
        <v>37240</v>
      </c>
      <c r="E8" s="267"/>
      <c r="F8" s="259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7.4552683896620273E-2</v>
      </c>
      <c r="H8" s="144"/>
      <c r="I8" s="142"/>
      <c r="J8" s="267">
        <f>SUMIF($B$11:$B$64,"PET",$K$11:$K$64)</f>
        <v>26220</v>
      </c>
      <c r="K8" s="259"/>
      <c r="L8" s="145"/>
      <c r="M8" s="149" t="str">
        <f>IFERROR(INDEX($S$9:$S$21,MATCH(LARGE($U$9:$U$21,2),$U$9:$U$21,0)),"")</f>
        <v>Operations</v>
      </c>
      <c r="N8" s="150">
        <f>IFERROR(INDEX($T$9:$T$21,MATCH(LARGE($U$9:$U$21,2),$U$9:$U$21,0)),"")/60</f>
        <v>21</v>
      </c>
      <c r="O8" s="151">
        <f t="shared" si="0"/>
        <v>0.17073170731707318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68" t="s">
        <v>13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149" t="str">
        <f>IFERROR(INDEX($S$9:$S$21,MATCH(LARGE($U$9:$U$21,3),$U$9:$U$21,0)),"")</f>
        <v>Mechanical</v>
      </c>
      <c r="N9" s="150">
        <f>IFERROR(INDEX($T$9:$T$21,MATCH(LARGE($U$9:$U$21,3),$U$9:$U$21,0)),"")/60</f>
        <v>17</v>
      </c>
      <c r="O9" s="151">
        <f t="shared" si="0"/>
        <v>0.13821138211382114</v>
      </c>
      <c r="P9" s="128"/>
      <c r="Q9" s="128"/>
      <c r="R9" s="130"/>
      <c r="S9" s="159" t="s">
        <v>14</v>
      </c>
      <c r="T9" s="160">
        <f>SUMPRODUCT(((LEFT(Production_Log!$B$3:$B$8963,5)="Press")+(LEFT(Production_Log!$B$3:$B$8963,5)="Print"))*Production_Log!$K$3:$K$8963)</f>
        <v>1020</v>
      </c>
      <c r="U9" s="159">
        <f>T9+0.00001</f>
        <v>1020.00001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</v>
      </c>
      <c r="C10" s="152" t="s">
        <v>16</v>
      </c>
      <c r="D10" s="152" t="s">
        <v>17</v>
      </c>
      <c r="E10" s="152" t="s">
        <v>18</v>
      </c>
      <c r="F10" s="152" t="s">
        <v>19</v>
      </c>
      <c r="G10" s="152" t="s">
        <v>20</v>
      </c>
      <c r="H10" s="152" t="s">
        <v>21</v>
      </c>
      <c r="I10" s="152" t="s">
        <v>22</v>
      </c>
      <c r="J10" s="153" t="s">
        <v>23</v>
      </c>
      <c r="K10" s="154" t="s">
        <v>24</v>
      </c>
      <c r="L10" s="154" t="s">
        <v>25</v>
      </c>
      <c r="M10" s="149" t="str">
        <f>IFERROR(INDEX($S$9:$S$21,MATCH(LARGE($U$9:$U$21,4),$U$9:$U$21,0)),"")</f>
        <v>Power Shutdown</v>
      </c>
      <c r="N10" s="150">
        <f>IFERROR(INDEX($T$9:$T$21,MATCH(LARGE($U$9:$U$21,4),$U$9:$U$21,0)),"")/60</f>
        <v>15</v>
      </c>
      <c r="O10" s="151">
        <f t="shared" si="0"/>
        <v>0.12195121951219512</v>
      </c>
      <c r="P10" s="128"/>
      <c r="Q10" s="128"/>
      <c r="R10" s="130"/>
      <c r="S10" s="159" t="s">
        <v>26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5" t="s">
        <v>27</v>
      </c>
      <c r="C11" s="246" t="s">
        <v>28</v>
      </c>
      <c r="D11" s="247" t="s">
        <v>29</v>
      </c>
      <c r="E11" s="248">
        <v>25</v>
      </c>
      <c r="F11" s="249">
        <v>3447</v>
      </c>
      <c r="G11" s="249">
        <f>IFERROR(INDEX(MRP!$F$3:$F$6,MATCH(Tubex_Dashboard!F11,MRP!$D$3:$D$6,0)),0)</f>
        <v>110416</v>
      </c>
      <c r="H11" s="250">
        <f>SUMPRODUCT((Production_Log!$F$3:$F$8963=F11)*(LEFT(Production_Log!$B$3:$B$8963,5)="Print")*(ISERROR(SEARCH("(Varnish)",Production_Log!$D$3:$D$8963)))*Production_Log!$H$3:$H$8963)</f>
        <v>74928</v>
      </c>
      <c r="I11" s="249">
        <f>G11-H11</f>
        <v>35488</v>
      </c>
      <c r="J11" s="251">
        <f>IF(G11=0,"-",H11/G11)</f>
        <v>0.67859730473844371</v>
      </c>
      <c r="K11" s="250"/>
      <c r="L11" s="252"/>
      <c r="M11" s="149" t="str">
        <f>IFERROR(INDEX($S$9:$S$21,MATCH(LARGE($U$9:$U$21,5),$U$9:$U$21,0)),"")</f>
        <v>Workers Shortage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5" t="s">
        <v>27</v>
      </c>
      <c r="C12" s="246" t="s">
        <v>28</v>
      </c>
      <c r="D12" s="247" t="s">
        <v>30</v>
      </c>
      <c r="E12" s="248">
        <v>25</v>
      </c>
      <c r="F12" s="249">
        <v>5389</v>
      </c>
      <c r="G12" s="249">
        <f>IFERROR(INDEX(MRP!$F$3:$F$6,MATCH(Tubex_Dashboard!F12,MRP!$D$3:$D$6,0)),0)</f>
        <v>100000</v>
      </c>
      <c r="H12" s="250">
        <f>SUMPRODUCT((Production_Log!$F$3:$F$8963=F12)*(LEFT(Production_Log!$B$3:$B$8963,5)="Print")*(ISERROR(SEARCH("(Varnish)",Production_Log!$D$3:$D$8963)))*Production_Log!$H$3:$H$8963)</f>
        <v>0</v>
      </c>
      <c r="I12" s="249">
        <f>G12-H12</f>
        <v>100000</v>
      </c>
      <c r="J12" s="251">
        <f>IF(G12=0,"-",H12/G12)</f>
        <v>0</v>
      </c>
      <c r="K12" s="250"/>
      <c r="L12" s="252"/>
      <c r="M12" s="149" t="str">
        <f>IFERROR(INDEX($S$9:$S$21,MATCH(LARGE($U$9:$U$21,6),$U$9:$U$21,0)),"")</f>
        <v>Gas Shutdown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31</v>
      </c>
      <c r="T12" s="160">
        <f>SUMPRODUCT(((LEFT(Production_Log!$B$3:$B$8963,5)="Press")+(LEFT(Production_Log!$B$3:$B$8963,5)="Print"))*Production_Log!$M$3:$M$8963)</f>
        <v>4200</v>
      </c>
      <c r="U12" s="159">
        <f>T12+0.00003</f>
        <v>4200.0000300000002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5" t="s">
        <v>27</v>
      </c>
      <c r="C13" s="246" t="s">
        <v>28</v>
      </c>
      <c r="D13" s="247" t="s">
        <v>32</v>
      </c>
      <c r="E13" s="248">
        <v>25</v>
      </c>
      <c r="F13" s="249">
        <v>3726</v>
      </c>
      <c r="G13" s="249">
        <f>IFERROR(INDEX(MRP!$F$3:$F$6,MATCH(Tubex_Dashboard!F13,MRP!$D$3:$D$6,0)),0)</f>
        <v>0</v>
      </c>
      <c r="H13" s="250">
        <f>SUMPRODUCT((Production_Log!$F$3:$F$8963=F13)*(LEFT(Production_Log!$B$3:$B$8963,5)="Print")*(ISERROR(SEARCH("(Varnish)",Production_Log!$D$3:$D$8963)))*Production_Log!$H$3:$H$8963)</f>
        <v>0</v>
      </c>
      <c r="I13" s="249">
        <f>G13-H13</f>
        <v>0</v>
      </c>
      <c r="J13" s="251" t="str">
        <f>IF(G13=0,"-",H13/G13)</f>
        <v>-</v>
      </c>
      <c r="K13" s="250">
        <v>95088</v>
      </c>
      <c r="L13" s="252"/>
      <c r="M13" s="149" t="str">
        <f>IFERROR(INDEX($S$9:$S$21,MATCH(LARGE($U$9:$U$21,7),$U$9:$U$21,0)),"")</f>
        <v>Changeover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33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5" t="s">
        <v>27</v>
      </c>
      <c r="C14" s="246" t="s">
        <v>34</v>
      </c>
      <c r="D14" s="247" t="s">
        <v>35</v>
      </c>
      <c r="E14" s="248">
        <v>30</v>
      </c>
      <c r="F14" s="249">
        <v>6206</v>
      </c>
      <c r="G14" s="249">
        <f>IFERROR(INDEX(MRP!$F$3:$F$6,MATCH(Tubex_Dashboard!F14,MRP!$D$3:$D$6,0)),0)</f>
        <v>191750</v>
      </c>
      <c r="H14" s="250">
        <f>SUMPRODUCT((Production_Log!$F$3:$F$8963=F14)*(LEFT(Production_Log!$B$3:$B$8963,5)="Print")*(ISERROR(SEARCH("(Varnish)",Production_Log!$D$3:$D$8963)))*Production_Log!$H$3:$H$8963)</f>
        <v>113288</v>
      </c>
      <c r="I14" s="249">
        <f>G14-H14</f>
        <v>78462</v>
      </c>
      <c r="J14" s="251">
        <f>IF(G14=0,"-",H14/G14)</f>
        <v>0.59081095176010434</v>
      </c>
      <c r="K14" s="250">
        <v>148274</v>
      </c>
      <c r="L14" s="252"/>
      <c r="M14" s="147" t="s">
        <v>36</v>
      </c>
      <c r="N14" s="147">
        <f>SUM($T$9:$T$21)/60</f>
        <v>123</v>
      </c>
      <c r="O14" s="147" t="s">
        <v>37</v>
      </c>
      <c r="P14" s="128"/>
      <c r="Q14" s="128"/>
      <c r="R14" s="128"/>
      <c r="S14" s="159" t="s">
        <v>38</v>
      </c>
      <c r="T14" s="160">
        <f>SUMPRODUCT(((LEFT(Production_Log!$B$3:$B$8963,5)="Press")+(LEFT(Production_Log!$B$3:$B$8963,5)="Print"))*Production_Log!$O$3:$O$8963)</f>
        <v>1260</v>
      </c>
      <c r="U14" s="159">
        <f>T14+0.00005</f>
        <v>1260.0000500000001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5" t="s">
        <v>27</v>
      </c>
      <c r="C15" s="246" t="s">
        <v>39</v>
      </c>
      <c r="D15" s="247" t="s">
        <v>40</v>
      </c>
      <c r="E15" s="248">
        <v>30</v>
      </c>
      <c r="F15" s="249">
        <v>5814</v>
      </c>
      <c r="G15" s="249">
        <f>IFERROR(INDEX(MRP!$F$3:$F$6,MATCH(Tubex_Dashboard!F15,MRP!$D$3:$D$6,0)),0)</f>
        <v>45000</v>
      </c>
      <c r="H15" s="250">
        <f>SUMPRODUCT((Production_Log!$F$3:$F$8963=F15)*(LEFT(Production_Log!$B$3:$B$8963,5)="Print")*(ISERROR(SEARCH("(Varnish)",Production_Log!$D$3:$D$8963)))*Production_Log!$H$3:$H$8963)</f>
        <v>0</v>
      </c>
      <c r="I15" s="249">
        <f>G15-H15</f>
        <v>45000</v>
      </c>
      <c r="J15" s="251">
        <f>IF(G15=0,"-",H15/G15)</f>
        <v>0</v>
      </c>
      <c r="K15" s="250"/>
      <c r="L15" s="252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3"/>
      <c r="C16" s="254"/>
      <c r="D16" s="255" t="s">
        <v>36</v>
      </c>
      <c r="E16" s="253"/>
      <c r="F16" s="254"/>
      <c r="G16" s="256">
        <f>SUM(G11:G15)</f>
        <v>447166</v>
      </c>
      <c r="H16" s="256">
        <f>SUM(H11:H15)</f>
        <v>188216</v>
      </c>
      <c r="I16" s="256">
        <f>SUMIF(I11:I15,"&gt;"&amp;0)</f>
        <v>258950</v>
      </c>
      <c r="J16" s="256"/>
      <c r="K16" s="256">
        <f>SUM(K11:K15)</f>
        <v>243362</v>
      </c>
      <c r="L16" s="256"/>
      <c r="M16" s="128"/>
      <c r="N16" s="128"/>
      <c r="O16" s="128"/>
      <c r="P16" s="128"/>
      <c r="Q16" s="128"/>
      <c r="R16" s="128"/>
      <c r="S16" s="159" t="s">
        <v>41</v>
      </c>
      <c r="T16" s="160">
        <f>SUMPRODUCT(((LEFT(Production_Log!$B$3:$B$8963,5)="Press")+(LEFT(Production_Log!$B$3:$B$8963,5)="Print"))*Production_Log!$P$3:$P$8963)</f>
        <v>900</v>
      </c>
      <c r="U16" s="159">
        <f>T16+0.00006</f>
        <v>900.00005999999996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5" t="s">
        <v>42</v>
      </c>
      <c r="C17" s="246" t="s">
        <v>28</v>
      </c>
      <c r="D17" s="247" t="s">
        <v>43</v>
      </c>
      <c r="E17" s="248" t="s">
        <v>44</v>
      </c>
      <c r="F17" s="249">
        <v>8005</v>
      </c>
      <c r="G17" s="249">
        <v>19840</v>
      </c>
      <c r="H17" s="250">
        <f>SUMPRODUCT((Production_Log!$F$3:$F$8963=F17)*Production_Log!$H$3:$H$8963)</f>
        <v>0</v>
      </c>
      <c r="I17" s="249">
        <f t="shared" ref="I17:I23" si="1">G17-H17</f>
        <v>19840</v>
      </c>
      <c r="J17" s="251">
        <f t="shared" ref="J17:J23" si="2">IF(G17=0,"-",H17/G17)</f>
        <v>0</v>
      </c>
      <c r="K17" s="250"/>
      <c r="L17" s="252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5" t="s">
        <v>42</v>
      </c>
      <c r="C18" s="246" t="s">
        <v>39</v>
      </c>
      <c r="D18" s="247" t="s">
        <v>45</v>
      </c>
      <c r="E18" s="248" t="s">
        <v>46</v>
      </c>
      <c r="F18" s="249">
        <v>8015</v>
      </c>
      <c r="G18" s="249">
        <v>15000</v>
      </c>
      <c r="H18" s="250">
        <f>SUMPRODUCT((Production_Log!$F$3:$F$8963=F18)*Production_Log!$H$3:$H$8963)</f>
        <v>0</v>
      </c>
      <c r="I18" s="249">
        <f t="shared" si="1"/>
        <v>15000</v>
      </c>
      <c r="J18" s="251">
        <f t="shared" si="2"/>
        <v>0</v>
      </c>
      <c r="K18" s="250"/>
      <c r="L18" s="252"/>
      <c r="P18" s="128"/>
      <c r="Q18" s="128"/>
      <c r="R18" s="128"/>
      <c r="S18" s="159" t="s">
        <v>47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5" t="s">
        <v>42</v>
      </c>
      <c r="C19" s="246" t="s">
        <v>39</v>
      </c>
      <c r="D19" s="247" t="s">
        <v>48</v>
      </c>
      <c r="E19" s="248" t="s">
        <v>46</v>
      </c>
      <c r="F19" s="249">
        <v>8010</v>
      </c>
      <c r="G19" s="249">
        <v>0</v>
      </c>
      <c r="H19" s="250">
        <f>SUMPRODUCT((Production_Log!$F$3:$F$8963=F19)*Production_Log!$H$3:$H$8963)</f>
        <v>0</v>
      </c>
      <c r="I19" s="249">
        <f t="shared" si="1"/>
        <v>0</v>
      </c>
      <c r="J19" s="251" t="str">
        <f t="shared" si="2"/>
        <v>-</v>
      </c>
      <c r="K19" s="250">
        <v>12420</v>
      </c>
      <c r="L19" s="252"/>
      <c r="M19" s="128"/>
      <c r="N19" s="128"/>
      <c r="O19" s="128"/>
      <c r="P19" s="128"/>
      <c r="Q19" s="128"/>
      <c r="R19" s="130"/>
      <c r="S19" s="159" t="s">
        <v>49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5" t="s">
        <v>42</v>
      </c>
      <c r="C20" s="246" t="s">
        <v>50</v>
      </c>
      <c r="D20" s="247" t="s">
        <v>51</v>
      </c>
      <c r="E20" s="248" t="s">
        <v>52</v>
      </c>
      <c r="F20" s="249">
        <v>8001</v>
      </c>
      <c r="G20" s="249">
        <v>153167</v>
      </c>
      <c r="H20" s="250">
        <f>SUMPRODUCT((Production_Log!$F$3:$F$8963=F20)*Production_Log!$H$3:$H$8963)</f>
        <v>0</v>
      </c>
      <c r="I20" s="249">
        <f t="shared" si="1"/>
        <v>153167</v>
      </c>
      <c r="J20" s="251">
        <f t="shared" si="2"/>
        <v>0</v>
      </c>
      <c r="K20" s="250">
        <v>13800</v>
      </c>
      <c r="L20" s="252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5" t="s">
        <v>42</v>
      </c>
      <c r="C21" s="246" t="s">
        <v>28</v>
      </c>
      <c r="D21" s="247" t="s">
        <v>53</v>
      </c>
      <c r="E21" s="248" t="s">
        <v>54</v>
      </c>
      <c r="F21" s="249">
        <v>8007</v>
      </c>
      <c r="G21" s="249">
        <v>10000</v>
      </c>
      <c r="H21" s="250">
        <f>SUMPRODUCT((Production_Log!$F$3:$F$8963=F21)*Production_Log!$H$3:$H$8963)</f>
        <v>0</v>
      </c>
      <c r="I21" s="249">
        <f t="shared" si="1"/>
        <v>10000</v>
      </c>
      <c r="J21" s="251">
        <f t="shared" si="2"/>
        <v>0</v>
      </c>
      <c r="K21" s="250"/>
      <c r="L21" s="252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45" t="s">
        <v>42</v>
      </c>
      <c r="C22" s="246" t="s">
        <v>28</v>
      </c>
      <c r="D22" s="247" t="s">
        <v>55</v>
      </c>
      <c r="E22" s="248" t="s">
        <v>54</v>
      </c>
      <c r="F22" s="249">
        <v>8006</v>
      </c>
      <c r="G22" s="249">
        <v>42400</v>
      </c>
      <c r="H22" s="250">
        <f>SUMPRODUCT((Production_Log!$F$3:$F$8963=F22)*Production_Log!$H$3:$H$8963)</f>
        <v>27240</v>
      </c>
      <c r="I22" s="249">
        <f t="shared" si="1"/>
        <v>15160</v>
      </c>
      <c r="J22" s="251">
        <f t="shared" si="2"/>
        <v>0.64245283018867927</v>
      </c>
      <c r="K22" s="250"/>
      <c r="L22" s="252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5" t="s">
        <v>42</v>
      </c>
      <c r="C23" s="246" t="s">
        <v>28</v>
      </c>
      <c r="D23" s="247" t="s">
        <v>56</v>
      </c>
      <c r="E23" s="248" t="s">
        <v>54</v>
      </c>
      <c r="F23" s="249">
        <v>8014</v>
      </c>
      <c r="G23" s="249">
        <v>10000</v>
      </c>
      <c r="H23" s="250">
        <f>SUMPRODUCT((Production_Log!$F$3:$F$8963=F23)*Production_Log!$H$3:$H$8963)</f>
        <v>10000</v>
      </c>
      <c r="I23" s="249">
        <f t="shared" si="1"/>
        <v>0</v>
      </c>
      <c r="J23" s="251">
        <f t="shared" si="2"/>
        <v>1</v>
      </c>
      <c r="K23" s="250"/>
      <c r="L23" s="252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3"/>
      <c r="C24" s="254"/>
      <c r="D24" s="255" t="s">
        <v>36</v>
      </c>
      <c r="E24" s="253"/>
      <c r="F24" s="254"/>
      <c r="G24" s="256">
        <f>SUM(G17:G23)</f>
        <v>250407</v>
      </c>
      <c r="H24" s="256">
        <f>SUM(H17:H23)</f>
        <v>37240</v>
      </c>
      <c r="I24" s="256">
        <f>SUMIF(I17:I23,"&gt;"&amp;0)</f>
        <v>213167</v>
      </c>
      <c r="J24" s="256"/>
      <c r="K24" s="256">
        <f>SUM(K17:K23)</f>
        <v>26220</v>
      </c>
      <c r="L24" s="256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5" t="s">
        <v>27</v>
      </c>
      <c r="C25" s="246" t="s">
        <v>57</v>
      </c>
      <c r="D25" s="247" t="s">
        <v>58</v>
      </c>
      <c r="E25" s="248">
        <v>12.5</v>
      </c>
      <c r="F25" s="249">
        <v>9004</v>
      </c>
      <c r="G25" s="249">
        <f>IFERROR(INDEX(MRP!$F$3:$F$6,MATCH(Tubex_Dashboard!F25,MRP!$D$3:$D$6,0)),0)</f>
        <v>0</v>
      </c>
      <c r="H25" s="250">
        <f>SUMPRODUCT((Production_Log!$F$3:$F$8963=F25)*(LEFT(Production_Log!$B$3:$B$8963,5)="Print")*(ISERROR(SEARCH("(Varnish)",Production_Log!$D$3:$D$8963)))*Production_Log!$H$3:$H$8963)</f>
        <v>0</v>
      </c>
      <c r="I25" s="249">
        <f t="shared" ref="I25:I64" si="3">G25-H25</f>
        <v>0</v>
      </c>
      <c r="J25" s="251" t="str">
        <f t="shared" ref="J25:J64" si="4">IF(G25=0,"-",H25/G25)</f>
        <v>-</v>
      </c>
      <c r="K25" s="250"/>
      <c r="L25" s="252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5" t="s">
        <v>27</v>
      </c>
      <c r="C26" s="246" t="s">
        <v>59</v>
      </c>
      <c r="D26" s="247" t="s">
        <v>60</v>
      </c>
      <c r="E26" s="248">
        <v>16</v>
      </c>
      <c r="F26" s="249">
        <v>6561</v>
      </c>
      <c r="G26" s="249">
        <f>IFERROR(INDEX(MRP!$F$3:$F$6,MATCH(Tubex_Dashboard!F26,MRP!$D$3:$D$6,0)),0)</f>
        <v>0</v>
      </c>
      <c r="H26" s="250">
        <f>SUMPRODUCT((Production_Log!$F$3:$F$8963=F26)*(LEFT(Production_Log!$B$3:$B$8963,5)="Print")*(ISERROR(SEARCH("(Varnish)",Production_Log!$D$3:$D$8963)))*Production_Log!$H$3:$H$8963)</f>
        <v>0</v>
      </c>
      <c r="I26" s="249">
        <f t="shared" si="3"/>
        <v>0</v>
      </c>
      <c r="J26" s="251" t="str">
        <f t="shared" si="4"/>
        <v>-</v>
      </c>
      <c r="K26" s="250"/>
      <c r="L26" s="252" t="s">
        <v>61</v>
      </c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5" t="s">
        <v>27</v>
      </c>
      <c r="C27" s="246" t="s">
        <v>28</v>
      </c>
      <c r="D27" s="247" t="s">
        <v>62</v>
      </c>
      <c r="E27" s="248">
        <v>19</v>
      </c>
      <c r="F27" s="249">
        <v>6624</v>
      </c>
      <c r="G27" s="249">
        <f>IFERROR(INDEX(MRP!$F$3:$F$6,MATCH(Tubex_Dashboard!F27,MRP!$D$3:$D$6,0)),0)</f>
        <v>0</v>
      </c>
      <c r="H27" s="250">
        <f>SUMPRODUCT((Production_Log!$F$3:$F$8963=F27)*(LEFT(Production_Log!$B$3:$B$8963,5)="Print")*(ISERROR(SEARCH("(Varnish)",Production_Log!$D$3:$D$8963)))*Production_Log!$H$3:$H$8963)</f>
        <v>0</v>
      </c>
      <c r="I27" s="249">
        <f t="shared" si="3"/>
        <v>0</v>
      </c>
      <c r="J27" s="251" t="str">
        <f t="shared" si="4"/>
        <v>-</v>
      </c>
      <c r="K27" s="250"/>
      <c r="L27" s="252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5" t="s">
        <v>27</v>
      </c>
      <c r="C28" s="246" t="s">
        <v>28</v>
      </c>
      <c r="D28" s="247" t="s">
        <v>63</v>
      </c>
      <c r="E28" s="248">
        <v>19</v>
      </c>
      <c r="F28" s="249">
        <v>6623</v>
      </c>
      <c r="G28" s="249">
        <f>IFERROR(INDEX(MRP!$F$3:$F$6,MATCH(Tubex_Dashboard!F28,MRP!$D$3:$D$6,0)),0)</f>
        <v>0</v>
      </c>
      <c r="H28" s="250">
        <f>SUMPRODUCT((Production_Log!$F$3:$F$8963=F28)*(LEFT(Production_Log!$B$3:$B$8963,5)="Print")*(ISERROR(SEARCH("(Varnish)",Production_Log!$D$3:$D$8963)))*Production_Log!$H$3:$H$8963)</f>
        <v>0</v>
      </c>
      <c r="I28" s="249">
        <f t="shared" si="3"/>
        <v>0</v>
      </c>
      <c r="J28" s="251" t="str">
        <f t="shared" si="4"/>
        <v>-</v>
      </c>
      <c r="K28" s="250"/>
      <c r="L28" s="252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5" t="s">
        <v>27</v>
      </c>
      <c r="C29" s="246" t="s">
        <v>59</v>
      </c>
      <c r="D29" s="247" t="s">
        <v>64</v>
      </c>
      <c r="E29" s="248">
        <v>19</v>
      </c>
      <c r="F29" s="249">
        <v>6559</v>
      </c>
      <c r="G29" s="249">
        <f>IFERROR(INDEX(MRP!$F$3:$F$6,MATCH(Tubex_Dashboard!F29,MRP!$D$3:$D$6,0)),0)</f>
        <v>0</v>
      </c>
      <c r="H29" s="250">
        <f>SUMPRODUCT((Production_Log!$F$3:$F$8963=F29)*(LEFT(Production_Log!$B$3:$B$8963,5)="Print")*(ISERROR(SEARCH("(Varnish)",Production_Log!$D$3:$D$8963)))*Production_Log!$H$3:$H$8963)</f>
        <v>0</v>
      </c>
      <c r="I29" s="249">
        <f t="shared" si="3"/>
        <v>0</v>
      </c>
      <c r="J29" s="251" t="str">
        <f t="shared" si="4"/>
        <v>-</v>
      </c>
      <c r="K29" s="250"/>
      <c r="L29" s="252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5" t="s">
        <v>27</v>
      </c>
      <c r="C30" s="246" t="s">
        <v>59</v>
      </c>
      <c r="D30" s="247" t="s">
        <v>65</v>
      </c>
      <c r="E30" s="248">
        <v>19</v>
      </c>
      <c r="F30" s="249">
        <v>1085</v>
      </c>
      <c r="G30" s="249">
        <f>IFERROR(INDEX(MRP!$F$3:$F$6,MATCH(Tubex_Dashboard!F30,MRP!$D$3:$D$6,0)),0)</f>
        <v>0</v>
      </c>
      <c r="H30" s="250">
        <f>SUMPRODUCT((Production_Log!$F$3:$F$8963=F30)*(LEFT(Production_Log!$B$3:$B$8963,5)="Print")*(ISERROR(SEARCH("(Varnish)",Production_Log!$D$3:$D$8963)))*Production_Log!$H$3:$H$8963)</f>
        <v>0</v>
      </c>
      <c r="I30" s="249">
        <f t="shared" si="3"/>
        <v>0</v>
      </c>
      <c r="J30" s="251" t="str">
        <f t="shared" si="4"/>
        <v>-</v>
      </c>
      <c r="K30" s="250"/>
      <c r="L30" s="252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5" t="s">
        <v>27</v>
      </c>
      <c r="C31" s="246" t="s">
        <v>59</v>
      </c>
      <c r="D31" s="247" t="s">
        <v>66</v>
      </c>
      <c r="E31" s="248">
        <v>19</v>
      </c>
      <c r="F31" s="249">
        <v>6560</v>
      </c>
      <c r="G31" s="249">
        <f>IFERROR(INDEX(MRP!$F$3:$F$6,MATCH(Tubex_Dashboard!F31,MRP!$D$3:$D$6,0)),0)</f>
        <v>0</v>
      </c>
      <c r="H31" s="250">
        <f>SUMPRODUCT((Production_Log!$F$3:$F$8963=F31)*(LEFT(Production_Log!$B$3:$B$8963,5)="Print")*(ISERROR(SEARCH("(Varnish)",Production_Log!$D$3:$D$8963)))*Production_Log!$H$3:$H$8963)</f>
        <v>0</v>
      </c>
      <c r="I31" s="249">
        <f t="shared" si="3"/>
        <v>0</v>
      </c>
      <c r="J31" s="251" t="str">
        <f t="shared" si="4"/>
        <v>-</v>
      </c>
      <c r="K31" s="250"/>
      <c r="L31" s="252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5" t="s">
        <v>27</v>
      </c>
      <c r="C32" s="246" t="s">
        <v>28</v>
      </c>
      <c r="D32" s="247" t="s">
        <v>67</v>
      </c>
      <c r="E32" s="248">
        <v>20.5</v>
      </c>
      <c r="F32" s="249">
        <v>5699</v>
      </c>
      <c r="G32" s="249">
        <f>IFERROR(INDEX(MRP!$F$3:$F$6,MATCH(Tubex_Dashboard!F32,MRP!$D$3:$D$6,0)),0)</f>
        <v>0</v>
      </c>
      <c r="H32" s="250">
        <f>SUMPRODUCT((Production_Log!$F$3:$F$8963=F32)*(LEFT(Production_Log!$B$3:$B$8963,5)="Print")*(ISERROR(SEARCH("(Varnish)",Production_Log!$D$3:$D$8963)))*Production_Log!$H$3:$H$8963)</f>
        <v>0</v>
      </c>
      <c r="I32" s="249">
        <f t="shared" si="3"/>
        <v>0</v>
      </c>
      <c r="J32" s="251" t="str">
        <f t="shared" si="4"/>
        <v>-</v>
      </c>
      <c r="K32" s="250"/>
      <c r="L32" s="252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5" t="s">
        <v>27</v>
      </c>
      <c r="C33" s="246" t="s">
        <v>39</v>
      </c>
      <c r="D33" s="247" t="s">
        <v>68</v>
      </c>
      <c r="E33" s="248">
        <v>20.5</v>
      </c>
      <c r="F33" s="249">
        <v>6077</v>
      </c>
      <c r="G33" s="249">
        <f>IFERROR(INDEX(MRP!$F$3:$F$6,MATCH(Tubex_Dashboard!F33,MRP!$D$3:$D$6,0)),0)</f>
        <v>0</v>
      </c>
      <c r="H33" s="250">
        <f>SUMPRODUCT((Production_Log!$F$3:$F$8963=F33)*(LEFT(Production_Log!$B$3:$B$8963,5)="Print")*(ISERROR(SEARCH("(Varnish)",Production_Log!$D$3:$D$8963)))*Production_Log!$H$3:$H$8963)</f>
        <v>0</v>
      </c>
      <c r="I33" s="249">
        <f t="shared" si="3"/>
        <v>0</v>
      </c>
      <c r="J33" s="251" t="str">
        <f t="shared" si="4"/>
        <v>-</v>
      </c>
      <c r="K33" s="250"/>
      <c r="L33" s="252"/>
      <c r="P33" s="128"/>
      <c r="Q33" s="128"/>
      <c r="R33" s="128"/>
      <c r="S33" s="131" t="s">
        <v>47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5" t="s">
        <v>27</v>
      </c>
      <c r="C34" s="246" t="s">
        <v>28</v>
      </c>
      <c r="D34" s="247" t="s">
        <v>69</v>
      </c>
      <c r="E34" s="248">
        <v>20.5</v>
      </c>
      <c r="F34" s="249">
        <v>5731</v>
      </c>
      <c r="G34" s="249">
        <f>IFERROR(INDEX(MRP!$F$3:$F$6,MATCH(Tubex_Dashboard!F34,MRP!$D$3:$D$6,0)),0)</f>
        <v>0</v>
      </c>
      <c r="H34" s="250">
        <f>SUMPRODUCT((Production_Log!$F$3:$F$8963=F34)*(LEFT(Production_Log!$B$3:$B$8963,5)="Print")*(ISERROR(SEARCH("(Varnish)",Production_Log!$D$3:$D$8963)))*Production_Log!$H$3:$H$8963)</f>
        <v>0</v>
      </c>
      <c r="I34" s="249">
        <f t="shared" si="3"/>
        <v>0</v>
      </c>
      <c r="J34" s="251" t="str">
        <f t="shared" si="4"/>
        <v>-</v>
      </c>
      <c r="K34" s="250"/>
      <c r="L34" s="252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5" t="s">
        <v>27</v>
      </c>
      <c r="C35" s="246" t="s">
        <v>28</v>
      </c>
      <c r="D35" s="247" t="s">
        <v>70</v>
      </c>
      <c r="E35" s="248">
        <v>20.5</v>
      </c>
      <c r="F35" s="249">
        <v>5698</v>
      </c>
      <c r="G35" s="249">
        <f>IFERROR(INDEX(MRP!$F$3:$F$6,MATCH(Tubex_Dashboard!F35,MRP!$D$3:$D$6,0)),0)</f>
        <v>0</v>
      </c>
      <c r="H35" s="250">
        <f>SUMPRODUCT((Production_Log!$F$3:$F$8963=F35)*(LEFT(Production_Log!$B$3:$B$8963,5)="Print")*(ISERROR(SEARCH("(Varnish)",Production_Log!$D$3:$D$8963)))*Production_Log!$H$3:$H$8963)</f>
        <v>0</v>
      </c>
      <c r="I35" s="249">
        <f t="shared" si="3"/>
        <v>0</v>
      </c>
      <c r="J35" s="251" t="str">
        <f t="shared" si="4"/>
        <v>-</v>
      </c>
      <c r="K35" s="250"/>
      <c r="L35" s="252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5" t="s">
        <v>27</v>
      </c>
      <c r="C36" s="246" t="s">
        <v>28</v>
      </c>
      <c r="D36" s="247" t="s">
        <v>71</v>
      </c>
      <c r="E36" s="248">
        <v>20.5</v>
      </c>
      <c r="F36" s="249">
        <v>5732</v>
      </c>
      <c r="G36" s="249">
        <f>IFERROR(INDEX(MRP!$F$3:$F$6,MATCH(Tubex_Dashboard!F36,MRP!$D$3:$D$6,0)),0)</f>
        <v>0</v>
      </c>
      <c r="H36" s="250">
        <f>SUMPRODUCT((Production_Log!$F$3:$F$8963=F36)*(LEFT(Production_Log!$B$3:$B$8963,5)="Print")*(ISERROR(SEARCH("(Varnish)",Production_Log!$D$3:$D$8963)))*Production_Log!$H$3:$H$8963)</f>
        <v>0</v>
      </c>
      <c r="I36" s="249">
        <f t="shared" si="3"/>
        <v>0</v>
      </c>
      <c r="J36" s="251" t="str">
        <f t="shared" si="4"/>
        <v>-</v>
      </c>
      <c r="K36" s="250"/>
      <c r="L36" s="252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5" t="s">
        <v>27</v>
      </c>
      <c r="C37" s="246" t="s">
        <v>28</v>
      </c>
      <c r="D37" s="247" t="s">
        <v>72</v>
      </c>
      <c r="E37" s="248">
        <v>20.5</v>
      </c>
      <c r="F37" s="249">
        <v>6556</v>
      </c>
      <c r="G37" s="249">
        <f>IFERROR(INDEX(MRP!$F$3:$F$6,MATCH(Tubex_Dashboard!F37,MRP!$D$3:$D$6,0)),0)</f>
        <v>0</v>
      </c>
      <c r="H37" s="250">
        <f>SUMPRODUCT((Production_Log!$F$3:$F$8963=F37)*(LEFT(Production_Log!$B$3:$B$8963,5)="Print")*(ISERROR(SEARCH("(Varnish)",Production_Log!$D$3:$D$8963)))*Production_Log!$H$3:$H$8963)</f>
        <v>0</v>
      </c>
      <c r="I37" s="249">
        <f t="shared" si="3"/>
        <v>0</v>
      </c>
      <c r="J37" s="251" t="str">
        <f t="shared" si="4"/>
        <v>-</v>
      </c>
      <c r="K37" s="250"/>
      <c r="L37" s="252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5" t="s">
        <v>27</v>
      </c>
      <c r="C38" s="246" t="s">
        <v>28</v>
      </c>
      <c r="D38" s="247" t="s">
        <v>73</v>
      </c>
      <c r="E38" s="248">
        <v>20.5</v>
      </c>
      <c r="F38" s="249">
        <v>6557</v>
      </c>
      <c r="G38" s="249">
        <f>IFERROR(INDEX(MRP!$F$3:$F$6,MATCH(Tubex_Dashboard!F38,MRP!$D$3:$D$6,0)),0)</f>
        <v>0</v>
      </c>
      <c r="H38" s="250">
        <f>SUMPRODUCT((Production_Log!$F$3:$F$8963=F38)*(LEFT(Production_Log!$B$3:$B$8963,5)="Print")*(ISERROR(SEARCH("(Varnish)",Production_Log!$D$3:$D$8963)))*Production_Log!$H$3:$H$8963)</f>
        <v>0</v>
      </c>
      <c r="I38" s="249">
        <f t="shared" si="3"/>
        <v>0</v>
      </c>
      <c r="J38" s="251" t="str">
        <f t="shared" si="4"/>
        <v>-</v>
      </c>
      <c r="K38" s="250"/>
      <c r="L38" s="252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5" t="s">
        <v>27</v>
      </c>
      <c r="C39" s="246" t="s">
        <v>28</v>
      </c>
      <c r="D39" s="247" t="s">
        <v>74</v>
      </c>
      <c r="E39" s="248">
        <v>25</v>
      </c>
      <c r="F39" s="249">
        <v>6470</v>
      </c>
      <c r="G39" s="249">
        <f>IFERROR(INDEX(MRP!$F$3:$F$6,MATCH(Tubex_Dashboard!F39,MRP!$D$3:$D$6,0)),0)</f>
        <v>0</v>
      </c>
      <c r="H39" s="250">
        <f>SUMPRODUCT((Production_Log!$F$3:$F$8963=F39)*(LEFT(Production_Log!$B$3:$B$8963,5)="Print")*(ISERROR(SEARCH("(Varnish)",Production_Log!$D$3:$D$8963)))*Production_Log!$H$3:$H$8963)</f>
        <v>0</v>
      </c>
      <c r="I39" s="249">
        <f t="shared" si="3"/>
        <v>0</v>
      </c>
      <c r="J39" s="251" t="str">
        <f t="shared" si="4"/>
        <v>-</v>
      </c>
      <c r="K39" s="250"/>
      <c r="L39" s="252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5" t="s">
        <v>27</v>
      </c>
      <c r="C40" s="246" t="s">
        <v>28</v>
      </c>
      <c r="D40" s="247" t="s">
        <v>75</v>
      </c>
      <c r="E40" s="248">
        <v>25</v>
      </c>
      <c r="F40" s="249">
        <v>6532</v>
      </c>
      <c r="G40" s="249">
        <f>IFERROR(INDEX(MRP!$F$3:$F$6,MATCH(Tubex_Dashboard!F40,MRP!$D$3:$D$6,0)),0)</f>
        <v>0</v>
      </c>
      <c r="H40" s="250">
        <f>SUMPRODUCT((Production_Log!$F$3:$F$8963=F40)*(LEFT(Production_Log!$B$3:$B$8963,5)="Print")*(ISERROR(SEARCH("(Varnish)",Production_Log!$D$3:$D$8963)))*Production_Log!$H$3:$H$8963)</f>
        <v>0</v>
      </c>
      <c r="I40" s="249">
        <f t="shared" si="3"/>
        <v>0</v>
      </c>
      <c r="J40" s="251" t="str">
        <f t="shared" si="4"/>
        <v>-</v>
      </c>
      <c r="K40" s="250"/>
      <c r="L40" s="252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5" t="s">
        <v>27</v>
      </c>
      <c r="C41" s="246" t="s">
        <v>39</v>
      </c>
      <c r="D41" s="247" t="s">
        <v>76</v>
      </c>
      <c r="E41" s="248">
        <v>25</v>
      </c>
      <c r="F41" s="249">
        <v>6228</v>
      </c>
      <c r="G41" s="249">
        <f>IFERROR(INDEX(MRP!$F$3:$F$6,MATCH(Tubex_Dashboard!F41,MRP!$D$3:$D$6,0)),0)</f>
        <v>0</v>
      </c>
      <c r="H41" s="250">
        <f>SUMPRODUCT((Production_Log!$F$3:$F$8963=F41)*(LEFT(Production_Log!$B$3:$B$8963,5)="Print")*(ISERROR(SEARCH("(Varnish)",Production_Log!$D$3:$D$8963)))*Production_Log!$H$3:$H$8963)</f>
        <v>0</v>
      </c>
      <c r="I41" s="249">
        <f t="shared" si="3"/>
        <v>0</v>
      </c>
      <c r="J41" s="251" t="str">
        <f t="shared" si="4"/>
        <v>-</v>
      </c>
      <c r="K41" s="250"/>
      <c r="L41" s="252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5" t="s">
        <v>27</v>
      </c>
      <c r="C42" s="246" t="s">
        <v>28</v>
      </c>
      <c r="D42" s="247" t="s">
        <v>77</v>
      </c>
      <c r="E42" s="248">
        <v>25</v>
      </c>
      <c r="F42" s="249">
        <v>6506</v>
      </c>
      <c r="G42" s="249">
        <f>IFERROR(INDEX(MRP!$F$3:$F$6,MATCH(Tubex_Dashboard!F42,MRP!$D$3:$D$6,0)),0)</f>
        <v>0</v>
      </c>
      <c r="H42" s="250">
        <f>SUMPRODUCT((Production_Log!$F$3:$F$8963=F42)*(LEFT(Production_Log!$B$3:$B$8963,5)="Print")*(ISERROR(SEARCH("(Varnish)",Production_Log!$D$3:$D$8963)))*Production_Log!$H$3:$H$8963)</f>
        <v>0</v>
      </c>
      <c r="I42" s="249">
        <f t="shared" si="3"/>
        <v>0</v>
      </c>
      <c r="J42" s="251" t="str">
        <f t="shared" si="4"/>
        <v>-</v>
      </c>
      <c r="K42" s="250"/>
      <c r="L42" s="252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5" t="s">
        <v>27</v>
      </c>
      <c r="C43" s="246" t="s">
        <v>28</v>
      </c>
      <c r="D43" s="247" t="s">
        <v>78</v>
      </c>
      <c r="E43" s="248">
        <v>25</v>
      </c>
      <c r="F43" s="249">
        <v>9006</v>
      </c>
      <c r="G43" s="249">
        <f>IFERROR(INDEX(MRP!$F$3:$F$6,MATCH(Tubex_Dashboard!F43,MRP!$D$3:$D$6,0)),0)</f>
        <v>0</v>
      </c>
      <c r="H43" s="250">
        <f>SUMPRODUCT((Production_Log!$F$3:$F$8963=F43)*(LEFT(Production_Log!$B$3:$B$8963,5)="Print")*(ISERROR(SEARCH("(Varnish)",Production_Log!$D$3:$D$8963)))*Production_Log!$H$3:$H$8963)</f>
        <v>0</v>
      </c>
      <c r="I43" s="249">
        <f t="shared" si="3"/>
        <v>0</v>
      </c>
      <c r="J43" s="251" t="str">
        <f t="shared" si="4"/>
        <v>-</v>
      </c>
      <c r="K43" s="250"/>
      <c r="L43" s="252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5" t="s">
        <v>27</v>
      </c>
      <c r="C44" s="246" t="s">
        <v>79</v>
      </c>
      <c r="D44" s="247" t="s">
        <v>80</v>
      </c>
      <c r="E44" s="248">
        <v>25</v>
      </c>
      <c r="F44" s="249">
        <v>6338</v>
      </c>
      <c r="G44" s="249">
        <f>IFERROR(INDEX(MRP!$F$3:$F$6,MATCH(Tubex_Dashboard!F44,MRP!$D$3:$D$6,0)),0)</f>
        <v>0</v>
      </c>
      <c r="H44" s="250">
        <f>SUMPRODUCT((Production_Log!$F$3:$F$8963=F44)*(LEFT(Production_Log!$B$3:$B$8963,5)="Print")*(ISERROR(SEARCH("(Varnish)",Production_Log!$D$3:$D$8963)))*Production_Log!$H$3:$H$8963)</f>
        <v>0</v>
      </c>
      <c r="I44" s="249">
        <f t="shared" si="3"/>
        <v>0</v>
      </c>
      <c r="J44" s="251" t="str">
        <f t="shared" si="4"/>
        <v>-</v>
      </c>
      <c r="K44" s="250"/>
      <c r="L44" s="252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5" t="s">
        <v>27</v>
      </c>
      <c r="C45" s="246" t="s">
        <v>81</v>
      </c>
      <c r="D45" s="247" t="s">
        <v>82</v>
      </c>
      <c r="E45" s="248">
        <v>25</v>
      </c>
      <c r="F45" s="249">
        <v>4227</v>
      </c>
      <c r="G45" s="249">
        <f>IFERROR(INDEX(MRP!$F$3:$F$6,MATCH(Tubex_Dashboard!F45,MRP!$D$3:$D$6,0)),0)</f>
        <v>0</v>
      </c>
      <c r="H45" s="250">
        <f>SUMPRODUCT((Production_Log!$F$3:$F$8963=F45)*(LEFT(Production_Log!$B$3:$B$8963,5)="Print")*(ISERROR(SEARCH("(Varnish)",Production_Log!$D$3:$D$8963)))*Production_Log!$H$3:$H$8963)</f>
        <v>0</v>
      </c>
      <c r="I45" s="249">
        <f t="shared" si="3"/>
        <v>0</v>
      </c>
      <c r="J45" s="251" t="str">
        <f t="shared" si="4"/>
        <v>-</v>
      </c>
      <c r="K45" s="250"/>
      <c r="L45" s="252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5" t="s">
        <v>27</v>
      </c>
      <c r="C46" s="246" t="s">
        <v>83</v>
      </c>
      <c r="D46" s="247" t="s">
        <v>84</v>
      </c>
      <c r="E46" s="248">
        <v>30</v>
      </c>
      <c r="F46" s="249">
        <v>6595</v>
      </c>
      <c r="G46" s="249">
        <f>IFERROR(INDEX(MRP!$F$3:$F$6,MATCH(Tubex_Dashboard!F46,MRP!$D$3:$D$6,0)),0)</f>
        <v>0</v>
      </c>
      <c r="H46" s="250">
        <f>SUMPRODUCT((Production_Log!$F$3:$F$8963=F46)*(LEFT(Production_Log!$B$3:$B$8963,5)="Print")*(ISERROR(SEARCH("(Varnish)",Production_Log!$D$3:$D$8963)))*Production_Log!$H$3:$H$8963)</f>
        <v>0</v>
      </c>
      <c r="I46" s="249">
        <f t="shared" si="3"/>
        <v>0</v>
      </c>
      <c r="J46" s="251" t="str">
        <f t="shared" si="4"/>
        <v>-</v>
      </c>
      <c r="K46" s="250"/>
      <c r="L46" s="252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5" t="s">
        <v>27</v>
      </c>
      <c r="C47" s="246" t="s">
        <v>85</v>
      </c>
      <c r="D47" s="247" t="s">
        <v>86</v>
      </c>
      <c r="E47" s="248">
        <v>30</v>
      </c>
      <c r="F47" s="249">
        <v>4050</v>
      </c>
      <c r="G47" s="249">
        <f>IFERROR(INDEX(MRP!$F$3:$F$6,MATCH(Tubex_Dashboard!F47,MRP!$D$3:$D$6,0)),0)</f>
        <v>0</v>
      </c>
      <c r="H47" s="250">
        <f>SUMPRODUCT((Production_Log!$F$3:$F$8963=F47)*(LEFT(Production_Log!$B$3:$B$8963,5)="Print")*(ISERROR(SEARCH("(Varnish)",Production_Log!$D$3:$D$8963)))*Production_Log!$H$3:$H$8963)</f>
        <v>0</v>
      </c>
      <c r="I47" s="249">
        <f t="shared" si="3"/>
        <v>0</v>
      </c>
      <c r="J47" s="251" t="str">
        <f t="shared" si="4"/>
        <v>-</v>
      </c>
      <c r="K47" s="250"/>
      <c r="L47" s="252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5" t="s">
        <v>27</v>
      </c>
      <c r="C48" s="246" t="s">
        <v>85</v>
      </c>
      <c r="D48" s="247" t="s">
        <v>87</v>
      </c>
      <c r="E48" s="248">
        <v>30</v>
      </c>
      <c r="F48" s="249">
        <v>6312</v>
      </c>
      <c r="G48" s="249">
        <f>IFERROR(INDEX(MRP!$F$3:$F$6,MATCH(Tubex_Dashboard!F48,MRP!$D$3:$D$6,0)),0)</f>
        <v>0</v>
      </c>
      <c r="H48" s="250">
        <f>SUMPRODUCT((Production_Log!$F$3:$F$8963=F48)*(LEFT(Production_Log!$B$3:$B$8963,5)="Print")*(ISERROR(SEARCH("(Varnish)",Production_Log!$D$3:$D$8963)))*Production_Log!$H$3:$H$8963)</f>
        <v>0</v>
      </c>
      <c r="I48" s="249">
        <f t="shared" si="3"/>
        <v>0</v>
      </c>
      <c r="J48" s="251" t="str">
        <f t="shared" si="4"/>
        <v>-</v>
      </c>
      <c r="K48" s="250"/>
      <c r="L48" s="252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5" t="s">
        <v>27</v>
      </c>
      <c r="C49" s="246" t="s">
        <v>88</v>
      </c>
      <c r="D49" s="247" t="s">
        <v>89</v>
      </c>
      <c r="E49" s="248">
        <v>30</v>
      </c>
      <c r="F49" s="249">
        <v>6416</v>
      </c>
      <c r="G49" s="249">
        <f>IFERROR(INDEX(MRP!$F$3:$F$6,MATCH(Tubex_Dashboard!F49,MRP!$D$3:$D$6,0)),0)</f>
        <v>0</v>
      </c>
      <c r="H49" s="250">
        <f>SUMPRODUCT((Production_Log!$F$3:$F$8963=F49)*(LEFT(Production_Log!$B$3:$B$8963,5)="Print")*(ISERROR(SEARCH("(Varnish)",Production_Log!$D$3:$D$8963)))*Production_Log!$H$3:$H$8963)</f>
        <v>0</v>
      </c>
      <c r="I49" s="249">
        <f t="shared" si="3"/>
        <v>0</v>
      </c>
      <c r="J49" s="251" t="str">
        <f t="shared" si="4"/>
        <v>-</v>
      </c>
      <c r="K49" s="250"/>
      <c r="L49" s="252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5" t="s">
        <v>27</v>
      </c>
      <c r="C50" s="246" t="s">
        <v>88</v>
      </c>
      <c r="D50" s="247" t="s">
        <v>90</v>
      </c>
      <c r="E50" s="248">
        <v>30</v>
      </c>
      <c r="F50" s="249">
        <v>6337</v>
      </c>
      <c r="G50" s="249">
        <f>IFERROR(INDEX(MRP!$F$3:$F$6,MATCH(Tubex_Dashboard!F50,MRP!$D$3:$D$6,0)),0)</f>
        <v>0</v>
      </c>
      <c r="H50" s="250">
        <f>SUMPRODUCT((Production_Log!$F$3:$F$8963=F50)*(LEFT(Production_Log!$B$3:$B$8963,5)="Print")*(ISERROR(SEARCH("(Varnish)",Production_Log!$D$3:$D$8963)))*Production_Log!$H$3:$H$8963)</f>
        <v>0</v>
      </c>
      <c r="I50" s="249">
        <f t="shared" si="3"/>
        <v>0</v>
      </c>
      <c r="J50" s="251" t="str">
        <f t="shared" si="4"/>
        <v>-</v>
      </c>
      <c r="K50" s="250"/>
      <c r="L50" s="252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5" t="s">
        <v>27</v>
      </c>
      <c r="C51" s="246" t="s">
        <v>39</v>
      </c>
      <c r="D51" s="247" t="s">
        <v>91</v>
      </c>
      <c r="E51" s="248">
        <v>30</v>
      </c>
      <c r="F51" s="249">
        <v>9002</v>
      </c>
      <c r="G51" s="249">
        <f>IFERROR(INDEX(MRP!$F$3:$F$6,MATCH(Tubex_Dashboard!F51,MRP!$D$3:$D$6,0)),0)</f>
        <v>0</v>
      </c>
      <c r="H51" s="250">
        <f>SUMPRODUCT((Production_Log!$F$3:$F$8963=F51)*(LEFT(Production_Log!$B$3:$B$8963,5)="Print")*(ISERROR(SEARCH("(Varnish)",Production_Log!$D$3:$D$8963)))*Production_Log!$H$3:$H$8963)</f>
        <v>0</v>
      </c>
      <c r="I51" s="249">
        <f t="shared" si="3"/>
        <v>0</v>
      </c>
      <c r="J51" s="251" t="str">
        <f t="shared" si="4"/>
        <v>-</v>
      </c>
      <c r="K51" s="250"/>
      <c r="L51" s="252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5" t="s">
        <v>27</v>
      </c>
      <c r="C52" s="246" t="s">
        <v>85</v>
      </c>
      <c r="D52" s="247" t="s">
        <v>92</v>
      </c>
      <c r="E52" s="248">
        <v>30</v>
      </c>
      <c r="F52" s="249">
        <v>2909</v>
      </c>
      <c r="G52" s="249">
        <f>IFERROR(INDEX(MRP!$F$3:$F$6,MATCH(Tubex_Dashboard!F52,MRP!$D$3:$D$6,0)),0)</f>
        <v>0</v>
      </c>
      <c r="H52" s="250">
        <f>SUMPRODUCT((Production_Log!$F$3:$F$8963=F52)*(LEFT(Production_Log!$B$3:$B$8963,5)="Print")*(ISERROR(SEARCH("(Varnish)",Production_Log!$D$3:$D$8963)))*Production_Log!$H$3:$H$8963)</f>
        <v>0</v>
      </c>
      <c r="I52" s="249">
        <f t="shared" si="3"/>
        <v>0</v>
      </c>
      <c r="J52" s="251" t="str">
        <f t="shared" si="4"/>
        <v>-</v>
      </c>
      <c r="K52" s="250"/>
      <c r="L52" s="252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5" t="s">
        <v>27</v>
      </c>
      <c r="C53" s="246" t="s">
        <v>93</v>
      </c>
      <c r="D53" s="247" t="s">
        <v>94</v>
      </c>
      <c r="E53" s="248">
        <v>30</v>
      </c>
      <c r="F53" s="249">
        <v>6151</v>
      </c>
      <c r="G53" s="249">
        <f>IFERROR(INDEX(MRP!$F$3:$F$6,MATCH(Tubex_Dashboard!F53,MRP!$D$3:$D$6,0)),0)</f>
        <v>0</v>
      </c>
      <c r="H53" s="250">
        <f>SUMPRODUCT((Production_Log!$F$3:$F$8963=F53)*(LEFT(Production_Log!$B$3:$B$8963,5)="Print")*(ISERROR(SEARCH("(Varnish)",Production_Log!$D$3:$D$8963)))*Production_Log!$H$3:$H$8963)</f>
        <v>0</v>
      </c>
      <c r="I53" s="249">
        <f t="shared" si="3"/>
        <v>0</v>
      </c>
      <c r="J53" s="251" t="str">
        <f t="shared" si="4"/>
        <v>-</v>
      </c>
      <c r="K53" s="250"/>
      <c r="L53" s="252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5" t="s">
        <v>27</v>
      </c>
      <c r="C54" s="246" t="s">
        <v>95</v>
      </c>
      <c r="D54" s="247" t="s">
        <v>96</v>
      </c>
      <c r="E54" s="248">
        <v>32</v>
      </c>
      <c r="F54" s="249">
        <v>6515</v>
      </c>
      <c r="G54" s="249">
        <f>IFERROR(INDEX(MRP!$F$3:$F$6,MATCH(Tubex_Dashboard!F54,MRP!$D$3:$D$6,0)),0)</f>
        <v>0</v>
      </c>
      <c r="H54" s="250">
        <f>SUMPRODUCT((Production_Log!$F$3:$F$8963=F54)*(LEFT(Production_Log!$B$3:$B$8963,5)="Print")*(ISERROR(SEARCH("(Varnish)",Production_Log!$D$3:$D$8963)))*Production_Log!$H$3:$H$8963)</f>
        <v>0</v>
      </c>
      <c r="I54" s="249">
        <f t="shared" si="3"/>
        <v>0</v>
      </c>
      <c r="J54" s="251" t="str">
        <f t="shared" si="4"/>
        <v>-</v>
      </c>
      <c r="K54" s="250"/>
      <c r="L54" s="252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5" t="s">
        <v>27</v>
      </c>
      <c r="C55" s="246" t="s">
        <v>97</v>
      </c>
      <c r="D55" s="247" t="s">
        <v>98</v>
      </c>
      <c r="E55" s="248">
        <v>32</v>
      </c>
      <c r="F55" s="249">
        <v>5782</v>
      </c>
      <c r="G55" s="249">
        <f>IFERROR(INDEX(MRP!$F$3:$F$6,MATCH(Tubex_Dashboard!F55,MRP!$D$3:$D$6,0)),0)</f>
        <v>0</v>
      </c>
      <c r="H55" s="250">
        <f>SUMPRODUCT((Production_Log!$F$3:$F$8963=F55)*(LEFT(Production_Log!$B$3:$B$8963,5)="Print")*(ISERROR(SEARCH("(Varnish)",Production_Log!$D$3:$D$8963)))*Production_Log!$H$3:$H$8963)</f>
        <v>0</v>
      </c>
      <c r="I55" s="249">
        <f t="shared" si="3"/>
        <v>0</v>
      </c>
      <c r="J55" s="251" t="str">
        <f t="shared" si="4"/>
        <v>-</v>
      </c>
      <c r="K55" s="250"/>
      <c r="L55" s="252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45" t="s">
        <v>27</v>
      </c>
      <c r="C56" s="246" t="s">
        <v>99</v>
      </c>
      <c r="D56" s="247" t="s">
        <v>100</v>
      </c>
      <c r="E56" s="248">
        <v>35</v>
      </c>
      <c r="F56" s="249">
        <v>6530</v>
      </c>
      <c r="G56" s="249">
        <f>IFERROR(INDEX(MRP!$F$3:$F$6,MATCH(Tubex_Dashboard!F56,MRP!$D$3:$D$6,0)),0)</f>
        <v>0</v>
      </c>
      <c r="H56" s="250">
        <f>SUMPRODUCT((Production_Log!$F$3:$F$8963=F56)*(LEFT(Production_Log!$B$3:$B$8963,5)="Print")*(ISERROR(SEARCH("(Varnish)",Production_Log!$D$3:$D$8963)))*Production_Log!$H$3:$H$8963)</f>
        <v>0</v>
      </c>
      <c r="I56" s="249">
        <f t="shared" si="3"/>
        <v>0</v>
      </c>
      <c r="J56" s="251" t="str">
        <f t="shared" si="4"/>
        <v>-</v>
      </c>
      <c r="K56" s="250"/>
      <c r="L56" s="252" t="s">
        <v>101</v>
      </c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45" t="s">
        <v>27</v>
      </c>
      <c r="C57" s="246" t="s">
        <v>99</v>
      </c>
      <c r="D57" s="247" t="s">
        <v>102</v>
      </c>
      <c r="E57" s="248">
        <v>35</v>
      </c>
      <c r="F57" s="249">
        <v>6531</v>
      </c>
      <c r="G57" s="249">
        <f>IFERROR(INDEX(MRP!$F$3:$F$6,MATCH(Tubex_Dashboard!F57,MRP!$D$3:$D$6,0)),0)</f>
        <v>0</v>
      </c>
      <c r="H57" s="250">
        <f>SUMPRODUCT((Production_Log!$F$3:$F$8963=F57)*(LEFT(Production_Log!$B$3:$B$8963,5)="Print")*(ISERROR(SEARCH("(Varnish)",Production_Log!$D$3:$D$8963)))*Production_Log!$H$3:$H$8963)</f>
        <v>0</v>
      </c>
      <c r="I57" s="249">
        <f t="shared" si="3"/>
        <v>0</v>
      </c>
      <c r="J57" s="251" t="str">
        <f t="shared" si="4"/>
        <v>-</v>
      </c>
      <c r="K57" s="250"/>
      <c r="L57" s="252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45" t="s">
        <v>27</v>
      </c>
      <c r="C58" s="246" t="s">
        <v>99</v>
      </c>
      <c r="D58" s="247" t="s">
        <v>103</v>
      </c>
      <c r="E58" s="248">
        <v>35</v>
      </c>
      <c r="F58" s="249">
        <v>6020</v>
      </c>
      <c r="G58" s="249">
        <f>IFERROR(INDEX(MRP!$F$3:$F$6,MATCH(Tubex_Dashboard!F58,MRP!$D$3:$D$6,0)),0)</f>
        <v>0</v>
      </c>
      <c r="H58" s="250">
        <f>SUMPRODUCT((Production_Log!$F$3:$F$8963=F58)*(LEFT(Production_Log!$B$3:$B$8963,5)="Print")*(ISERROR(SEARCH("(Varnish)",Production_Log!$D$3:$D$8963)))*Production_Log!$H$3:$H$8963)</f>
        <v>0</v>
      </c>
      <c r="I58" s="249">
        <f t="shared" si="3"/>
        <v>0</v>
      </c>
      <c r="J58" s="251" t="str">
        <f t="shared" si="4"/>
        <v>-</v>
      </c>
      <c r="K58" s="250"/>
      <c r="L58" s="252"/>
    </row>
    <row r="59" spans="1:29" x14ac:dyDescent="0.3">
      <c r="B59" s="245" t="s">
        <v>27</v>
      </c>
      <c r="C59" s="246" t="s">
        <v>99</v>
      </c>
      <c r="D59" s="247" t="s">
        <v>104</v>
      </c>
      <c r="E59" s="248">
        <v>35</v>
      </c>
      <c r="F59" s="249">
        <v>6021</v>
      </c>
      <c r="G59" s="249">
        <f>IFERROR(INDEX(MRP!$F$3:$F$6,MATCH(Tubex_Dashboard!F59,MRP!$D$3:$D$6,0)),0)</f>
        <v>0</v>
      </c>
      <c r="H59" s="250">
        <f>SUMPRODUCT((Production_Log!$F$3:$F$8963=F59)*(LEFT(Production_Log!$B$3:$B$8963,5)="Print")*(ISERROR(SEARCH("(Varnish)",Production_Log!$D$3:$D$8963)))*Production_Log!$H$3:$H$8963)</f>
        <v>0</v>
      </c>
      <c r="I59" s="249">
        <f t="shared" si="3"/>
        <v>0</v>
      </c>
      <c r="J59" s="251" t="str">
        <f t="shared" si="4"/>
        <v>-</v>
      </c>
      <c r="K59" s="250"/>
      <c r="L59" s="252"/>
    </row>
    <row r="60" spans="1:29" x14ac:dyDescent="0.3">
      <c r="B60" s="245" t="s">
        <v>42</v>
      </c>
      <c r="C60" s="246" t="s">
        <v>28</v>
      </c>
      <c r="D60" s="247" t="s">
        <v>105</v>
      </c>
      <c r="E60" s="248" t="s">
        <v>44</v>
      </c>
      <c r="F60" s="249">
        <v>8011</v>
      </c>
      <c r="G60" s="249">
        <v>0</v>
      </c>
      <c r="H60" s="250">
        <f>SUMPRODUCT((Production_Log!$F$3:$F$8963=F60)*Production_Log!$H$3:$H$8963)</f>
        <v>0</v>
      </c>
      <c r="I60" s="249">
        <f t="shared" si="3"/>
        <v>0</v>
      </c>
      <c r="J60" s="251" t="str">
        <f t="shared" si="4"/>
        <v>-</v>
      </c>
      <c r="K60" s="250"/>
      <c r="L60" s="252"/>
    </row>
    <row r="61" spans="1:29" x14ac:dyDescent="0.3">
      <c r="B61" s="245" t="s">
        <v>42</v>
      </c>
      <c r="C61" s="246" t="s">
        <v>28</v>
      </c>
      <c r="D61" s="247" t="s">
        <v>106</v>
      </c>
      <c r="E61" s="248" t="s">
        <v>44</v>
      </c>
      <c r="F61" s="249">
        <v>8012</v>
      </c>
      <c r="G61" s="249">
        <v>0</v>
      </c>
      <c r="H61" s="250">
        <f>SUMPRODUCT((Production_Log!$F$3:$F$8963=F61)*Production_Log!$H$3:$H$8963)</f>
        <v>0</v>
      </c>
      <c r="I61" s="249">
        <f t="shared" si="3"/>
        <v>0</v>
      </c>
      <c r="J61" s="251" t="str">
        <f t="shared" si="4"/>
        <v>-</v>
      </c>
      <c r="K61" s="250"/>
      <c r="L61" s="252"/>
    </row>
    <row r="62" spans="1:29" x14ac:dyDescent="0.3">
      <c r="B62" s="245" t="s">
        <v>42</v>
      </c>
      <c r="C62" s="246" t="s">
        <v>28</v>
      </c>
      <c r="D62" s="247" t="s">
        <v>107</v>
      </c>
      <c r="E62" s="248" t="s">
        <v>54</v>
      </c>
      <c r="F62" s="249">
        <v>8008</v>
      </c>
      <c r="G62" s="249">
        <v>0</v>
      </c>
      <c r="H62" s="250">
        <f>SUMPRODUCT((Production_Log!$F$3:$F$8963=F62)*Production_Log!$H$3:$H$8963)</f>
        <v>0</v>
      </c>
      <c r="I62" s="249">
        <f t="shared" si="3"/>
        <v>0</v>
      </c>
      <c r="J62" s="251" t="str">
        <f t="shared" si="4"/>
        <v>-</v>
      </c>
      <c r="K62" s="250"/>
      <c r="L62" s="252"/>
    </row>
    <row r="63" spans="1:29" ht="16.5" customHeight="1" x14ac:dyDescent="0.3">
      <c r="A63" s="128"/>
      <c r="B63" s="245" t="s">
        <v>42</v>
      </c>
      <c r="C63" s="246" t="s">
        <v>39</v>
      </c>
      <c r="D63" s="247" t="s">
        <v>108</v>
      </c>
      <c r="E63" s="248" t="s">
        <v>109</v>
      </c>
      <c r="F63" s="249">
        <v>8009</v>
      </c>
      <c r="G63" s="249">
        <v>0</v>
      </c>
      <c r="H63" s="250">
        <f>SUMPRODUCT((Production_Log!$F$3:$F$8963=F63)*Production_Log!$H$3:$H$8963)</f>
        <v>0</v>
      </c>
      <c r="I63" s="249">
        <f t="shared" si="3"/>
        <v>0</v>
      </c>
      <c r="J63" s="251" t="str">
        <f t="shared" si="4"/>
        <v>-</v>
      </c>
      <c r="K63" s="250"/>
      <c r="L63" s="252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45" t="s">
        <v>42</v>
      </c>
      <c r="C64" s="246" t="s">
        <v>39</v>
      </c>
      <c r="D64" s="247" t="s">
        <v>110</v>
      </c>
      <c r="E64" s="248" t="s">
        <v>111</v>
      </c>
      <c r="F64" s="249">
        <v>8013</v>
      </c>
      <c r="G64" s="249">
        <v>0</v>
      </c>
      <c r="H64" s="250">
        <f>SUMPRODUCT((Production_Log!$F$3:$F$8963=F64)*Production_Log!$H$3:$H$8963)</f>
        <v>0</v>
      </c>
      <c r="I64" s="249">
        <f t="shared" si="3"/>
        <v>0</v>
      </c>
      <c r="J64" s="251" t="str">
        <f t="shared" si="4"/>
        <v>-</v>
      </c>
      <c r="K64" s="250"/>
      <c r="L64" s="252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257"/>
    </row>
    <row r="66" spans="2:12" x14ac:dyDescent="0.3">
      <c r="B66" s="257"/>
      <c r="C66" s="257"/>
      <c r="D66" s="257"/>
      <c r="E66" s="257"/>
      <c r="F66" s="257"/>
      <c r="G66" s="257"/>
      <c r="H66" s="257"/>
      <c r="I66" s="257"/>
      <c r="J66" s="257"/>
      <c r="K66" s="257"/>
      <c r="L66" s="257"/>
    </row>
    <row r="67" spans="2:12" ht="15" customHeight="1" x14ac:dyDescent="0.3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257"/>
    </row>
    <row r="68" spans="2:12" ht="15" customHeight="1" x14ac:dyDescent="0.3">
      <c r="B68" s="257"/>
      <c r="C68" s="257"/>
      <c r="D68" s="257"/>
      <c r="E68" s="257"/>
      <c r="F68" s="257"/>
      <c r="G68" s="257"/>
      <c r="H68" s="257"/>
      <c r="I68" s="257"/>
      <c r="J68" s="257"/>
      <c r="K68" s="257"/>
      <c r="L68" s="257"/>
    </row>
    <row r="69" spans="2:12" ht="15" customHeight="1" x14ac:dyDescent="0.3">
      <c r="B69" s="257"/>
      <c r="C69" s="257"/>
      <c r="D69" s="257"/>
      <c r="E69" s="257"/>
      <c r="F69" s="257"/>
      <c r="G69" s="257"/>
      <c r="H69" s="257"/>
      <c r="I69" s="257"/>
      <c r="J69" s="257"/>
      <c r="K69" s="257"/>
      <c r="L69" s="257"/>
    </row>
    <row r="70" spans="2:12" ht="15" customHeight="1" x14ac:dyDescent="0.3">
      <c r="B70" s="257"/>
      <c r="C70" s="257"/>
      <c r="D70" s="257"/>
      <c r="E70" s="257"/>
      <c r="F70" s="257"/>
      <c r="G70" s="257"/>
      <c r="H70" s="257"/>
      <c r="I70" s="257"/>
      <c r="J70" s="257"/>
      <c r="K70" s="257"/>
      <c r="L70" s="257"/>
    </row>
    <row r="71" spans="2:12" x14ac:dyDescent="0.3">
      <c r="B71" s="257"/>
      <c r="C71" s="257"/>
      <c r="D71" s="257"/>
      <c r="E71" s="257"/>
      <c r="F71" s="257"/>
      <c r="G71" s="257"/>
      <c r="H71" s="257"/>
      <c r="I71" s="257"/>
      <c r="J71" s="257"/>
      <c r="K71" s="257"/>
      <c r="L71" s="257"/>
    </row>
    <row r="72" spans="2:12" x14ac:dyDescent="0.3">
      <c r="B72" s="257"/>
      <c r="C72" s="257"/>
      <c r="D72" s="257"/>
      <c r="E72" s="257"/>
      <c r="F72" s="257"/>
      <c r="G72" s="257"/>
      <c r="H72" s="257"/>
      <c r="I72" s="257"/>
      <c r="J72" s="257"/>
      <c r="K72" s="257"/>
      <c r="L72" s="257"/>
    </row>
    <row r="73" spans="2:12" x14ac:dyDescent="0.3">
      <c r="B73" s="257"/>
      <c r="C73" s="257"/>
      <c r="D73" s="257"/>
      <c r="E73" s="257"/>
      <c r="F73" s="257"/>
      <c r="G73" s="257"/>
      <c r="H73" s="257"/>
      <c r="I73" s="257"/>
      <c r="J73" s="257"/>
      <c r="K73" s="257"/>
      <c r="L73" s="257"/>
    </row>
    <row r="74" spans="2:12" x14ac:dyDescent="0.3">
      <c r="B74" s="257"/>
      <c r="C74" s="257"/>
      <c r="D74" s="257"/>
      <c r="E74" s="257"/>
      <c r="F74" s="257"/>
      <c r="G74" s="257"/>
      <c r="H74" s="257"/>
      <c r="I74" s="257"/>
      <c r="J74" s="257"/>
      <c r="K74" s="257"/>
      <c r="L74" s="257"/>
    </row>
    <row r="75" spans="2:12" x14ac:dyDescent="0.3">
      <c r="B75" s="257"/>
      <c r="C75" s="257"/>
      <c r="D75" s="257"/>
      <c r="E75" s="257"/>
      <c r="F75" s="257"/>
      <c r="G75" s="257"/>
      <c r="H75" s="257"/>
      <c r="I75" s="257"/>
      <c r="J75" s="257"/>
      <c r="K75" s="257"/>
      <c r="L75" s="257"/>
    </row>
    <row r="76" spans="2:12" x14ac:dyDescent="0.3">
      <c r="B76" s="257"/>
      <c r="C76" s="257"/>
      <c r="D76" s="257"/>
      <c r="E76" s="257"/>
      <c r="F76" s="257"/>
      <c r="G76" s="257"/>
      <c r="H76" s="257"/>
      <c r="I76" s="257"/>
      <c r="J76" s="257"/>
      <c r="K76" s="257"/>
      <c r="L76" s="257"/>
    </row>
    <row r="77" spans="2:12" x14ac:dyDescent="0.3"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7"/>
    </row>
    <row r="78" spans="2:12" x14ac:dyDescent="0.3">
      <c r="B78" s="257"/>
      <c r="C78" s="257"/>
      <c r="D78" s="257"/>
      <c r="E78" s="257"/>
      <c r="F78" s="257"/>
      <c r="G78" s="257"/>
      <c r="H78" s="257"/>
      <c r="I78" s="257"/>
      <c r="J78" s="257"/>
      <c r="K78" s="257"/>
      <c r="L78" s="257"/>
    </row>
    <row r="79" spans="2:12" x14ac:dyDescent="0.3">
      <c r="B79" s="257"/>
      <c r="C79" s="257"/>
      <c r="D79" s="257"/>
      <c r="E79" s="257"/>
      <c r="F79" s="257"/>
      <c r="G79" s="257"/>
      <c r="H79" s="257"/>
      <c r="I79" s="257"/>
      <c r="J79" s="257"/>
      <c r="K79" s="257"/>
      <c r="L79" s="257"/>
    </row>
    <row r="80" spans="2:12" x14ac:dyDescent="0.3">
      <c r="B80" s="257"/>
      <c r="C80" s="257"/>
      <c r="D80" s="257"/>
      <c r="E80" s="257"/>
      <c r="F80" s="257"/>
      <c r="G80" s="257"/>
      <c r="H80" s="257"/>
      <c r="I80" s="257"/>
      <c r="J80" s="257"/>
      <c r="K80" s="257"/>
      <c r="L80" s="257"/>
    </row>
    <row r="81" spans="2:12" x14ac:dyDescent="0.3">
      <c r="B81" s="257"/>
      <c r="C81" s="257"/>
      <c r="D81" s="257"/>
      <c r="E81" s="257"/>
      <c r="F81" s="257"/>
      <c r="G81" s="257"/>
      <c r="H81" s="257"/>
      <c r="I81" s="257"/>
      <c r="J81" s="257"/>
      <c r="K81" s="257"/>
      <c r="L81" s="257"/>
    </row>
    <row r="82" spans="2:12" x14ac:dyDescent="0.3">
      <c r="B82" s="257"/>
      <c r="C82" s="257"/>
      <c r="D82" s="257"/>
      <c r="E82" s="257"/>
      <c r="F82" s="257"/>
      <c r="G82" s="257"/>
      <c r="H82" s="257"/>
      <c r="I82" s="257"/>
      <c r="J82" s="257"/>
      <c r="K82" s="257"/>
      <c r="L82" s="257"/>
    </row>
    <row r="83" spans="2:12" x14ac:dyDescent="0.3">
      <c r="B83" s="257"/>
      <c r="C83" s="257"/>
      <c r="D83" s="257"/>
      <c r="E83" s="257"/>
      <c r="F83" s="257"/>
      <c r="G83" s="257"/>
      <c r="H83" s="257"/>
      <c r="I83" s="257"/>
      <c r="J83" s="257"/>
      <c r="K83" s="257"/>
      <c r="L83" s="257"/>
    </row>
    <row r="84" spans="2:12" x14ac:dyDescent="0.3">
      <c r="B84" s="257"/>
      <c r="C84" s="257"/>
      <c r="D84" s="257"/>
      <c r="E84" s="257"/>
      <c r="F84" s="257"/>
      <c r="G84" s="257"/>
      <c r="H84" s="257"/>
      <c r="I84" s="257"/>
      <c r="J84" s="257"/>
      <c r="K84" s="257"/>
      <c r="L84" s="257"/>
    </row>
    <row r="85" spans="2:12" x14ac:dyDescent="0.3">
      <c r="B85" s="257"/>
      <c r="C85" s="257"/>
      <c r="D85" s="257"/>
      <c r="E85" s="257"/>
      <c r="F85" s="257"/>
      <c r="G85" s="257"/>
      <c r="H85" s="257"/>
      <c r="I85" s="257"/>
      <c r="J85" s="257"/>
      <c r="K85" s="257"/>
      <c r="L85" s="257"/>
    </row>
    <row r="86" spans="2:12" x14ac:dyDescent="0.3">
      <c r="B86" s="257"/>
      <c r="C86" s="257"/>
      <c r="D86" s="257"/>
      <c r="E86" s="257"/>
      <c r="F86" s="257"/>
      <c r="G86" s="257"/>
      <c r="H86" s="257"/>
      <c r="I86" s="257"/>
      <c r="J86" s="257"/>
      <c r="K86" s="257"/>
      <c r="L86" s="257"/>
    </row>
    <row r="87" spans="2:12" x14ac:dyDescent="0.3">
      <c r="B87" s="257"/>
      <c r="C87" s="257"/>
      <c r="D87" s="257"/>
      <c r="E87" s="257"/>
      <c r="F87" s="257"/>
      <c r="G87" s="257"/>
      <c r="H87" s="257"/>
      <c r="I87" s="257"/>
      <c r="J87" s="257"/>
      <c r="K87" s="257"/>
      <c r="L87" s="257"/>
    </row>
    <row r="88" spans="2:12" x14ac:dyDescent="0.3">
      <c r="B88" s="257"/>
      <c r="C88" s="257"/>
      <c r="D88" s="257"/>
      <c r="E88" s="257"/>
      <c r="F88" s="257"/>
      <c r="G88" s="257"/>
      <c r="H88" s="257"/>
      <c r="I88" s="257"/>
      <c r="J88" s="257"/>
      <c r="K88" s="257"/>
      <c r="L88" s="257"/>
    </row>
    <row r="89" spans="2:12" x14ac:dyDescent="0.3">
      <c r="B89" s="257"/>
      <c r="C89" s="257"/>
      <c r="D89" s="257"/>
      <c r="E89" s="257"/>
      <c r="F89" s="257"/>
      <c r="G89" s="257"/>
      <c r="H89" s="257"/>
      <c r="I89" s="257"/>
      <c r="J89" s="257"/>
      <c r="K89" s="257"/>
      <c r="L89" s="257"/>
    </row>
    <row r="90" spans="2:12" x14ac:dyDescent="0.3">
      <c r="B90" s="257"/>
      <c r="C90" s="257"/>
      <c r="D90" s="257"/>
      <c r="E90" s="257"/>
      <c r="F90" s="257"/>
      <c r="G90" s="257"/>
      <c r="H90" s="257"/>
      <c r="I90" s="257"/>
      <c r="J90" s="257"/>
      <c r="K90" s="257"/>
      <c r="L90" s="257"/>
    </row>
    <row r="91" spans="2:12" x14ac:dyDescent="0.3">
      <c r="B91" s="257"/>
      <c r="C91" s="257"/>
      <c r="D91" s="257"/>
      <c r="E91" s="257"/>
      <c r="F91" s="257"/>
      <c r="G91" s="257"/>
      <c r="H91" s="257"/>
      <c r="I91" s="257"/>
      <c r="J91" s="257"/>
      <c r="K91" s="257"/>
      <c r="L91" s="257"/>
    </row>
    <row r="92" spans="2:12" x14ac:dyDescent="0.3">
      <c r="B92" s="257"/>
      <c r="C92" s="257"/>
      <c r="D92" s="257"/>
      <c r="E92" s="257"/>
      <c r="F92" s="257"/>
      <c r="G92" s="257"/>
      <c r="H92" s="257"/>
      <c r="I92" s="257"/>
      <c r="J92" s="257"/>
      <c r="K92" s="257"/>
      <c r="L92" s="257"/>
    </row>
    <row r="93" spans="2:12" x14ac:dyDescent="0.3">
      <c r="B93" s="257"/>
      <c r="C93" s="257"/>
      <c r="D93" s="257"/>
      <c r="E93" s="257"/>
      <c r="F93" s="257"/>
      <c r="G93" s="257"/>
      <c r="H93" s="257"/>
      <c r="I93" s="257"/>
      <c r="J93" s="257"/>
      <c r="K93" s="257"/>
      <c r="L93" s="257"/>
    </row>
    <row r="94" spans="2:12" x14ac:dyDescent="0.3">
      <c r="B94" s="257"/>
      <c r="C94" s="257"/>
      <c r="D94" s="257"/>
      <c r="E94" s="257"/>
      <c r="F94" s="257"/>
      <c r="G94" s="257"/>
      <c r="H94" s="257"/>
      <c r="I94" s="257"/>
      <c r="J94" s="257"/>
      <c r="K94" s="257"/>
      <c r="L94" s="257"/>
    </row>
    <row r="95" spans="2:12" x14ac:dyDescent="0.3">
      <c r="B95" s="257"/>
      <c r="C95" s="257"/>
      <c r="D95" s="257"/>
      <c r="E95" s="257"/>
      <c r="F95" s="257"/>
      <c r="G95" s="257"/>
      <c r="H95" s="257"/>
      <c r="I95" s="257"/>
      <c r="J95" s="257"/>
      <c r="K95" s="257"/>
      <c r="L95" s="257"/>
    </row>
    <row r="96" spans="2:12" x14ac:dyDescent="0.3">
      <c r="B96" s="257"/>
      <c r="C96" s="257"/>
      <c r="D96" s="257"/>
      <c r="E96" s="257"/>
      <c r="F96" s="257"/>
      <c r="G96" s="257"/>
      <c r="H96" s="257"/>
      <c r="I96" s="257"/>
      <c r="J96" s="257"/>
      <c r="K96" s="257"/>
      <c r="L96" s="257"/>
    </row>
    <row r="97" spans="2:12" x14ac:dyDescent="0.3">
      <c r="B97" s="257"/>
      <c r="C97" s="257"/>
      <c r="D97" s="257"/>
      <c r="E97" s="257"/>
      <c r="F97" s="257"/>
      <c r="G97" s="257"/>
      <c r="H97" s="257"/>
      <c r="I97" s="257"/>
      <c r="J97" s="257"/>
      <c r="K97" s="257"/>
      <c r="L97" s="257"/>
    </row>
    <row r="98" spans="2:12" x14ac:dyDescent="0.3">
      <c r="B98" s="257"/>
      <c r="C98" s="257"/>
      <c r="D98" s="257"/>
      <c r="E98" s="257"/>
      <c r="F98" s="257"/>
      <c r="G98" s="257"/>
      <c r="H98" s="257"/>
      <c r="I98" s="257"/>
      <c r="J98" s="257"/>
      <c r="K98" s="257"/>
      <c r="L98" s="257"/>
    </row>
    <row r="99" spans="2:12" x14ac:dyDescent="0.3">
      <c r="B99" s="257"/>
      <c r="C99" s="257"/>
      <c r="D99" s="257"/>
      <c r="E99" s="257"/>
      <c r="F99" s="257"/>
      <c r="G99" s="257"/>
      <c r="H99" s="257"/>
      <c r="I99" s="257"/>
      <c r="J99" s="257"/>
      <c r="K99" s="257"/>
      <c r="L99" s="257"/>
    </row>
    <row r="100" spans="2:12" x14ac:dyDescent="0.3">
      <c r="B100" s="257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</row>
    <row r="101" spans="2:12" x14ac:dyDescent="0.3">
      <c r="B101" s="257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</row>
    <row r="102" spans="2:12" x14ac:dyDescent="0.3">
      <c r="B102" s="257"/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</row>
    <row r="103" spans="2:12" x14ac:dyDescent="0.3">
      <c r="B103" s="257"/>
      <c r="C103" s="257"/>
      <c r="D103" s="257"/>
      <c r="E103" s="257"/>
      <c r="F103" s="257"/>
      <c r="G103" s="257"/>
      <c r="H103" s="257"/>
      <c r="I103" s="257"/>
      <c r="J103" s="257"/>
      <c r="K103" s="257"/>
      <c r="L103" s="257"/>
    </row>
    <row r="104" spans="2:12" x14ac:dyDescent="0.3">
      <c r="B104" s="257"/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</row>
    <row r="105" spans="2:12" x14ac:dyDescent="0.3">
      <c r="B105" s="257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</row>
    <row r="106" spans="2:12" x14ac:dyDescent="0.3">
      <c r="B106" s="257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</row>
    <row r="107" spans="2:12" x14ac:dyDescent="0.3">
      <c r="B107" s="257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</row>
    <row r="108" spans="2:12" x14ac:dyDescent="0.3">
      <c r="B108" s="257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</row>
    <row r="109" spans="2:12" x14ac:dyDescent="0.3">
      <c r="B109" s="257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</row>
    <row r="110" spans="2:12" x14ac:dyDescent="0.3">
      <c r="B110" s="257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</row>
    <row r="111" spans="2:12" x14ac:dyDescent="0.3">
      <c r="B111" s="257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</row>
    <row r="112" spans="2:12" x14ac:dyDescent="0.3">
      <c r="B112" s="257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</row>
    <row r="113" spans="2:12" x14ac:dyDescent="0.3">
      <c r="B113" s="257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</row>
    <row r="114" spans="2:12" x14ac:dyDescent="0.3">
      <c r="B114" s="257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</row>
    <row r="115" spans="2:12" x14ac:dyDescent="0.3">
      <c r="B115" s="257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</row>
    <row r="116" spans="2:12" x14ac:dyDescent="0.3">
      <c r="B116" s="257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</row>
    <row r="117" spans="2:12" x14ac:dyDescent="0.3">
      <c r="B117" s="257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</row>
    <row r="118" spans="2:12" x14ac:dyDescent="0.3">
      <c r="B118" s="257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</row>
    <row r="119" spans="2:12" x14ac:dyDescent="0.3">
      <c r="B119" s="257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</row>
    <row r="120" spans="2:12" x14ac:dyDescent="0.3">
      <c r="B120" s="257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</row>
    <row r="121" spans="2:12" x14ac:dyDescent="0.3">
      <c r="B121" s="257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</row>
    <row r="122" spans="2:12" x14ac:dyDescent="0.3">
      <c r="B122" s="257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</row>
    <row r="123" spans="2:12" x14ac:dyDescent="0.3">
      <c r="B123" s="257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</row>
    <row r="124" spans="2:12" x14ac:dyDescent="0.3">
      <c r="B124" s="257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</row>
    <row r="125" spans="2:12" x14ac:dyDescent="0.3">
      <c r="B125" s="257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</row>
    <row r="126" spans="2:12" x14ac:dyDescent="0.3">
      <c r="B126" s="257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</row>
    <row r="127" spans="2:12" x14ac:dyDescent="0.3">
      <c r="B127" s="257"/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</row>
    <row r="128" spans="2:12" x14ac:dyDescent="0.3">
      <c r="B128" s="257"/>
      <c r="C128" s="257"/>
      <c r="D128" s="257"/>
      <c r="E128" s="257"/>
      <c r="F128" s="257"/>
      <c r="G128" s="257"/>
      <c r="H128" s="257"/>
      <c r="I128" s="257"/>
      <c r="J128" s="257"/>
      <c r="K128" s="257"/>
      <c r="L128" s="257"/>
    </row>
    <row r="129" spans="2:12" x14ac:dyDescent="0.3">
      <c r="B129" s="257"/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</row>
    <row r="130" spans="2:12" x14ac:dyDescent="0.3">
      <c r="B130" s="257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</row>
    <row r="131" spans="2:12" x14ac:dyDescent="0.3">
      <c r="B131" s="257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</row>
    <row r="132" spans="2:12" x14ac:dyDescent="0.3">
      <c r="B132" s="257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</row>
    <row r="133" spans="2:12" x14ac:dyDescent="0.3">
      <c r="B133" s="257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</row>
    <row r="134" spans="2:12" x14ac:dyDescent="0.3">
      <c r="B134" s="257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</row>
    <row r="135" spans="2:12" x14ac:dyDescent="0.3">
      <c r="B135" s="257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</row>
    <row r="136" spans="2:12" x14ac:dyDescent="0.3">
      <c r="B136" s="257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</row>
    <row r="137" spans="2:12" x14ac:dyDescent="0.3">
      <c r="B137" s="257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</row>
    <row r="138" spans="2:12" x14ac:dyDescent="0.3">
      <c r="B138" s="257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</row>
    <row r="139" spans="2:12" x14ac:dyDescent="0.3">
      <c r="B139" s="257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</row>
    <row r="140" spans="2:12" x14ac:dyDescent="0.3">
      <c r="B140" s="257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</row>
    <row r="141" spans="2:12" x14ac:dyDescent="0.3">
      <c r="B141" s="257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</row>
    <row r="142" spans="2:12" x14ac:dyDescent="0.3">
      <c r="B142" s="257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</row>
    <row r="143" spans="2:12" x14ac:dyDescent="0.3">
      <c r="B143" s="257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</row>
    <row r="144" spans="2:12" x14ac:dyDescent="0.3">
      <c r="B144" s="257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</row>
    <row r="145" spans="2:12" x14ac:dyDescent="0.3">
      <c r="B145" s="257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</row>
    <row r="146" spans="2:12" x14ac:dyDescent="0.3">
      <c r="B146" s="257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</row>
    <row r="147" spans="2:12" x14ac:dyDescent="0.3">
      <c r="B147" s="257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</row>
    <row r="148" spans="2:12" x14ac:dyDescent="0.3">
      <c r="B148" s="257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</row>
    <row r="149" spans="2:12" x14ac:dyDescent="0.3">
      <c r="B149" s="257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</row>
    <row r="150" spans="2:12" x14ac:dyDescent="0.3">
      <c r="B150" s="257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</row>
    <row r="151" spans="2:12" x14ac:dyDescent="0.3">
      <c r="B151" s="257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</row>
    <row r="152" spans="2:12" x14ac:dyDescent="0.3">
      <c r="B152" s="257"/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</row>
    <row r="153" spans="2:12" x14ac:dyDescent="0.3">
      <c r="B153" s="257"/>
      <c r="C153" s="257"/>
      <c r="D153" s="257"/>
      <c r="E153" s="257"/>
      <c r="F153" s="257"/>
      <c r="G153" s="257"/>
      <c r="H153" s="257"/>
      <c r="I153" s="257"/>
      <c r="J153" s="257"/>
      <c r="K153" s="257"/>
      <c r="L153" s="257"/>
    </row>
    <row r="154" spans="2:12" x14ac:dyDescent="0.3">
      <c r="B154" s="257"/>
      <c r="C154" s="257"/>
      <c r="D154" s="257"/>
      <c r="E154" s="257"/>
      <c r="F154" s="257"/>
      <c r="G154" s="257"/>
      <c r="H154" s="257"/>
      <c r="I154" s="257"/>
      <c r="J154" s="257"/>
      <c r="K154" s="257"/>
      <c r="L154" s="257"/>
    </row>
    <row r="155" spans="2:12" x14ac:dyDescent="0.3">
      <c r="B155" s="257"/>
      <c r="C155" s="257"/>
      <c r="D155" s="257"/>
      <c r="E155" s="257"/>
      <c r="F155" s="257"/>
      <c r="G155" s="257"/>
      <c r="H155" s="257"/>
      <c r="I155" s="257"/>
      <c r="J155" s="257"/>
      <c r="K155" s="257"/>
      <c r="L155" s="257"/>
    </row>
    <row r="156" spans="2:12" x14ac:dyDescent="0.3">
      <c r="B156" s="257"/>
      <c r="C156" s="257"/>
      <c r="D156" s="257"/>
      <c r="E156" s="257"/>
      <c r="F156" s="257"/>
      <c r="G156" s="257"/>
      <c r="H156" s="257"/>
      <c r="I156" s="257"/>
      <c r="J156" s="257"/>
      <c r="K156" s="257"/>
      <c r="L156" s="257"/>
    </row>
    <row r="157" spans="2:12" x14ac:dyDescent="0.3">
      <c r="B157" s="257"/>
      <c r="C157" s="257"/>
      <c r="D157" s="257"/>
      <c r="E157" s="257"/>
      <c r="F157" s="257"/>
      <c r="G157" s="257"/>
      <c r="H157" s="257"/>
      <c r="I157" s="257"/>
      <c r="J157" s="257"/>
      <c r="K157" s="257"/>
      <c r="L157" s="257"/>
    </row>
    <row r="158" spans="2:12" x14ac:dyDescent="0.3">
      <c r="B158" s="257"/>
      <c r="C158" s="257"/>
      <c r="D158" s="257"/>
      <c r="E158" s="257"/>
      <c r="F158" s="257"/>
      <c r="G158" s="257"/>
      <c r="H158" s="257"/>
      <c r="I158" s="257"/>
      <c r="J158" s="257"/>
      <c r="K158" s="257"/>
      <c r="L158" s="257"/>
    </row>
    <row r="159" spans="2:12" x14ac:dyDescent="0.3">
      <c r="B159" s="257"/>
      <c r="C159" s="257"/>
      <c r="D159" s="257"/>
      <c r="E159" s="257"/>
      <c r="F159" s="257"/>
      <c r="G159" s="257"/>
      <c r="H159" s="257"/>
      <c r="I159" s="257"/>
      <c r="J159" s="257"/>
      <c r="K159" s="257"/>
      <c r="L159" s="257"/>
    </row>
    <row r="160" spans="2:12" x14ac:dyDescent="0.3">
      <c r="B160" s="257"/>
      <c r="C160" s="257"/>
      <c r="D160" s="257"/>
      <c r="E160" s="257"/>
      <c r="F160" s="257"/>
      <c r="G160" s="257"/>
      <c r="H160" s="257"/>
      <c r="I160" s="257"/>
      <c r="J160" s="257"/>
      <c r="K160" s="257"/>
      <c r="L160" s="257"/>
    </row>
    <row r="161" spans="2:12" x14ac:dyDescent="0.3">
      <c r="B161" s="257"/>
      <c r="C161" s="257"/>
      <c r="D161" s="257"/>
      <c r="E161" s="257"/>
      <c r="F161" s="257"/>
      <c r="G161" s="257"/>
      <c r="H161" s="257"/>
      <c r="I161" s="257"/>
      <c r="J161" s="257"/>
      <c r="K161" s="257"/>
      <c r="L161" s="257"/>
    </row>
    <row r="162" spans="2:12" x14ac:dyDescent="0.3">
      <c r="B162" s="257"/>
      <c r="C162" s="257"/>
      <c r="D162" s="257"/>
      <c r="E162" s="257"/>
      <c r="F162" s="257"/>
      <c r="G162" s="257"/>
      <c r="H162" s="257"/>
      <c r="I162" s="257"/>
      <c r="J162" s="257"/>
      <c r="K162" s="257"/>
      <c r="L162" s="257"/>
    </row>
    <row r="163" spans="2:12" x14ac:dyDescent="0.3">
      <c r="B163" s="257"/>
      <c r="C163" s="257"/>
      <c r="D163" s="257"/>
      <c r="E163" s="257"/>
      <c r="F163" s="257"/>
      <c r="G163" s="257"/>
      <c r="H163" s="257"/>
      <c r="I163" s="257"/>
      <c r="J163" s="257"/>
      <c r="K163" s="257"/>
      <c r="L163" s="257"/>
    </row>
    <row r="164" spans="2:12" x14ac:dyDescent="0.3">
      <c r="B164" s="257"/>
      <c r="C164" s="257"/>
      <c r="D164" s="257"/>
      <c r="E164" s="257"/>
      <c r="F164" s="257"/>
      <c r="G164" s="257"/>
      <c r="H164" s="257"/>
      <c r="I164" s="257"/>
      <c r="J164" s="257"/>
      <c r="K164" s="257"/>
      <c r="L164" s="257"/>
    </row>
    <row r="165" spans="2:12" x14ac:dyDescent="0.3">
      <c r="B165" s="257"/>
      <c r="C165" s="257"/>
      <c r="D165" s="257"/>
      <c r="E165" s="257"/>
      <c r="F165" s="257"/>
      <c r="G165" s="257"/>
      <c r="H165" s="257"/>
      <c r="I165" s="257"/>
      <c r="J165" s="257"/>
      <c r="K165" s="257"/>
      <c r="L165" s="257"/>
    </row>
    <row r="166" spans="2:12" x14ac:dyDescent="0.3">
      <c r="B166" s="257"/>
      <c r="C166" s="257"/>
      <c r="D166" s="257"/>
      <c r="E166" s="257"/>
      <c r="F166" s="257"/>
      <c r="G166" s="257"/>
      <c r="H166" s="257"/>
      <c r="I166" s="257"/>
      <c r="J166" s="257"/>
      <c r="K166" s="257"/>
      <c r="L166" s="257"/>
    </row>
    <row r="167" spans="2:12" x14ac:dyDescent="0.3">
      <c r="B167" s="257"/>
      <c r="C167" s="257"/>
      <c r="D167" s="257"/>
      <c r="E167" s="257"/>
      <c r="F167" s="257"/>
      <c r="G167" s="257"/>
      <c r="H167" s="257"/>
      <c r="I167" s="257"/>
      <c r="J167" s="257"/>
      <c r="K167" s="257"/>
      <c r="L167" s="257"/>
    </row>
    <row r="168" spans="2:12" x14ac:dyDescent="0.3">
      <c r="B168" s="257"/>
      <c r="C168" s="257"/>
      <c r="D168" s="257"/>
      <c r="E168" s="257"/>
      <c r="F168" s="257"/>
      <c r="G168" s="257"/>
      <c r="H168" s="257"/>
      <c r="I168" s="257"/>
      <c r="J168" s="257"/>
      <c r="K168" s="257"/>
      <c r="L168" s="257"/>
    </row>
    <row r="169" spans="2:12" x14ac:dyDescent="0.3">
      <c r="B169" s="257"/>
      <c r="C169" s="257"/>
      <c r="D169" s="257"/>
      <c r="E169" s="257"/>
      <c r="F169" s="257"/>
      <c r="G169" s="257"/>
      <c r="H169" s="257"/>
      <c r="I169" s="257"/>
      <c r="J169" s="257"/>
      <c r="K169" s="257"/>
      <c r="L169" s="257"/>
    </row>
    <row r="170" spans="2:12" x14ac:dyDescent="0.3">
      <c r="B170" s="257"/>
      <c r="C170" s="257"/>
      <c r="D170" s="257"/>
      <c r="E170" s="257"/>
      <c r="F170" s="257"/>
      <c r="G170" s="257"/>
      <c r="H170" s="257"/>
      <c r="I170" s="257"/>
      <c r="J170" s="257"/>
      <c r="K170" s="257"/>
      <c r="L170" s="257"/>
    </row>
    <row r="171" spans="2:12" x14ac:dyDescent="0.3">
      <c r="B171" s="257"/>
      <c r="C171" s="257"/>
      <c r="D171" s="257"/>
      <c r="E171" s="257"/>
      <c r="F171" s="257"/>
      <c r="G171" s="257"/>
      <c r="H171" s="257"/>
      <c r="I171" s="257"/>
      <c r="J171" s="257"/>
      <c r="K171" s="257"/>
      <c r="L171" s="257"/>
    </row>
    <row r="172" spans="2:12" x14ac:dyDescent="0.3">
      <c r="B172" s="257"/>
      <c r="C172" s="257"/>
      <c r="D172" s="257"/>
      <c r="E172" s="257"/>
      <c r="F172" s="257"/>
      <c r="G172" s="257"/>
      <c r="H172" s="257"/>
      <c r="I172" s="257"/>
      <c r="J172" s="257"/>
      <c r="K172" s="257"/>
      <c r="L172" s="257"/>
    </row>
    <row r="173" spans="2:12" x14ac:dyDescent="0.3">
      <c r="B173" s="257"/>
      <c r="C173" s="257"/>
      <c r="D173" s="257"/>
      <c r="E173" s="257"/>
      <c r="F173" s="257"/>
      <c r="G173" s="257"/>
      <c r="H173" s="257"/>
      <c r="I173" s="257"/>
      <c r="J173" s="257"/>
      <c r="K173" s="257"/>
      <c r="L173" s="257"/>
    </row>
    <row r="174" spans="2:12" x14ac:dyDescent="0.3">
      <c r="B174" s="257"/>
      <c r="C174" s="257"/>
      <c r="D174" s="257"/>
      <c r="E174" s="257"/>
      <c r="F174" s="257"/>
      <c r="G174" s="257"/>
      <c r="H174" s="257"/>
      <c r="I174" s="257"/>
      <c r="J174" s="257"/>
      <c r="K174" s="257"/>
      <c r="L174" s="257"/>
    </row>
    <row r="175" spans="2:12" x14ac:dyDescent="0.3">
      <c r="B175" s="257"/>
      <c r="C175" s="257"/>
      <c r="D175" s="257"/>
      <c r="E175" s="257"/>
      <c r="F175" s="257"/>
      <c r="G175" s="257"/>
      <c r="H175" s="257"/>
      <c r="I175" s="257"/>
      <c r="J175" s="257"/>
      <c r="K175" s="257"/>
      <c r="L175" s="257"/>
    </row>
    <row r="176" spans="2:12" x14ac:dyDescent="0.3">
      <c r="B176" s="257"/>
      <c r="C176" s="257"/>
      <c r="D176" s="257"/>
      <c r="E176" s="257"/>
      <c r="F176" s="257"/>
      <c r="G176" s="257"/>
      <c r="H176" s="257"/>
      <c r="I176" s="257"/>
      <c r="J176" s="257"/>
      <c r="K176" s="257"/>
      <c r="L176" s="257"/>
    </row>
    <row r="177" spans="2:12" x14ac:dyDescent="0.3">
      <c r="B177" s="257"/>
      <c r="C177" s="257"/>
      <c r="D177" s="257"/>
      <c r="E177" s="257"/>
      <c r="F177" s="257"/>
      <c r="G177" s="257"/>
      <c r="H177" s="257"/>
      <c r="I177" s="257"/>
      <c r="J177" s="257"/>
      <c r="K177" s="257"/>
      <c r="L177" s="257"/>
    </row>
    <row r="178" spans="2:12" x14ac:dyDescent="0.3">
      <c r="B178" s="257"/>
      <c r="C178" s="257"/>
      <c r="D178" s="257"/>
      <c r="E178" s="257"/>
      <c r="F178" s="257"/>
      <c r="G178" s="257"/>
      <c r="H178" s="257"/>
      <c r="I178" s="257"/>
      <c r="J178" s="257"/>
      <c r="K178" s="257"/>
      <c r="L178" s="257"/>
    </row>
    <row r="179" spans="2:12" x14ac:dyDescent="0.3">
      <c r="B179" s="257"/>
      <c r="C179" s="257"/>
      <c r="D179" s="257"/>
      <c r="E179" s="257"/>
      <c r="F179" s="257"/>
      <c r="G179" s="257"/>
      <c r="H179" s="257"/>
      <c r="I179" s="257"/>
      <c r="J179" s="257"/>
      <c r="K179" s="257"/>
      <c r="L179" s="257"/>
    </row>
    <row r="180" spans="2:12" x14ac:dyDescent="0.3">
      <c r="B180" s="257"/>
      <c r="C180" s="257"/>
      <c r="D180" s="257"/>
      <c r="E180" s="257"/>
      <c r="F180" s="257"/>
      <c r="G180" s="257"/>
      <c r="H180" s="257"/>
      <c r="I180" s="257"/>
      <c r="J180" s="257"/>
      <c r="K180" s="257"/>
      <c r="L180" s="257"/>
    </row>
    <row r="181" spans="2:12" x14ac:dyDescent="0.3">
      <c r="B181" s="257"/>
      <c r="C181" s="257"/>
      <c r="D181" s="257"/>
      <c r="E181" s="257"/>
      <c r="F181" s="257"/>
      <c r="G181" s="257"/>
      <c r="H181" s="257"/>
      <c r="I181" s="257"/>
      <c r="J181" s="257"/>
      <c r="K181" s="257"/>
      <c r="L181" s="257"/>
    </row>
    <row r="182" spans="2:12" x14ac:dyDescent="0.3">
      <c r="B182" s="257"/>
      <c r="C182" s="257"/>
      <c r="D182" s="257"/>
      <c r="E182" s="257"/>
      <c r="F182" s="257"/>
      <c r="G182" s="257"/>
      <c r="H182" s="257"/>
      <c r="I182" s="257"/>
      <c r="J182" s="257"/>
      <c r="K182" s="257"/>
      <c r="L182" s="257"/>
    </row>
    <row r="183" spans="2:12" x14ac:dyDescent="0.3">
      <c r="B183" s="257"/>
      <c r="C183" s="257"/>
      <c r="D183" s="257"/>
      <c r="E183" s="257"/>
      <c r="F183" s="257"/>
      <c r="G183" s="257"/>
      <c r="H183" s="257"/>
      <c r="I183" s="257"/>
      <c r="J183" s="257"/>
      <c r="K183" s="257"/>
      <c r="L183" s="257"/>
    </row>
    <row r="184" spans="2:12" x14ac:dyDescent="0.3">
      <c r="B184" s="257"/>
      <c r="C184" s="257"/>
      <c r="D184" s="257"/>
      <c r="E184" s="257"/>
      <c r="F184" s="257"/>
      <c r="G184" s="257"/>
      <c r="H184" s="257"/>
      <c r="I184" s="257"/>
      <c r="J184" s="257"/>
      <c r="K184" s="257"/>
      <c r="L184" s="257"/>
    </row>
    <row r="185" spans="2:12" x14ac:dyDescent="0.3">
      <c r="B185" s="257"/>
      <c r="C185" s="257"/>
      <c r="D185" s="257"/>
      <c r="E185" s="257"/>
      <c r="F185" s="257"/>
      <c r="G185" s="257"/>
      <c r="H185" s="257"/>
      <c r="I185" s="257"/>
      <c r="J185" s="257"/>
      <c r="K185" s="257"/>
      <c r="L185" s="257"/>
    </row>
    <row r="186" spans="2:12" x14ac:dyDescent="0.3">
      <c r="B186" s="257"/>
      <c r="C186" s="257"/>
      <c r="D186" s="257"/>
      <c r="E186" s="257"/>
      <c r="F186" s="257"/>
      <c r="G186" s="257"/>
      <c r="H186" s="257"/>
      <c r="I186" s="257"/>
      <c r="J186" s="257"/>
      <c r="K186" s="257"/>
      <c r="L186" s="257"/>
    </row>
    <row r="187" spans="2:12" x14ac:dyDescent="0.3">
      <c r="B187" s="257"/>
      <c r="C187" s="257"/>
      <c r="D187" s="257"/>
      <c r="E187" s="257"/>
      <c r="F187" s="257"/>
      <c r="G187" s="257"/>
      <c r="H187" s="257"/>
      <c r="I187" s="257"/>
      <c r="J187" s="257"/>
      <c r="K187" s="257"/>
      <c r="L187" s="257"/>
    </row>
    <row r="188" spans="2:12" x14ac:dyDescent="0.3">
      <c r="B188" s="257"/>
      <c r="C188" s="257"/>
      <c r="D188" s="257"/>
      <c r="E188" s="257"/>
      <c r="F188" s="257"/>
      <c r="G188" s="257"/>
      <c r="H188" s="257"/>
      <c r="I188" s="257"/>
      <c r="J188" s="257"/>
      <c r="K188" s="257"/>
      <c r="L188" s="257"/>
    </row>
    <row r="189" spans="2:12" x14ac:dyDescent="0.3">
      <c r="B189" s="257"/>
      <c r="C189" s="257"/>
      <c r="D189" s="257"/>
      <c r="E189" s="257"/>
      <c r="F189" s="257"/>
      <c r="G189" s="257"/>
      <c r="H189" s="257"/>
      <c r="I189" s="257"/>
      <c r="J189" s="257"/>
      <c r="K189" s="257"/>
      <c r="L189" s="257"/>
    </row>
    <row r="190" spans="2:12" x14ac:dyDescent="0.3">
      <c r="B190" s="257"/>
      <c r="C190" s="257"/>
      <c r="D190" s="257"/>
      <c r="E190" s="257"/>
      <c r="F190" s="257"/>
      <c r="G190" s="257"/>
      <c r="H190" s="257"/>
      <c r="I190" s="257"/>
      <c r="J190" s="257"/>
      <c r="K190" s="257"/>
      <c r="L190" s="257"/>
    </row>
    <row r="191" spans="2:12" x14ac:dyDescent="0.3">
      <c r="B191" s="257"/>
      <c r="C191" s="257"/>
      <c r="D191" s="257"/>
      <c r="E191" s="257"/>
      <c r="F191" s="257"/>
      <c r="G191" s="257"/>
      <c r="H191" s="257"/>
      <c r="I191" s="257"/>
      <c r="J191" s="257"/>
      <c r="K191" s="257"/>
      <c r="L191" s="257"/>
    </row>
    <row r="192" spans="2:12" x14ac:dyDescent="0.3">
      <c r="B192" s="257"/>
      <c r="C192" s="257"/>
      <c r="D192" s="257"/>
      <c r="E192" s="257"/>
      <c r="F192" s="257"/>
      <c r="G192" s="257"/>
      <c r="H192" s="257"/>
      <c r="I192" s="257"/>
      <c r="J192" s="257"/>
      <c r="K192" s="257"/>
      <c r="L192" s="257"/>
    </row>
    <row r="193" spans="2:12" x14ac:dyDescent="0.3">
      <c r="B193" s="257"/>
      <c r="C193" s="257"/>
      <c r="D193" s="257"/>
      <c r="E193" s="257"/>
      <c r="F193" s="257"/>
      <c r="G193" s="257"/>
      <c r="H193" s="257"/>
      <c r="I193" s="257"/>
      <c r="J193" s="257"/>
      <c r="K193" s="257"/>
      <c r="L193" s="257"/>
    </row>
    <row r="194" spans="2:12" x14ac:dyDescent="0.3">
      <c r="B194" s="257"/>
      <c r="C194" s="257"/>
      <c r="D194" s="257"/>
      <c r="E194" s="257"/>
      <c r="F194" s="257"/>
      <c r="G194" s="257"/>
      <c r="H194" s="257"/>
      <c r="I194" s="257"/>
      <c r="J194" s="257"/>
      <c r="K194" s="257"/>
      <c r="L194" s="257"/>
    </row>
    <row r="195" spans="2:12" x14ac:dyDescent="0.3">
      <c r="B195" s="257"/>
      <c r="C195" s="257"/>
      <c r="D195" s="257"/>
      <c r="E195" s="257"/>
      <c r="F195" s="257"/>
      <c r="G195" s="257"/>
      <c r="H195" s="257"/>
      <c r="I195" s="257"/>
      <c r="J195" s="257"/>
      <c r="K195" s="257"/>
      <c r="L195" s="257"/>
    </row>
    <row r="196" spans="2:12" x14ac:dyDescent="0.3">
      <c r="B196" s="257"/>
      <c r="C196" s="257"/>
      <c r="D196" s="257"/>
      <c r="E196" s="257"/>
      <c r="F196" s="257"/>
      <c r="G196" s="257"/>
      <c r="H196" s="257"/>
      <c r="I196" s="257"/>
      <c r="J196" s="257"/>
      <c r="K196" s="257"/>
      <c r="L196" s="257"/>
    </row>
    <row r="197" spans="2:12" x14ac:dyDescent="0.3">
      <c r="B197" s="257"/>
      <c r="C197" s="257"/>
      <c r="D197" s="257"/>
      <c r="E197" s="257"/>
      <c r="F197" s="257"/>
      <c r="G197" s="257"/>
      <c r="H197" s="257"/>
      <c r="I197" s="257"/>
      <c r="J197" s="257"/>
      <c r="K197" s="257"/>
      <c r="L197" s="257"/>
    </row>
    <row r="198" spans="2:12" x14ac:dyDescent="0.3">
      <c r="B198" s="257"/>
      <c r="C198" s="257"/>
      <c r="D198" s="257"/>
      <c r="E198" s="257"/>
      <c r="F198" s="257"/>
      <c r="G198" s="257"/>
      <c r="H198" s="257"/>
      <c r="I198" s="257"/>
      <c r="J198" s="257"/>
      <c r="K198" s="257"/>
      <c r="L198" s="257"/>
    </row>
    <row r="199" spans="2:12" x14ac:dyDescent="0.3">
      <c r="B199" s="257"/>
      <c r="C199" s="257"/>
      <c r="D199" s="257"/>
      <c r="E199" s="257"/>
      <c r="F199" s="257"/>
      <c r="G199" s="257"/>
      <c r="H199" s="257"/>
      <c r="I199" s="257"/>
      <c r="J199" s="257"/>
      <c r="K199" s="257"/>
      <c r="L199" s="25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6"/>
  <sheetViews>
    <sheetView zoomScaleNormal="100" workbookViewId="0">
      <selection activeCell="C32" sqref="C3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112</v>
      </c>
      <c r="B1" s="7"/>
      <c r="C1" s="7"/>
      <c r="D1" s="7"/>
      <c r="E1" s="8"/>
      <c r="F1" s="8"/>
      <c r="G1" s="9" t="s">
        <v>113</v>
      </c>
      <c r="H1" s="155">
        <f ca="1">TODAY()</f>
        <v>46223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114</v>
      </c>
      <c r="E2" s="14" t="s">
        <v>115</v>
      </c>
      <c r="F2" s="14" t="s">
        <v>116</v>
      </c>
      <c r="G2" s="15" t="s">
        <v>117</v>
      </c>
      <c r="H2" s="12" t="s">
        <v>118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9">
        <v>25</v>
      </c>
      <c r="B3" s="169" t="s">
        <v>28</v>
      </c>
      <c r="C3" s="170" t="s">
        <v>30</v>
      </c>
      <c r="D3" s="169">
        <v>5389</v>
      </c>
      <c r="E3" s="171">
        <v>6892</v>
      </c>
      <c r="F3" s="171">
        <v>100000</v>
      </c>
      <c r="G3" s="19">
        <f>INDEX(Tubex_Dashboard!$H$11:$H$56,MATCH(MRP!D3,Tubex_Dashboard!$F$11:$F$56,0))</f>
        <v>0</v>
      </c>
      <c r="H3" s="172">
        <f>F3-G3</f>
        <v>100000</v>
      </c>
      <c r="I3" s="172"/>
    </row>
    <row r="4" spans="1:19" ht="20.25" customHeight="1" x14ac:dyDescent="0.25">
      <c r="A4" s="169">
        <v>25</v>
      </c>
      <c r="B4" s="169" t="s">
        <v>28</v>
      </c>
      <c r="C4" s="170" t="s">
        <v>29</v>
      </c>
      <c r="D4" s="169">
        <v>3447</v>
      </c>
      <c r="E4" s="171">
        <v>6891</v>
      </c>
      <c r="F4" s="171">
        <v>110416</v>
      </c>
      <c r="G4" s="19">
        <f>INDEX(Tubex_Dashboard!$H$11:$H$56,MATCH(MRP!D4,Tubex_Dashboard!$F$11:$F$56,0))</f>
        <v>74928</v>
      </c>
      <c r="H4" s="172">
        <f>F4-G4</f>
        <v>35488</v>
      </c>
      <c r="I4" s="172"/>
    </row>
    <row r="5" spans="1:19" ht="20.25" customHeight="1" x14ac:dyDescent="0.25">
      <c r="A5" s="16">
        <v>30</v>
      </c>
      <c r="B5" s="16" t="s">
        <v>39</v>
      </c>
      <c r="C5" s="17" t="s">
        <v>40</v>
      </c>
      <c r="D5" s="16">
        <v>5814</v>
      </c>
      <c r="E5" s="18">
        <v>6887</v>
      </c>
      <c r="F5" s="18">
        <v>45000</v>
      </c>
      <c r="G5" s="19">
        <f>INDEX(Tubex_Dashboard!$H$11:$H$56,MATCH(MRP!D5,Tubex_Dashboard!$F$11:$F$56,0))</f>
        <v>0</v>
      </c>
      <c r="H5" s="20">
        <f>F5-G5</f>
        <v>45000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7">
        <v>30</v>
      </c>
      <c r="B6" s="177" t="s">
        <v>34</v>
      </c>
      <c r="C6" s="178" t="s">
        <v>35</v>
      </c>
      <c r="D6" s="177">
        <v>6206</v>
      </c>
      <c r="E6" s="179">
        <v>6894</v>
      </c>
      <c r="F6" s="179">
        <v>191750</v>
      </c>
      <c r="G6" s="180">
        <f>INDEX(Tubex_Dashboard!$H$11:$H$100,MATCH(MRP!D6,Tubex_Dashboard!$F$11:$F$100,0))</f>
        <v>113288</v>
      </c>
      <c r="H6" s="181">
        <f>F6-G6</f>
        <v>78462</v>
      </c>
      <c r="I6" s="181"/>
    </row>
    <row r="7" spans="1:19" ht="24" customHeight="1" x14ac:dyDescent="0.25">
      <c r="A7" s="12"/>
      <c r="B7" s="12"/>
      <c r="C7" s="13"/>
      <c r="D7" s="13"/>
      <c r="E7" s="14" t="s">
        <v>119</v>
      </c>
      <c r="F7" s="148">
        <f>SUM(F3:F6)</f>
        <v>447166</v>
      </c>
      <c r="G7" s="148">
        <f>SUM(G3:G6)</f>
        <v>188216</v>
      </c>
      <c r="H7" s="148">
        <f>SUMIF(H3:H6, "&gt;0")</f>
        <v>258950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120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121</v>
      </c>
      <c r="B9" s="12" t="s">
        <v>7</v>
      </c>
      <c r="C9" s="12" t="s">
        <v>122</v>
      </c>
      <c r="D9" s="12" t="s">
        <v>123</v>
      </c>
      <c r="E9" s="14" t="s">
        <v>116</v>
      </c>
      <c r="F9" s="14" t="s">
        <v>124</v>
      </c>
      <c r="G9" s="15" t="s">
        <v>125</v>
      </c>
      <c r="H9" s="13" t="s">
        <v>126</v>
      </c>
      <c r="I9" s="12" t="s">
        <v>127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128</v>
      </c>
      <c r="C10" s="21" t="s">
        <v>129</v>
      </c>
      <c r="D10" s="21" t="s">
        <v>130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128</v>
      </c>
      <c r="C11" s="21" t="s">
        <v>131</v>
      </c>
      <c r="D11" s="21" t="s">
        <v>130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128</v>
      </c>
      <c r="C12" s="21" t="s">
        <v>132</v>
      </c>
      <c r="D12" s="21" t="s">
        <v>130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128</v>
      </c>
      <c r="C13" s="21" t="s">
        <v>133</v>
      </c>
      <c r="D13" s="21" t="s">
        <v>130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128</v>
      </c>
      <c r="C14" s="21" t="s">
        <v>134</v>
      </c>
      <c r="D14" s="21" t="s">
        <v>130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128</v>
      </c>
      <c r="C15" s="21" t="s">
        <v>135</v>
      </c>
      <c r="D15" s="21" t="s">
        <v>130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128</v>
      </c>
      <c r="C16" s="21" t="s">
        <v>136</v>
      </c>
      <c r="D16" s="21" t="s">
        <v>130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128</v>
      </c>
      <c r="C17" s="21" t="s">
        <v>137</v>
      </c>
      <c r="D17" s="21" t="s">
        <v>130</v>
      </c>
      <c r="E17" s="27">
        <f>SUMPRODUCT((TableBOM[Item ID]=A17)*TableBOM[Per 1000 Units]*(1+TableBOM[Scrap %])*SUMIF($D$3:$D$6,TableBOM[Product ID],$H$3:$H$6)/1000)</f>
        <v>881.85074559999998</v>
      </c>
      <c r="F17" s="27">
        <f>IFERROR(INDEX(TableInventory[Store Balance],MATCH(A17,TableInventory[Item ID],0)),0)+IFERROR(INDEX(TableInventory[Work In Process],MATCH(A17,TableInventory[Item ID],0)),0)</f>
        <v>25</v>
      </c>
      <c r="G17" s="31">
        <f t="shared" si="0"/>
        <v>-856.85074559999998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128</v>
      </c>
      <c r="C18" s="21" t="s">
        <v>138</v>
      </c>
      <c r="D18" s="21" t="s">
        <v>130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128</v>
      </c>
      <c r="C19" s="21" t="s">
        <v>139</v>
      </c>
      <c r="D19" s="21" t="s">
        <v>130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128</v>
      </c>
      <c r="C20" s="21" t="s">
        <v>140</v>
      </c>
      <c r="D20" s="21" t="s">
        <v>130</v>
      </c>
      <c r="E20" s="27">
        <f>SUMPRODUCT((TableBOM[Item ID]=A20)*TableBOM[Per 1000 Units]*(1+TableBOM[Scrap %])*SUMIF($D$3:$D$6,TableBOM[Product ID],$H$3:$H$6)/1000)</f>
        <v>1086.4656000000002</v>
      </c>
      <c r="F20" s="32">
        <f>IFERROR(INDEX(TableInventory[Store Balance],MATCH(A20,TableInventory[Item ID],0)),0)+IFERROR(INDEX(TableInventory[Work In Process],MATCH(A20,TableInventory[Item ID],0)),0)</f>
        <v>0</v>
      </c>
      <c r="G20" s="31">
        <f t="shared" si="0"/>
        <v>-1086.4656000000002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128</v>
      </c>
      <c r="C21" s="21" t="s">
        <v>141</v>
      </c>
      <c r="D21" s="21" t="s">
        <v>130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128</v>
      </c>
      <c r="C22" s="21" t="s">
        <v>142</v>
      </c>
      <c r="D22" s="21" t="s">
        <v>130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128</v>
      </c>
      <c r="C23" s="21" t="s">
        <v>143</v>
      </c>
      <c r="D23" s="21" t="s">
        <v>130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144</v>
      </c>
    </row>
    <row r="24" spans="1:19" hidden="1" x14ac:dyDescent="0.25">
      <c r="A24" s="21">
        <v>184</v>
      </c>
      <c r="B24" s="21" t="s">
        <v>145</v>
      </c>
      <c r="C24" s="21" t="s">
        <v>146</v>
      </c>
      <c r="D24" s="21" t="s">
        <v>130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145</v>
      </c>
      <c r="C25" s="21" t="s">
        <v>147</v>
      </c>
      <c r="D25" s="21" t="s">
        <v>148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25</v>
      </c>
      <c r="G25" s="31">
        <f t="shared" si="0"/>
        <v>25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145</v>
      </c>
      <c r="C26" s="21" t="s">
        <v>149</v>
      </c>
      <c r="D26" s="21" t="s">
        <v>130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145</v>
      </c>
      <c r="C27" s="21" t="s">
        <v>150</v>
      </c>
      <c r="D27" s="21" t="s">
        <v>130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145</v>
      </c>
      <c r="C28" s="21" t="s">
        <v>151</v>
      </c>
      <c r="D28" s="21" t="s">
        <v>130</v>
      </c>
      <c r="E28" s="27">
        <f>SUMPRODUCT((TableBOM[Item ID]=A28)*TableBOM[Per 1000 Units]*(1+TableBOM[Scrap %])*SUMIF($D$3:$D$6,TableBOM[Product ID],$H$3:$H$6)/1000)</f>
        <v>85.521398160000004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14.478601839999996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OK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152</v>
      </c>
      <c r="C29" s="21" t="s">
        <v>153</v>
      </c>
      <c r="D29" s="21" t="s">
        <v>130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152</v>
      </c>
      <c r="C30" s="21" t="s">
        <v>154</v>
      </c>
      <c r="D30" s="21" t="s">
        <v>130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152</v>
      </c>
      <c r="C31" s="21" t="s">
        <v>155</v>
      </c>
      <c r="D31" s="21" t="s">
        <v>130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152</v>
      </c>
      <c r="C32" s="21" t="s">
        <v>156</v>
      </c>
      <c r="D32" s="21" t="s">
        <v>130</v>
      </c>
      <c r="E32" s="27">
        <f>SUMPRODUCT((TableBOM[Item ID]=A32)*TableBOM[Per 1000 Units]*(1+TableBOM[Scrap %])*SUMIF($D$3:$D$6,TableBOM[Product ID],$H$3:$H$6)/1000)</f>
        <v>182.04474199999999</v>
      </c>
      <c r="F32" s="27">
        <f>IFERROR(INDEX(TableInventory[Store Balance],MATCH(A32,TableInventory[Item ID],0)),0)+IFERROR(INDEX(TableInventory[Work In Process],MATCH(A32,TableInventory[Item ID],0)),0)</f>
        <v>90</v>
      </c>
      <c r="G32" s="31">
        <f t="shared" si="0"/>
        <v>-92.044741999999985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152</v>
      </c>
      <c r="C33" s="21" t="s">
        <v>157</v>
      </c>
      <c r="D33" s="21" t="s">
        <v>130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152</v>
      </c>
      <c r="C34" s="21" t="s">
        <v>158</v>
      </c>
      <c r="D34" s="21" t="s">
        <v>130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152</v>
      </c>
      <c r="C35" s="21" t="s">
        <v>159</v>
      </c>
      <c r="D35" s="21" t="s">
        <v>130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152</v>
      </c>
      <c r="C36" s="21" t="s">
        <v>160</v>
      </c>
      <c r="D36" s="21" t="s">
        <v>130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152</v>
      </c>
      <c r="C37" s="21" t="s">
        <v>161</v>
      </c>
      <c r="D37" s="21" t="s">
        <v>148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152</v>
      </c>
      <c r="C38" s="21" t="s">
        <v>162</v>
      </c>
      <c r="D38" s="21" t="s">
        <v>130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152</v>
      </c>
      <c r="C39" s="21" t="s">
        <v>163</v>
      </c>
      <c r="D39" s="21" t="s">
        <v>130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164</v>
      </c>
      <c r="C40" s="21" t="s">
        <v>165</v>
      </c>
      <c r="D40" s="21" t="s">
        <v>130</v>
      </c>
      <c r="E40" s="27">
        <f>SUMPRODUCT((TableBOM[Item ID]=A40)*TableBOM[Per 1000 Units]*(1+TableBOM[Scrap %])*SUMIF($D$3:$D$6,TableBOM[Product ID],$H$3:$H$6)/1000)</f>
        <v>30.106296000000007</v>
      </c>
      <c r="F40" s="27">
        <f>IFERROR(INDEX(TableInventory[Store Balance],MATCH(A40,TableInventory[Item ID],0)),0)+IFERROR(INDEX(TableInventory[Work In Process],MATCH(A40,TableInventory[Item ID],0)),0)</f>
        <v>75</v>
      </c>
      <c r="G40" s="31">
        <f t="shared" si="0"/>
        <v>44.893703999999993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OK</v>
      </c>
    </row>
    <row r="41" spans="1:19" ht="24" customHeight="1" x14ac:dyDescent="0.25">
      <c r="A41" s="21">
        <v>194</v>
      </c>
      <c r="B41" s="21" t="s">
        <v>166</v>
      </c>
      <c r="C41" s="21" t="s">
        <v>167</v>
      </c>
      <c r="D41" s="21" t="s">
        <v>130</v>
      </c>
      <c r="E41" s="27">
        <f>SUMPRODUCT((TableBOM[Item ID]=A41)*TableBOM[Per 1000 Units]*(1+TableBOM[Scrap %])*SUMIF($D$3:$D$6,TableBOM[Product ID],$H$3:$H$6)/1000)</f>
        <v>1.6346605440000002</v>
      </c>
      <c r="F41" s="27">
        <f>IFERROR(INDEX(TableInventory[Store Balance],MATCH(A41,TableInventory[Item ID],0)),0)+IFERROR(INDEX(TableInventory[Work In Process],MATCH(A41,TableInventory[Item ID],0)),0)</f>
        <v>20</v>
      </c>
      <c r="G41" s="31">
        <f t="shared" si="0"/>
        <v>18.365339456000001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S-45, S 43 25MM, HELLO HAIR COLOR</v>
      </c>
      <c r="I41" s="30" t="str">
        <f t="shared" si="2"/>
        <v>OK</v>
      </c>
    </row>
    <row r="42" spans="1:19" hidden="1" x14ac:dyDescent="0.25">
      <c r="A42" s="21">
        <v>4165</v>
      </c>
      <c r="B42" s="21" t="s">
        <v>166</v>
      </c>
      <c r="C42" s="21" t="s">
        <v>168</v>
      </c>
      <c r="D42" s="21" t="s">
        <v>130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31">
        <f t="shared" ref="G42:G73" si="3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2"/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69</v>
      </c>
      <c r="B43" s="21" t="s">
        <v>169</v>
      </c>
      <c r="C43" s="21" t="s">
        <v>170</v>
      </c>
      <c r="D43" s="21" t="s">
        <v>171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3"/>
        <v>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">
        <v>172</v>
      </c>
    </row>
    <row r="44" spans="1:19" hidden="1" x14ac:dyDescent="0.25">
      <c r="A44" s="21">
        <v>99</v>
      </c>
      <c r="B44" s="21" t="s">
        <v>169</v>
      </c>
      <c r="C44" s="21" t="s">
        <v>173</v>
      </c>
      <c r="D44" s="21" t="s">
        <v>171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10000</v>
      </c>
      <c r="G44" s="31">
        <f t="shared" si="3"/>
        <v>10000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ref="I44:I65" si="4">IF(E44=0,"Not needed",IF(G44&lt;0,"SHORTAGE",IF(G44&lt;F44*0.1,"LOW","OK")))</f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72</v>
      </c>
      <c r="B45" s="21" t="s">
        <v>169</v>
      </c>
      <c r="C45" s="21" t="s">
        <v>174</v>
      </c>
      <c r="D45" s="21" t="s">
        <v>171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23741</v>
      </c>
      <c r="G45" s="31">
        <f t="shared" si="3"/>
        <v>23741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  <c r="J45" s="11"/>
      <c r="K45" s="11"/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21">
        <v>79</v>
      </c>
      <c r="B46" s="21" t="s">
        <v>169</v>
      </c>
      <c r="C46" s="21" t="s">
        <v>175</v>
      </c>
      <c r="D46" s="21" t="s">
        <v>171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31">
        <f t="shared" si="3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80</v>
      </c>
      <c r="B47" s="21" t="s">
        <v>169</v>
      </c>
      <c r="C47" s="21" t="s">
        <v>176</v>
      </c>
      <c r="D47" s="21" t="s">
        <v>171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3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81</v>
      </c>
      <c r="B48" s="21" t="s">
        <v>169</v>
      </c>
      <c r="C48" s="21" t="s">
        <v>177</v>
      </c>
      <c r="D48" s="21" t="s">
        <v>171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31">
        <f t="shared" si="3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1800</v>
      </c>
      <c r="B49" s="21" t="s">
        <v>169</v>
      </c>
      <c r="C49" s="21" t="s">
        <v>178</v>
      </c>
      <c r="D49" s="21" t="s">
        <v>171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3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3211</v>
      </c>
      <c r="B50" s="21" t="s">
        <v>169</v>
      </c>
      <c r="C50" s="21" t="s">
        <v>179</v>
      </c>
      <c r="D50" s="21" t="s">
        <v>171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4000</v>
      </c>
      <c r="G50" s="158">
        <f t="shared" si="3"/>
        <v>4000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4015</v>
      </c>
      <c r="B51" s="21" t="s">
        <v>169</v>
      </c>
      <c r="C51" s="21" t="s">
        <v>180</v>
      </c>
      <c r="D51" s="21" t="s">
        <v>171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31">
        <f t="shared" si="3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4044</v>
      </c>
      <c r="B52" s="21" t="s">
        <v>169</v>
      </c>
      <c r="C52" s="21" t="s">
        <v>181</v>
      </c>
      <c r="D52" s="21" t="s">
        <v>171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31">
        <f t="shared" si="3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4088</v>
      </c>
      <c r="B53" s="21" t="s">
        <v>169</v>
      </c>
      <c r="C53" s="21" t="s">
        <v>182</v>
      </c>
      <c r="D53" s="21" t="s">
        <v>171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31">
        <f t="shared" si="3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4143</v>
      </c>
      <c r="B54" s="21" t="s">
        <v>169</v>
      </c>
      <c r="C54" s="21" t="s">
        <v>183</v>
      </c>
      <c r="D54" s="21" t="s">
        <v>171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31">
        <f t="shared" si="3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hidden="1" x14ac:dyDescent="0.25">
      <c r="A55" s="21">
        <v>6971</v>
      </c>
      <c r="B55" s="21" t="s">
        <v>169</v>
      </c>
      <c r="C55" s="21" t="s">
        <v>184</v>
      </c>
      <c r="D55" s="21" t="s">
        <v>171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31">
        <f t="shared" si="3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4"/>
        <v>Not needed</v>
      </c>
    </row>
    <row r="56" spans="1:9" hidden="1" x14ac:dyDescent="0.25">
      <c r="A56" s="21">
        <v>7370</v>
      </c>
      <c r="B56" s="21" t="s">
        <v>169</v>
      </c>
      <c r="C56" s="21" t="s">
        <v>185</v>
      </c>
      <c r="D56" s="21" t="s">
        <v>171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47000</v>
      </c>
      <c r="G56" s="31">
        <f t="shared" si="3"/>
        <v>47000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x14ac:dyDescent="0.25">
      <c r="A57" s="21">
        <v>68</v>
      </c>
      <c r="B57" s="21" t="s">
        <v>169</v>
      </c>
      <c r="C57" s="21" t="s">
        <v>186</v>
      </c>
      <c r="D57" s="21" t="s">
        <v>171</v>
      </c>
      <c r="E57" s="27">
        <f>SUMPRODUCT((TableBOM[Item ID]=A57)*TableBOM[Per 1000 Units]*(1+TableBOM[Scrap %])*SUMIF($D$3:$D$6,TableBOM[Product ID],$H$3:$H$6)/1000)</f>
        <v>218229</v>
      </c>
      <c r="F57" s="27">
        <f>IFERROR(INDEX(TableInventory[Store Balance],MATCH(A57,TableInventory[Item ID],0)),0)+IFERROR(INDEX(TableInventory[Work In Process],MATCH(A57,TableInventory[Item ID],0)),0)</f>
        <v>130000</v>
      </c>
      <c r="G57" s="31">
        <f t="shared" si="3"/>
        <v>-88229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S-45, S 43 25MM, HELLO HAIR COLOR</v>
      </c>
      <c r="I57" s="30" t="str">
        <f t="shared" si="4"/>
        <v>SHORTAGE</v>
      </c>
    </row>
    <row r="58" spans="1:9" hidden="1" x14ac:dyDescent="0.25">
      <c r="A58" s="21">
        <v>102</v>
      </c>
      <c r="B58" s="21" t="s">
        <v>169</v>
      </c>
      <c r="C58" s="21" t="s">
        <v>187</v>
      </c>
      <c r="D58" s="21" t="s">
        <v>171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30000</v>
      </c>
      <c r="G58" s="31">
        <f t="shared" si="3"/>
        <v>30000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1073</v>
      </c>
      <c r="B59" s="21" t="s">
        <v>169</v>
      </c>
      <c r="C59" s="21" t="s">
        <v>188</v>
      </c>
      <c r="D59" s="21" t="s">
        <v>171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95000</v>
      </c>
      <c r="G59" s="31">
        <f t="shared" si="3"/>
        <v>95000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1285</v>
      </c>
      <c r="B60" s="21" t="s">
        <v>169</v>
      </c>
      <c r="C60" s="21" t="s">
        <v>189</v>
      </c>
      <c r="D60" s="21" t="s">
        <v>171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38000</v>
      </c>
      <c r="G60" s="31">
        <f t="shared" si="3"/>
        <v>38000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3522</v>
      </c>
      <c r="B61" s="21" t="s">
        <v>169</v>
      </c>
      <c r="C61" s="21" t="s">
        <v>190</v>
      </c>
      <c r="D61" s="21" t="s">
        <v>171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75000</v>
      </c>
      <c r="G61" s="31">
        <f t="shared" si="3"/>
        <v>75000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 t="shared" si="4"/>
        <v>Not needed</v>
      </c>
    </row>
    <row r="62" spans="1:9" hidden="1" x14ac:dyDescent="0.25">
      <c r="A62" s="21">
        <v>3866</v>
      </c>
      <c r="B62" s="21" t="s">
        <v>169</v>
      </c>
      <c r="C62" s="21" t="s">
        <v>191</v>
      </c>
      <c r="D62" s="21" t="s">
        <v>171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x14ac:dyDescent="0.25">
      <c r="A63" s="21">
        <v>578</v>
      </c>
      <c r="B63" s="21" t="s">
        <v>169</v>
      </c>
      <c r="C63" s="21" t="s">
        <v>192</v>
      </c>
      <c r="D63" s="21" t="s">
        <v>171</v>
      </c>
      <c r="E63" s="27">
        <f>SUMPRODUCT((TableBOM[Item ID]=A63)*TableBOM[Per 1000 Units]*(1+TableBOM[Scrap %])*SUMIF($D$3:$D$6,TableBOM[Product ID],$H$3:$H$6)/1000)</f>
        <v>45900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-45900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</v>
      </c>
      <c r="I63" s="30" t="str">
        <f t="shared" si="4"/>
        <v>SHORTAGE</v>
      </c>
    </row>
    <row r="64" spans="1:9" hidden="1" x14ac:dyDescent="0.25">
      <c r="A64" s="21">
        <v>9902</v>
      </c>
      <c r="B64" s="21" t="s">
        <v>169</v>
      </c>
      <c r="C64" s="21" t="s">
        <v>193</v>
      </c>
      <c r="D64" s="21" t="s">
        <v>171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tr">
        <f t="shared" si="4"/>
        <v>Not needed</v>
      </c>
    </row>
    <row r="65" spans="1:9" hidden="1" x14ac:dyDescent="0.25">
      <c r="A65" s="21">
        <v>9903</v>
      </c>
      <c r="B65" s="21" t="s">
        <v>194</v>
      </c>
      <c r="C65" s="21" t="s">
        <v>195</v>
      </c>
      <c r="D65" s="21" t="s">
        <v>171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4"/>
        <v>Not needed</v>
      </c>
    </row>
    <row r="66" spans="1:9" hidden="1" x14ac:dyDescent="0.25">
      <c r="A66" s="21">
        <v>36</v>
      </c>
      <c r="B66" s="21" t="s">
        <v>194</v>
      </c>
      <c r="C66" s="21" t="s">
        <v>196</v>
      </c>
      <c r="D66" s="21" t="s">
        <v>171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">
        <v>172</v>
      </c>
    </row>
    <row r="67" spans="1:9" hidden="1" x14ac:dyDescent="0.25">
      <c r="A67" s="21">
        <v>200</v>
      </c>
      <c r="B67" s="21" t="s">
        <v>194</v>
      </c>
      <c r="C67" s="21" t="s">
        <v>197</v>
      </c>
      <c r="D67" s="21" t="s">
        <v>171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3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">
        <v>172</v>
      </c>
    </row>
    <row r="68" spans="1:9" hidden="1" x14ac:dyDescent="0.25">
      <c r="A68" s="21">
        <v>39</v>
      </c>
      <c r="B68" s="21" t="s">
        <v>194</v>
      </c>
      <c r="C68" s="21" t="s">
        <v>198</v>
      </c>
      <c r="D68" s="21" t="s">
        <v>171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3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1" si="5">IF(E68=0,"Not needed",IF(G68&lt;0,"SHORTAGE",IF(G68&lt;F68*0.1,"LOW","OK")))</f>
        <v>Not needed</v>
      </c>
    </row>
    <row r="69" spans="1:9" hidden="1" x14ac:dyDescent="0.25">
      <c r="A69" s="21">
        <v>3619</v>
      </c>
      <c r="B69" s="21" t="s">
        <v>194</v>
      </c>
      <c r="C69" s="21" t="s">
        <v>199</v>
      </c>
      <c r="D69" s="21" t="s">
        <v>171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280</v>
      </c>
      <c r="G69" s="31">
        <f t="shared" si="3"/>
        <v>280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9" ht="24" customHeight="1" x14ac:dyDescent="0.25">
      <c r="A70" s="21">
        <v>3598</v>
      </c>
      <c r="B70" s="21" t="s">
        <v>194</v>
      </c>
      <c r="C70" s="21" t="s">
        <v>200</v>
      </c>
      <c r="D70" s="21" t="s">
        <v>171</v>
      </c>
      <c r="E70" s="27">
        <f>SUMPRODUCT((TableBOM[Item ID]=A70)*TableBOM[Per 1000 Units]*(1+TableBOM[Scrap %])*SUMIF($D$3:$D$6,TableBOM[Product ID],$H$3:$H$6)/1000)</f>
        <v>1014.16504992</v>
      </c>
      <c r="F70" s="27">
        <f>IFERROR(INDEX(TableInventory[Store Balance],MATCH(A70,TableInventory[Item ID],0)),0)+IFERROR(INDEX(TableInventory[Work In Process],MATCH(A70,TableInventory[Item ID],0)),0)</f>
        <v>783</v>
      </c>
      <c r="G70" s="31">
        <f t="shared" si="3"/>
        <v>-231.16504992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S-45, S 43 25MM, VINCE NURTURAL, HELLO HAIR COLOR</v>
      </c>
      <c r="I70" s="30" t="str">
        <f t="shared" si="5"/>
        <v>SHORTAGE</v>
      </c>
    </row>
    <row r="71" spans="1:9" hidden="1" x14ac:dyDescent="0.25">
      <c r="A71" s="21">
        <v>45</v>
      </c>
      <c r="B71" s="21" t="s">
        <v>194</v>
      </c>
      <c r="C71" s="21" t="s">
        <v>201</v>
      </c>
      <c r="D71" s="21" t="s">
        <v>171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460</v>
      </c>
      <c r="G71" s="31">
        <f t="shared" si="3"/>
        <v>460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9" hidden="1" x14ac:dyDescent="0.25">
      <c r="A72" s="21">
        <v>3988</v>
      </c>
      <c r="B72" s="21" t="s">
        <v>194</v>
      </c>
      <c r="C72" s="21" t="s">
        <v>202</v>
      </c>
      <c r="D72" s="21" t="s">
        <v>171</v>
      </c>
      <c r="E72" s="27">
        <f>SUMPRODUCT((TableBOM[Item ID]=A72)*TableBOM[Per 1000 Units]*(1+TableBOM[Scrap %])*SUMIF($D$3:$D$6,TableBOM[Product ID],$H$3:$H$6)/1000)</f>
        <v>0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3"/>
        <v>349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 t="str">
        <f t="shared" si="5"/>
        <v>Not needed</v>
      </c>
    </row>
    <row r="73" spans="1:9" hidden="1" x14ac:dyDescent="0.25">
      <c r="A73" s="21">
        <v>5977</v>
      </c>
      <c r="B73" s="21" t="s">
        <v>194</v>
      </c>
      <c r="C73" s="21" t="s">
        <v>203</v>
      </c>
      <c r="D73" s="21" t="s">
        <v>171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61</v>
      </c>
      <c r="G73" s="31">
        <f t="shared" si="3"/>
        <v>61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</row>
    <row r="74" spans="1:9" ht="36" customHeight="1" x14ac:dyDescent="0.25">
      <c r="A74" s="21">
        <v>3635</v>
      </c>
      <c r="B74" s="21" t="s">
        <v>204</v>
      </c>
      <c r="C74" s="21" t="s">
        <v>205</v>
      </c>
      <c r="D74" s="21" t="s">
        <v>171</v>
      </c>
      <c r="E74" s="27">
        <f>SUMPRODUCT((TableBOM[Item ID]=A74)*TableBOM[Per 1000 Units]*(1+TableBOM[Scrap %])*SUMIF($D$3:$D$6,TableBOM[Product ID],$H$3:$H$6)/1000)</f>
        <v>213.81748080000003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275.1825192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9" hidden="1" x14ac:dyDescent="0.25">
      <c r="A75" s="21">
        <v>190</v>
      </c>
      <c r="B75" s="21" t="s">
        <v>206</v>
      </c>
      <c r="C75" s="21" t="s">
        <v>207</v>
      </c>
      <c r="D75" s="21" t="s">
        <v>148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125</v>
      </c>
      <c r="G75" s="31">
        <f t="shared" si="6"/>
        <v>125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9" ht="15" hidden="1" customHeight="1" x14ac:dyDescent="0.25">
      <c r="A76" s="21">
        <v>191</v>
      </c>
      <c r="B76" s="21" t="s">
        <v>206</v>
      </c>
      <c r="C76" s="21" t="s">
        <v>208</v>
      </c>
      <c r="D76" s="21" t="s">
        <v>148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25</v>
      </c>
      <c r="G76" s="31">
        <f t="shared" si="6"/>
        <v>25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9" ht="15" hidden="1" customHeight="1" x14ac:dyDescent="0.25">
      <c r="A77" s="21">
        <v>2680</v>
      </c>
      <c r="B77" s="21" t="s">
        <v>209</v>
      </c>
      <c r="C77" s="21" t="s">
        <v>210</v>
      </c>
      <c r="D77" s="21" t="s">
        <v>130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625</v>
      </c>
      <c r="G77" s="31">
        <f t="shared" si="6"/>
        <v>625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9" ht="15" hidden="1" customHeight="1" x14ac:dyDescent="0.25">
      <c r="A78" s="21">
        <v>3492</v>
      </c>
      <c r="B78" s="21" t="s">
        <v>211</v>
      </c>
      <c r="C78" s="21" t="s">
        <v>212</v>
      </c>
      <c r="D78" s="21" t="s">
        <v>130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9" ht="15" hidden="1" customHeight="1" x14ac:dyDescent="0.25">
      <c r="A79" s="21">
        <v>4002</v>
      </c>
      <c r="B79" s="21" t="s">
        <v>211</v>
      </c>
      <c r="C79" s="21" t="s">
        <v>213</v>
      </c>
      <c r="D79" s="21" t="s">
        <v>130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75</v>
      </c>
      <c r="G79" s="31">
        <f t="shared" si="6"/>
        <v>75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9" ht="15" hidden="1" customHeight="1" x14ac:dyDescent="0.25">
      <c r="A80" s="21">
        <v>4070</v>
      </c>
      <c r="B80" s="21" t="s">
        <v>211</v>
      </c>
      <c r="C80" s="21" t="s">
        <v>214</v>
      </c>
      <c r="D80" s="21" t="s">
        <v>130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211</v>
      </c>
      <c r="C81" s="21" t="s">
        <v>215</v>
      </c>
      <c r="D81" s="21" t="s">
        <v>130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211</v>
      </c>
      <c r="C82" s="21" t="s">
        <v>216</v>
      </c>
      <c r="D82" s="21" t="s">
        <v>130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211</v>
      </c>
      <c r="C83" s="21" t="s">
        <v>217</v>
      </c>
      <c r="D83" s="21" t="s">
        <v>130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0</v>
      </c>
      <c r="G83" s="31">
        <f t="shared" si="6"/>
        <v>0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211</v>
      </c>
      <c r="C84" s="21" t="s">
        <v>218</v>
      </c>
      <c r="D84" s="21" t="s">
        <v>130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211</v>
      </c>
      <c r="C85" s="21" t="s">
        <v>219</v>
      </c>
      <c r="D85" s="21" t="s">
        <v>130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211</v>
      </c>
      <c r="C86" s="21" t="s">
        <v>220</v>
      </c>
      <c r="D86" s="21" t="s">
        <v>130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221</v>
      </c>
      <c r="C87" s="21" t="s">
        <v>222</v>
      </c>
      <c r="D87" s="21" t="s">
        <v>130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221</v>
      </c>
      <c r="C88" s="21" t="s">
        <v>223</v>
      </c>
      <c r="D88" s="21" t="s">
        <v>130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221</v>
      </c>
      <c r="C89" s="21" t="s">
        <v>224</v>
      </c>
      <c r="D89" s="21" t="s">
        <v>130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225</v>
      </c>
      <c r="C90" s="21" t="s">
        <v>226</v>
      </c>
      <c r="D90" s="21" t="s">
        <v>171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227</v>
      </c>
      <c r="C91" s="21" t="s">
        <v>228</v>
      </c>
      <c r="D91" s="21" t="s">
        <v>229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5" t="s">
        <v>230</v>
      </c>
      <c r="B94" s="175"/>
      <c r="C94" s="175"/>
      <c r="D94" s="175"/>
      <c r="E94" s="175"/>
      <c r="F94" s="175"/>
      <c r="G94" s="175"/>
      <c r="H94" s="175"/>
      <c r="I94" s="175"/>
    </row>
    <row r="95" spans="1:19" ht="15" customHeight="1" x14ac:dyDescent="0.25">
      <c r="A95" s="12" t="s">
        <v>18</v>
      </c>
      <c r="B95" s="12" t="s">
        <v>16</v>
      </c>
      <c r="C95" s="13" t="s">
        <v>17</v>
      </c>
      <c r="D95" s="13" t="s">
        <v>114</v>
      </c>
      <c r="E95" s="14" t="s">
        <v>115</v>
      </c>
      <c r="F95" s="14" t="s">
        <v>116</v>
      </c>
      <c r="G95" s="15" t="s">
        <v>117</v>
      </c>
      <c r="H95" s="12" t="s">
        <v>118</v>
      </c>
      <c r="I95" s="13" t="s">
        <v>231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44</v>
      </c>
      <c r="B96" s="35" t="s">
        <v>28</v>
      </c>
      <c r="C96" s="36" t="s">
        <v>43</v>
      </c>
      <c r="D96" s="35">
        <v>8005</v>
      </c>
      <c r="E96" s="37" t="s">
        <v>232</v>
      </c>
      <c r="F96" s="37">
        <f>INDEX(Tubex_Dashboard!$G$11:$G$61,MATCH(MRP!D96,Tubex_Dashboard!$F$11:$F$61,0))</f>
        <v>19840</v>
      </c>
      <c r="G96" s="38">
        <f>INDEX(Tubex_Dashboard!$H$11:$H$100,MATCH(MRP!D96,Tubex_Dashboard!$F$11:$F$100,0))</f>
        <v>0</v>
      </c>
      <c r="H96" s="39">
        <f t="shared" ref="H96:H101" si="7">F96-G96</f>
        <v>19840</v>
      </c>
      <c r="I96" s="29"/>
    </row>
    <row r="97" spans="1:18" ht="18.75" customHeight="1" x14ac:dyDescent="0.25">
      <c r="A97" s="35" t="s">
        <v>52</v>
      </c>
      <c r="B97" s="35" t="s">
        <v>50</v>
      </c>
      <c r="C97" s="36" t="s">
        <v>51</v>
      </c>
      <c r="D97" s="35">
        <v>8001</v>
      </c>
      <c r="E97" s="37">
        <v>319</v>
      </c>
      <c r="F97" s="37">
        <f>INDEX(Tubex_Dashboard!$G$11:$G$61,MATCH(MRP!D97,Tubex_Dashboard!$F$11:$F$61,0))</f>
        <v>153167</v>
      </c>
      <c r="G97" s="38">
        <f>INDEX(Tubex_Dashboard!$H$11:$H$100,MATCH(MRP!D97,Tubex_Dashboard!$F$11:$F$100,0))</f>
        <v>0</v>
      </c>
      <c r="H97" s="39">
        <f t="shared" si="7"/>
        <v>153167</v>
      </c>
      <c r="I97" s="29"/>
    </row>
    <row r="98" spans="1:18" ht="18.75" customHeight="1" x14ac:dyDescent="0.25">
      <c r="A98" s="35" t="s">
        <v>54</v>
      </c>
      <c r="B98" s="35" t="s">
        <v>28</v>
      </c>
      <c r="C98" s="36" t="s">
        <v>53</v>
      </c>
      <c r="D98" s="35">
        <v>8007</v>
      </c>
      <c r="E98" s="37" t="s">
        <v>233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0</v>
      </c>
      <c r="H98" s="39">
        <f t="shared" si="7"/>
        <v>10000</v>
      </c>
      <c r="I98" s="29"/>
    </row>
    <row r="99" spans="1:18" ht="18.75" customHeight="1" x14ac:dyDescent="0.25">
      <c r="A99" s="35" t="s">
        <v>54</v>
      </c>
      <c r="B99" s="35" t="s">
        <v>28</v>
      </c>
      <c r="C99" s="36" t="s">
        <v>56</v>
      </c>
      <c r="D99" s="35">
        <v>8014</v>
      </c>
      <c r="E99" s="37" t="s">
        <v>234</v>
      </c>
      <c r="F99" s="37">
        <f>INDEX(Tubex_Dashboard!$G$11:$G$61,MATCH(MRP!D99,Tubex_Dashboard!$F$11:$F$61,0))</f>
        <v>10000</v>
      </c>
      <c r="G99" s="38">
        <f>INDEX(Tubex_Dashboard!$H$11:$H$100,MATCH(MRP!D99,Tubex_Dashboard!$F$11:$F$100,0))</f>
        <v>10000</v>
      </c>
      <c r="H99" s="39">
        <f t="shared" si="7"/>
        <v>0</v>
      </c>
      <c r="I99" s="29"/>
    </row>
    <row r="100" spans="1:18" s="188" customFormat="1" ht="18.75" customHeight="1" x14ac:dyDescent="0.25">
      <c r="A100" s="182" t="s">
        <v>54</v>
      </c>
      <c r="B100" s="182" t="s">
        <v>28</v>
      </c>
      <c r="C100" s="183" t="s">
        <v>55</v>
      </c>
      <c r="D100" s="182">
        <v>8006</v>
      </c>
      <c r="E100" s="184"/>
      <c r="F100" s="37">
        <f>INDEX(Tubex_Dashboard!$G$11:$G$61,MATCH(MRP!D100,Tubex_Dashboard!$F$11:$F$61,0))</f>
        <v>42400</v>
      </c>
      <c r="G100" s="185">
        <f>INDEX(Tubex_Dashboard!$H$11:$H$100,MATCH(MRP!D100,Tubex_Dashboard!$F$11:$F$100,0))</f>
        <v>27240</v>
      </c>
      <c r="H100" s="186">
        <f t="shared" si="7"/>
        <v>15160</v>
      </c>
      <c r="I100" s="187"/>
    </row>
    <row r="101" spans="1:18" ht="18.75" customHeight="1" x14ac:dyDescent="0.25">
      <c r="A101" s="189" t="s">
        <v>46</v>
      </c>
      <c r="B101" s="189" t="s">
        <v>39</v>
      </c>
      <c r="C101" s="190" t="s">
        <v>45</v>
      </c>
      <c r="D101" s="189">
        <v>8015</v>
      </c>
      <c r="E101" s="191">
        <v>344</v>
      </c>
      <c r="F101" s="37">
        <f>INDEX(Tubex_Dashboard!$G$11:$G$61,MATCH(MRP!D101,Tubex_Dashboard!$F$11:$F$61,0))</f>
        <v>15000</v>
      </c>
      <c r="G101" s="192">
        <f>INDEX(Tubex_Dashboard!$H$11:$H$100,MATCH(MRP!D101,Tubex_Dashboard!$F$11:$F$100,0))</f>
        <v>0</v>
      </c>
      <c r="H101" s="193">
        <f t="shared" si="7"/>
        <v>15000</v>
      </c>
      <c r="I101" s="194"/>
    </row>
    <row r="102" spans="1:18" x14ac:dyDescent="0.25">
      <c r="A102" s="12"/>
      <c r="B102" s="12"/>
      <c r="C102" s="13"/>
      <c r="D102" s="13"/>
      <c r="E102" s="14" t="s">
        <v>119</v>
      </c>
      <c r="F102" s="148">
        <f>SUM(F96:F101)</f>
        <v>250407</v>
      </c>
      <c r="G102" s="148">
        <f>SUM(G96:G101)</f>
        <v>37240</v>
      </c>
      <c r="H102" s="148">
        <f>SUM(H96:H101)</f>
        <v>213167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76" t="s">
        <v>235</v>
      </c>
      <c r="B103" s="176"/>
      <c r="C103" s="176"/>
      <c r="D103" s="176"/>
      <c r="E103" s="176"/>
      <c r="F103" s="176"/>
      <c r="G103" s="176"/>
      <c r="H103" s="176"/>
      <c r="I103" s="176"/>
    </row>
    <row r="104" spans="1:18" ht="24" customHeight="1" x14ac:dyDescent="0.25">
      <c r="A104" s="40" t="s">
        <v>121</v>
      </c>
      <c r="B104" s="40" t="s">
        <v>7</v>
      </c>
      <c r="C104" s="41" t="s">
        <v>122</v>
      </c>
      <c r="D104" s="40" t="s">
        <v>123</v>
      </c>
      <c r="E104" s="42" t="s">
        <v>116</v>
      </c>
      <c r="F104" s="15" t="s">
        <v>124</v>
      </c>
      <c r="G104" s="15" t="s">
        <v>125</v>
      </c>
      <c r="H104" s="42" t="s">
        <v>126</v>
      </c>
      <c r="I104" s="43" t="s">
        <v>127</v>
      </c>
    </row>
    <row r="105" spans="1:18" ht="19.5" customHeight="1" x14ac:dyDescent="0.25">
      <c r="A105" s="21">
        <v>2680</v>
      </c>
      <c r="B105" s="21" t="s">
        <v>209</v>
      </c>
      <c r="C105" s="44" t="s">
        <v>210</v>
      </c>
      <c r="D105" s="21" t="s">
        <v>130</v>
      </c>
      <c r="E105" s="32">
        <f>SUMPRODUCT((TableBOM[Item ID]=A105)*TableBOM[Per 1000 Units]*(1+TableBOM[Scrap %])*SUMIF($D$96:$D$101,TableBOM[Product ID],$H$96:$H$101)/1000)</f>
        <v>5247.4362000000001</v>
      </c>
      <c r="F105" s="32">
        <f>IFERROR(INDEX(TableInventory[Store Balance],MATCH(A105,TableInventory[Item ID],0)),0)+IFERROR(INDEX(TableInventory[Work In Process],MATCH(A105,TableInventory[Item ID],0)),0)</f>
        <v>625</v>
      </c>
      <c r="G105" s="22">
        <f t="shared" ref="G105:G111" si="8">F105-E105</f>
        <v>-4622.4362000000001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TRANSPARENT BOTTLE 150ML, PET BOTTLE LARGE 200ML WHITE, PET BOTTLE LARGE (200 ML) YELLOW, PET BOTTLE 130ML WHITE</v>
      </c>
      <c r="I105" s="46" t="str">
        <f t="shared" ref="I105:I111" si="9">IF(E105=0,"Not needed",IF(G105&lt;0,"SHORTAGE",IF(G105&lt;F105*0.1,"LOW","OK")))</f>
        <v>SHORTAGE</v>
      </c>
    </row>
    <row r="106" spans="1:18" ht="19.5" customHeight="1" x14ac:dyDescent="0.25">
      <c r="A106" s="21">
        <v>4070</v>
      </c>
      <c r="B106" s="21" t="s">
        <v>211</v>
      </c>
      <c r="C106" s="44" t="s">
        <v>214</v>
      </c>
      <c r="D106" s="21" t="s">
        <v>130</v>
      </c>
      <c r="E106" s="32">
        <f>SUMPRODUCT((TableBOM[Item ID]=A106)*TableBOM[Per 1000 Units]*(1+TableBOM[Scrap %])*SUMIF($D$96:$D$101,TableBOM[Product ID],$H$96:$H$101)/1000)</f>
        <v>42.326899999999995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-42.326899999999995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8" ht="19.5" customHeight="1" x14ac:dyDescent="0.25">
      <c r="A107" s="21">
        <v>5816</v>
      </c>
      <c r="B107" s="21" t="s">
        <v>211</v>
      </c>
      <c r="C107" s="44" t="s">
        <v>217</v>
      </c>
      <c r="D107" s="21" t="s">
        <v>130</v>
      </c>
      <c r="E107" s="32">
        <f>SUMPRODUCT((TableBOM[Item ID]=A107)*TableBOM[Per 1000 Units]*(1+TableBOM[Scrap %])*SUMIF($D$96:$D$101,TableBOM[Product ID],$H$96:$H$101)/1000)</f>
        <v>29.9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8"/>
        <v>-29.9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LARGE 200ML WHITE, PET BOTTLE 130ML WHITE</v>
      </c>
      <c r="I107" s="46" t="str">
        <f t="shared" si="9"/>
        <v>SHORTAGE</v>
      </c>
    </row>
    <row r="108" spans="1:18" ht="19.5" customHeight="1" x14ac:dyDescent="0.25">
      <c r="A108" s="21">
        <v>5977</v>
      </c>
      <c r="B108" s="21" t="s">
        <v>236</v>
      </c>
      <c r="C108" s="44" t="s">
        <v>203</v>
      </c>
      <c r="D108" s="21" t="s">
        <v>171</v>
      </c>
      <c r="E108" s="32">
        <f>SUMPRODUCT((TableBOM[Item ID]=A108)*TableBOM[Per 1000 Units]*(1+TableBOM[Scrap %])*SUMIF($D$96:$D$101,TableBOM[Product ID],$H$96:$H$101)/1000)</f>
        <v>220.22215835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-159.22215835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TRANSPARENT BOTTLE 150ML, PET BOTTLE 130ML WHITE</v>
      </c>
      <c r="I108" s="46" t="str">
        <f t="shared" si="9"/>
        <v>SHORTAGE</v>
      </c>
    </row>
    <row r="109" spans="1:18" ht="19.5" customHeight="1" x14ac:dyDescent="0.25">
      <c r="A109" s="21">
        <v>2267</v>
      </c>
      <c r="B109" s="21" t="s">
        <v>237</v>
      </c>
      <c r="C109" s="44" t="s">
        <v>226</v>
      </c>
      <c r="D109" s="21" t="s">
        <v>171</v>
      </c>
      <c r="E109" s="32">
        <f>SUMPRODUCT((TableBOM[Item ID]=A109)*TableBOM[Per 1000 Units]*(1+TableBOM[Scrap %])*SUMIF($D$96:$D$101,TableBOM[Product ID],$H$96:$H$101)/1000)</f>
        <v>1894.3569947999999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-1819.3569947999999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TRANSPARENT BOTTLE 150ML, PET BOTTLE 130ML WHITE</v>
      </c>
      <c r="I109" s="46" t="str">
        <f t="shared" si="9"/>
        <v>SHORTAGE</v>
      </c>
    </row>
    <row r="110" spans="1:18" ht="19.5" customHeight="1" x14ac:dyDescent="0.25">
      <c r="A110" s="21">
        <v>3006</v>
      </c>
      <c r="B110" s="21" t="s">
        <v>225</v>
      </c>
      <c r="C110" s="44" t="s">
        <v>238</v>
      </c>
      <c r="D110" s="21" t="s">
        <v>171</v>
      </c>
      <c r="E110" s="32">
        <f>SUMPRODUCT((TableBOM[Item ID]=A110)*TableBOM[Per 1000 Units]*(1+TableBOM[Scrap %])*SUMIF($D$96:$D$101,TableBOM[Product ID],$H$96:$H$101)/1000)</f>
        <v>241.107022</v>
      </c>
      <c r="F110" s="32">
        <f>IFERROR(INDEX(TableInventory[Store Balance],MATCH(A110,TableInventory[Item ID],0)),0)+IFERROR(INDEX(TableInventory[Work In Process],MATCH(A110,TableInventory[Item ID],0)),0)</f>
        <v>176</v>
      </c>
      <c r="G110" s="22">
        <f t="shared" si="8"/>
        <v>-65.107022000000001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LARGE 200ML WHITE, PET BOTTLE LARGE (200 ML) YELLOW</v>
      </c>
      <c r="I110" s="47" t="str">
        <f t="shared" si="9"/>
        <v>SHORTAGE</v>
      </c>
    </row>
    <row r="111" spans="1:18" ht="19.5" customHeight="1" x14ac:dyDescent="0.25">
      <c r="A111" s="21">
        <v>3043</v>
      </c>
      <c r="B111" s="21" t="s">
        <v>227</v>
      </c>
      <c r="C111" s="44" t="s">
        <v>228</v>
      </c>
      <c r="D111" s="21" t="s">
        <v>229</v>
      </c>
      <c r="E111" s="32">
        <f>SUMPRODUCT((TableBOM[Item ID]=A111)*TableBOM[Per 1000 Units]*(1+TableBOM[Scrap %])*SUMIF($D$96:$D$101,TableBOM[Product ID],$H$96:$H$101)/1000)</f>
        <v>1.2257102500000001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-1.2257102500000001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TRANSPARENT BOTTLE 150ML, PET BOTTLE LARGE 200ML WHITE, PET BOTTLE LARGE (200 ML) YELLOW, PET BOTTLE 130ML WHITE</v>
      </c>
      <c r="I111" s="47" t="str">
        <f t="shared" si="9"/>
        <v>SHORTAGE</v>
      </c>
    </row>
    <row r="112" spans="1:18" ht="15" customHeight="1" x14ac:dyDescent="0.25">
      <c r="A112" s="173"/>
      <c r="B112" s="167"/>
      <c r="C112" s="167"/>
      <c r="D112" s="167"/>
      <c r="E112" s="167"/>
      <c r="F112" s="167"/>
      <c r="G112" s="174"/>
      <c r="H112" s="167"/>
      <c r="I112" s="168"/>
    </row>
    <row r="113" spans="1:19" ht="15" customHeight="1" x14ac:dyDescent="0.25">
      <c r="A113" s="6" t="s">
        <v>239</v>
      </c>
      <c r="B113" s="7"/>
      <c r="C113" s="7"/>
      <c r="D113" s="7"/>
      <c r="E113" s="7">
        <f>SUMPRODUCT((TableBOM[Item ID]=A113)*TableBOM[Per 1000 Units]*(1+TableBOM[Scrap %])*SUMIF($D$96:$D$101,TableBOM[Product ID],$H$96:$H$101)/1000)</f>
        <v>0</v>
      </c>
      <c r="F113" s="7"/>
      <c r="G113" s="7"/>
      <c r="H113" s="34" t="str">
        <f>IF(LEN(IF((COUNTIFS(TableBOM[Product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34"/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40" t="s">
        <v>121</v>
      </c>
      <c r="B114" s="40" t="s">
        <v>7</v>
      </c>
      <c r="C114" s="41" t="s">
        <v>122</v>
      </c>
      <c r="D114" s="40" t="s">
        <v>123</v>
      </c>
      <c r="E114" s="156">
        <f>SUMPRODUCT((TableBOM[Item ID]=A114)*TableBOM[Per 1000 Units]*(1+TableBOM[Scrap %])*SUMIF($D$96:$D$101,TableBOM[Product ID],$H$96:$H$101)/1000)</f>
        <v>0</v>
      </c>
      <c r="F114" s="14" t="s">
        <v>240</v>
      </c>
      <c r="G114" s="15" t="s">
        <v>127</v>
      </c>
      <c r="H114" s="156" t="str">
        <f>IF(LEN(IF((COUNTIFS(TableBOM[Product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",""))&gt;1,LEFT(IF((COUNTIFS(TableBOM[Product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",""),LEN(IF((COUNTIFS(TableBOM[Product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",""))-2),"")</f>
        <v/>
      </c>
      <c r="I114" s="40" t="s">
        <v>241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5" customHeight="1" x14ac:dyDescent="0.25">
      <c r="A115" s="21">
        <v>3734</v>
      </c>
      <c r="B115" s="21" t="s">
        <v>242</v>
      </c>
      <c r="C115" s="44" t="s">
        <v>243</v>
      </c>
      <c r="D115" s="21" t="s">
        <v>130</v>
      </c>
      <c r="E115" s="33">
        <f>SUMPRODUCT((TableBOM[Item ID]=A115)*TableBOM[Per 1000 Units]*(1+TableBOM[Scrap %])*SUMIF($D$96:$D$101,TableBOM[Product ID],$H$96:$H$101)/1000)</f>
        <v>0</v>
      </c>
      <c r="F115" s="157" t="e">
        <f>IF(E109=0,0,ROUND(H109/E109*30,1))</f>
        <v>#VALUE!</v>
      </c>
      <c r="G115" s="22" t="e">
        <f>IF(E109=0,"Not needed",IF(H109-E109&lt;0,"SHORTAGE",IF(H109-E109&lt;E109,"LOW","OK")))</f>
        <v>#VALUE!</v>
      </c>
      <c r="H115" s="33" t="str">
        <f>IF(LEN(IF((COUNTIFS(TableBOM[Product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",""))&gt;1,LEFT(IF((COUNTIFS(TableBOM[Product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",""),LEN(IF((COUNTIFS(TableBOM[Product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",""))-2),"")</f>
        <v/>
      </c>
      <c r="I115" s="158">
        <v>6.38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6038</v>
      </c>
      <c r="B116" s="21" t="s">
        <v>242</v>
      </c>
      <c r="C116" s="44" t="s">
        <v>244</v>
      </c>
      <c r="D116" s="21" t="s">
        <v>130</v>
      </c>
      <c r="E116" s="33">
        <f>SUMPRODUCT((TableBOM[Item ID]=A116)*TableBOM[Per 1000 Units]*(1+TableBOM[Scrap %])*SUMIF($D$96:$D$101,TableBOM[Product ID],$H$96:$H$101)/1000)</f>
        <v>0</v>
      </c>
      <c r="F116" s="157" t="e">
        <f>IF(E110=0,0,ROUND(H110/E110*30,1))</f>
        <v>#VALUE!</v>
      </c>
      <c r="G116" s="22" t="e">
        <f>IF(E110=0,"Not needed",IF(H110-E110&lt;0,"SHORTAGE",IF(H110-E110&lt;E110,"LOW","OK")))</f>
        <v>#VALUE!</v>
      </c>
      <c r="H116" s="33" t="str">
        <f>IF(LEN(IF((COUNTIFS(TableBOM[Product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",""))&gt;1,LEFT(IF((COUNTIFS(TableBOM[Product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",""),LEN(IF((COUNTIFS(TableBOM[Product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",""))-2),"")</f>
        <v/>
      </c>
      <c r="I116" s="158">
        <v>2.9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21">
        <v>3858</v>
      </c>
      <c r="B117" s="21" t="s">
        <v>242</v>
      </c>
      <c r="C117" s="44" t="s">
        <v>245</v>
      </c>
      <c r="D117" s="21" t="s">
        <v>130</v>
      </c>
      <c r="E117" s="33">
        <f>SUMPRODUCT((TableBOM[Item ID]=A117)*TableBOM[Per 1000 Units]*(1+TableBOM[Scrap %])*SUMIF($D$96:$D$101,TableBOM[Product ID],$H$96:$H$101)/1000)</f>
        <v>0</v>
      </c>
      <c r="F117" s="157" t="e">
        <f>IF(#REF!=0,0,ROUND(#REF!/#REF!*30,1))</f>
        <v>#REF!</v>
      </c>
      <c r="G117" s="22" t="e">
        <f>IF(#REF!=0,"Not needed",IF(#REF!-#REF!&lt;0,"SHORTAGE",IF(#REF!-#REF!&lt;#REF!,"LOW","OK")))</f>
        <v>#REF!</v>
      </c>
      <c r="H117" s="33" t="str">
        <f>IF(LEN(IF((COUNTIFS(TableBOM[Product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",""))&gt;1,LEFT(IF((COUNTIFS(TableBOM[Product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",""),LEN(IF((COUNTIFS(TableBOM[Product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",""))-2),"")</f>
        <v/>
      </c>
      <c r="I117" s="158">
        <v>2.8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3754</v>
      </c>
      <c r="B118" s="21" t="s">
        <v>242</v>
      </c>
      <c r="C118" s="44" t="s">
        <v>246</v>
      </c>
      <c r="D118" s="21" t="s">
        <v>130</v>
      </c>
      <c r="E118" s="33">
        <f>SUMPRODUCT((TableBOM[Item ID]=A118)*TableBOM[Per 1000 Units]*(1+TableBOM[Scrap %])*SUMIF($D$96:$D$101,TableBOM[Product ID],$H$96:$H$101)/1000)</f>
        <v>0</v>
      </c>
      <c r="F118" s="157" t="e">
        <f t="shared" ref="F118:F146" si="10">IF(E111=0,0,ROUND(H111/E111*30,1))</f>
        <v>#VALUE!</v>
      </c>
      <c r="G118" s="22" t="e">
        <f t="shared" ref="G118:G146" si="11">IF(E111=0,"Not needed",IF(H111-E111&lt;0,"SHORTAGE",IF(H111-E111&lt;E111,"LOW","OK")))</f>
        <v>#VALUE!</v>
      </c>
      <c r="H118" s="33" t="str">
        <f>IF(LEN(IF((COUNTIFS(TableBOM[Product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",""))&gt;1,LEFT(IF((COUNTIFS(TableBOM[Product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",""),LEN(IF((COUNTIFS(TableBOM[Product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",""))-2),"")</f>
        <v/>
      </c>
      <c r="I118" s="158">
        <v>2.67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3755</v>
      </c>
      <c r="B119" s="21" t="s">
        <v>242</v>
      </c>
      <c r="C119" s="44" t="s">
        <v>247</v>
      </c>
      <c r="D119" s="21" t="s">
        <v>130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 t="str">
        <f>IF(LEN(IF((COUNTIFS(TableBOM[Product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",""))&gt;1,LEFT(IF((COUNTIFS(TableBOM[Product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",""),LEN(IF((COUNTIFS(TableBOM[Product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",""))-2),"")</f>
        <v/>
      </c>
      <c r="I119" s="158">
        <v>2.44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1928</v>
      </c>
      <c r="B120" s="21" t="s">
        <v>242</v>
      </c>
      <c r="C120" s="44" t="s">
        <v>248</v>
      </c>
      <c r="D120" s="21" t="s">
        <v>130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 t="str">
        <f>IF(LEN(IF((COUNTIFS(TableBOM[Product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",""))&gt;1,LEFT(IF((COUNTIFS(TableBOM[Product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",""),LEN(IF((COUNTIFS(TableBOM[Product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",""))-2),"")</f>
        <v/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7094</v>
      </c>
      <c r="B121" s="21" t="s">
        <v>242</v>
      </c>
      <c r="C121" s="44" t="s">
        <v>249</v>
      </c>
      <c r="D121" s="21" t="s">
        <v>130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 t="str">
        <f>IF(LEN(IF((COUNTIFS(TableBOM[Product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",""))&gt;1,LEFT(IF((COUNTIFS(TableBOM[Product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",""),LEN(IF((COUNTIFS(TableBOM[Product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",""))-2),"")</f>
        <v/>
      </c>
      <c r="I121" s="158">
        <v>2.3199999999999998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3736</v>
      </c>
      <c r="B122" s="21" t="s">
        <v>242</v>
      </c>
      <c r="C122" s="44" t="s">
        <v>250</v>
      </c>
      <c r="D122" s="21" t="s">
        <v>130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 t="str">
        <f>IF(LEN(IF((COUNTIFS(TableBOM[Product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",""))&gt;1,LEFT(IF((COUNTIFS(TableBOM[Product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",""),LEN(IF((COUNTIFS(TableBOM[Product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",""))-2),"")</f>
        <v/>
      </c>
      <c r="I122" s="158">
        <v>1.6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3955</v>
      </c>
      <c r="B123" s="21" t="s">
        <v>242</v>
      </c>
      <c r="C123" s="44" t="s">
        <v>251</v>
      </c>
      <c r="D123" s="21" t="s">
        <v>130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 t="str">
        <f>IF(LEN(IF((COUNTIFS(TableBOM[Product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",""))&gt;1,LEFT(IF((COUNTIFS(TableBOM[Product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",""),LEN(IF((COUNTIFS(TableBOM[Product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",""))-2),"")</f>
        <v/>
      </c>
      <c r="I123" s="158">
        <v>1.28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5" customHeight="1" x14ac:dyDescent="0.25">
      <c r="A124" s="21">
        <v>7398</v>
      </c>
      <c r="B124" s="21" t="s">
        <v>242</v>
      </c>
      <c r="C124" s="44" t="s">
        <v>252</v>
      </c>
      <c r="D124" s="21" t="s">
        <v>130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 t="str">
        <f>IF(LEN(IF((COUNTIFS(TableBOM[Product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",""))&gt;1,LEFT(IF((COUNTIFS(TableBOM[Product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",""),LEN(IF((COUNTIFS(TableBOM[Product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",""))-2),"")</f>
        <v/>
      </c>
      <c r="I124" s="158">
        <v>1.04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3857</v>
      </c>
      <c r="B125" s="21" t="s">
        <v>242</v>
      </c>
      <c r="C125" s="44" t="s">
        <v>253</v>
      </c>
      <c r="D125" s="21" t="s">
        <v>130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 t="str">
        <f>IF(LEN(IF((COUNTIFS(TableBOM[Product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",""))&gt;1,LEFT(IF((COUNTIFS(TableBOM[Product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",""),LEN(IF((COUNTIFS(TableBOM[Product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",""))-2),"")</f>
        <v/>
      </c>
      <c r="I125" s="158">
        <v>0.81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6040</v>
      </c>
      <c r="B126" s="21" t="s">
        <v>242</v>
      </c>
      <c r="C126" s="44" t="s">
        <v>254</v>
      </c>
      <c r="D126" s="21" t="s">
        <v>130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 t="str">
        <f>IF(LEN(IF((COUNTIFS(TableBOM[Product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",""))&gt;1,LEFT(IF((COUNTIFS(TableBOM[Product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",""),LEN(IF((COUNTIFS(TableBOM[Product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",""))-2),"")</f>
        <v/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36" customHeight="1" x14ac:dyDescent="0.25">
      <c r="A127" s="21">
        <v>5107</v>
      </c>
      <c r="B127" s="21" t="s">
        <v>242</v>
      </c>
      <c r="C127" s="44" t="s">
        <v>255</v>
      </c>
      <c r="D127" s="21" t="s">
        <v>130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 t="str">
        <f>IF(LEN(IF((COUNTIFS(TableBOM[Product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",""))&gt;1,LEFT(IF((COUNTIFS(TableBOM[Product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",""),LEN(IF((COUNTIFS(TableBOM[Product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",""))-2),"")</f>
        <v/>
      </c>
      <c r="I127" s="158">
        <v>0.7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7152</v>
      </c>
      <c r="B128" s="21" t="s">
        <v>242</v>
      </c>
      <c r="C128" s="44" t="s">
        <v>256</v>
      </c>
      <c r="D128" s="21" t="s">
        <v>130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 t="str">
        <f>IF(LEN(IF((COUNTIFS(TableBOM[Product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",""))&gt;1,LEFT(IF((COUNTIFS(TableBOM[Product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",""),LEN(IF((COUNTIFS(TableBOM[Product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",""))-2),"")</f>
        <v/>
      </c>
      <c r="I128" s="158">
        <v>0.57999999999999996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7095</v>
      </c>
      <c r="B129" s="21" t="s">
        <v>242</v>
      </c>
      <c r="C129" s="44" t="s">
        <v>257</v>
      </c>
      <c r="D129" s="21" t="s">
        <v>130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 t="str">
        <f>IF(LEN(IF((COUNTIFS(TableBOM[Product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",""))&gt;1,LEFT(IF((COUNTIFS(TableBOM[Product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",""),LEN(IF((COUNTIFS(TableBOM[Product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",""))-2),"")</f>
        <v/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118</v>
      </c>
      <c r="B130" s="21" t="s">
        <v>242</v>
      </c>
      <c r="C130" s="44" t="s">
        <v>258</v>
      </c>
      <c r="D130" s="21" t="s">
        <v>130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 t="str">
        <f>IF(LEN(IF((COUNTIFS(TableBOM[Product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",""))&gt;1,LEFT(IF((COUNTIFS(TableBOM[Product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",""),LEN(IF((COUNTIFS(TableBOM[Product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",""))-2),"")</f>
        <v/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2284</v>
      </c>
      <c r="B131" s="21" t="s">
        <v>242</v>
      </c>
      <c r="C131" s="44" t="s">
        <v>259</v>
      </c>
      <c r="D131" s="21" t="s">
        <v>130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 t="str">
        <f>IF(LEN(IF((COUNTIFS(TableBOM[Product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",""))&gt;1,LEFT(IF((COUNTIFS(TableBOM[Product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",""),LEN(IF((COUNTIFS(TableBOM[Product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",""))-2),"")</f>
        <v/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110</v>
      </c>
      <c r="B132" s="21" t="s">
        <v>242</v>
      </c>
      <c r="C132" s="44" t="s">
        <v>260</v>
      </c>
      <c r="D132" s="21" t="s">
        <v>130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 t="str">
        <f>IF(LEN(IF((COUNTIFS(TableBOM[Product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",""))&gt;1,LEFT(IF((COUNTIFS(TableBOM[Product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",""),LEN(IF((COUNTIFS(TableBOM[Product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",""))-2),"")</f>
        <v/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129</v>
      </c>
      <c r="B133" s="21" t="s">
        <v>242</v>
      </c>
      <c r="C133" s="44" t="s">
        <v>261</v>
      </c>
      <c r="D133" s="21" t="s">
        <v>130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 t="str">
        <f>IF(LEN(IF((COUNTIFS(TableBOM[Product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",""))&gt;1,LEFT(IF((COUNTIFS(TableBOM[Product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",""),LEN(IF((COUNTIFS(TableBOM[Product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",""))-2),"")</f>
        <v/>
      </c>
      <c r="I133" s="158">
        <v>0.35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6049</v>
      </c>
      <c r="B134" s="21" t="s">
        <v>242</v>
      </c>
      <c r="C134" s="44" t="s">
        <v>262</v>
      </c>
      <c r="D134" s="21" t="s">
        <v>130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 t="str">
        <f>IF(LEN(IF((COUNTIFS(TableBOM[Product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",""))&gt;1,LEFT(IF((COUNTIFS(TableBOM[Product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",""),LEN(IF((COUNTIFS(TableBOM[Product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",""))-2),"")</f>
        <v/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3770</v>
      </c>
      <c r="B135" s="21" t="s">
        <v>242</v>
      </c>
      <c r="C135" s="44" t="s">
        <v>263</v>
      </c>
      <c r="D135" s="21" t="s">
        <v>130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 t="str">
        <f>IF(LEN(IF((COUNTIFS(TableBOM[Product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",""))&gt;1,LEFT(IF((COUNTIFS(TableBOM[Product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",""),LEN(IF((COUNTIFS(TableBOM[Product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",""))-2),"")</f>
        <v/>
      </c>
      <c r="I135" s="158">
        <v>0.23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130</v>
      </c>
      <c r="B136" s="21" t="s">
        <v>242</v>
      </c>
      <c r="C136" s="44" t="s">
        <v>264</v>
      </c>
      <c r="D136" s="21" t="s">
        <v>130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 t="str">
        <f>IF(LEN(IF((COUNTIFS(TableBOM[Product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",""))&gt;1,LEFT(IF((COUNTIFS(TableBOM[Product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",""),LEN(IF((COUNTIFS(TableBOM[Product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",""))-2),"")</f>
        <v/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124</v>
      </c>
      <c r="B137" s="21" t="s">
        <v>242</v>
      </c>
      <c r="C137" s="44" t="s">
        <v>265</v>
      </c>
      <c r="D137" s="21" t="s">
        <v>130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 t="str">
        <f>IF(LEN(IF((COUNTIFS(TableBOM[Product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",""))&gt;1,LEFT(IF((COUNTIFS(TableBOM[Product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",""),LEN(IF((COUNTIFS(TableBOM[Product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",""))-2),"")</f>
        <v/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3968</v>
      </c>
      <c r="B138" s="21" t="s">
        <v>242</v>
      </c>
      <c r="C138" s="44" t="s">
        <v>266</v>
      </c>
      <c r="D138" s="21" t="s">
        <v>130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 t="str">
        <f>IF(LEN(IF((COUNTIFS(TableBOM[Product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",""))&gt;1,LEFT(IF((COUNTIFS(TableBOM[Product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",""),LEN(IF((COUNTIFS(TableBOM[Product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",""))-2),"")</f>
        <v/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x14ac:dyDescent="0.25">
      <c r="A139" s="21">
        <v>3642</v>
      </c>
      <c r="B139" s="21" t="s">
        <v>242</v>
      </c>
      <c r="C139" s="44" t="s">
        <v>267</v>
      </c>
      <c r="D139" s="21" t="s">
        <v>130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 t="str">
        <f>IF(LEN(IF((COUNTIFS(TableBOM[Product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",""))&gt;1,LEFT(IF((COUNTIFS(TableBOM[Product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",""),LEN(IF((COUNTIFS(TableBOM[Product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x14ac:dyDescent="0.25">
      <c r="A140" s="21">
        <v>104</v>
      </c>
      <c r="B140" s="21" t="s">
        <v>242</v>
      </c>
      <c r="C140" s="44" t="s">
        <v>268</v>
      </c>
      <c r="D140" s="21" t="s">
        <v>130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 t="str">
        <f>IF(LEN(IF((COUNTIFS(TableBOM[Product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",""))&gt;1,LEFT(IF((COUNTIFS(TableBOM[Product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",""),LEN(IF((COUNTIFS(TableBOM[Product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",""))-2),"")</f>
        <v/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105</v>
      </c>
      <c r="B141" s="21" t="s">
        <v>242</v>
      </c>
      <c r="C141" s="44" t="s">
        <v>269</v>
      </c>
      <c r="D141" s="21" t="s">
        <v>130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 t="str">
        <f>IF(LEN(IF((COUNTIFS(TableBOM[Product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",""))&gt;1,LEFT(IF((COUNTIFS(TableBOM[Product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",""),LEN(IF((COUNTIFS(TableBOM[Product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",""))-2),"")</f>
        <v/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127</v>
      </c>
      <c r="B142" s="21" t="s">
        <v>242</v>
      </c>
      <c r="C142" s="44" t="s">
        <v>270</v>
      </c>
      <c r="D142" s="21" t="s">
        <v>130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 t="str">
        <f>IF(LEN(IF((COUNTIFS(TableBOM[Product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",""))&gt;1,LEFT(IF((COUNTIFS(TableBOM[Product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",""),LEN(IF((COUNTIFS(TableBOM[Product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",""))-2),"")</f>
        <v/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3800</v>
      </c>
      <c r="B143" s="21" t="s">
        <v>242</v>
      </c>
      <c r="C143" s="44" t="s">
        <v>271</v>
      </c>
      <c r="D143" s="21" t="s">
        <v>130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 t="str">
        <f>IF(LEN(IF((COUNTIFS(TableBOM[Product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",""))&gt;1,LEFT(IF((COUNTIFS(TableBOM[Product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",""),LEN(IF((COUNTIFS(TableBOM[Product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4216</v>
      </c>
      <c r="B144" s="21" t="s">
        <v>242</v>
      </c>
      <c r="C144" s="44" t="s">
        <v>272</v>
      </c>
      <c r="D144" s="21" t="s">
        <v>130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 t="str">
        <f>IF(LEN(IF((COUNTIFS(TableBOM[Product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",""))&gt;1,LEFT(IF((COUNTIFS(TableBOM[Product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",""),LEN(IF((COUNTIFS(TableBOM[Product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4306</v>
      </c>
      <c r="B145" s="21" t="s">
        <v>242</v>
      </c>
      <c r="C145" s="44" t="s">
        <v>273</v>
      </c>
      <c r="D145" s="21" t="s">
        <v>130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 t="str">
        <f>IF(LEN(IF((COUNTIFS(TableBOM[Product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",""))&gt;1,LEFT(IF((COUNTIFS(TableBOM[Product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",""),LEN(IF((COUNTIFS(TableBOM[Product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6935</v>
      </c>
      <c r="B146" s="21" t="s">
        <v>242</v>
      </c>
      <c r="C146" s="44" t="s">
        <v>274</v>
      </c>
      <c r="D146" s="21" t="s">
        <v>130</v>
      </c>
      <c r="E146" s="33">
        <f>SUMPRODUCT((TableBOM[Item ID]=A146)*TableBOM[Per 1000 Units]*(1+TableBOM[Scrap %])*SUMIF($D$96:$D$101,TableBOM[Product ID],$H$96:$H$101)/1000)</f>
        <v>0</v>
      </c>
      <c r="F146" s="157">
        <f t="shared" si="10"/>
        <v>0</v>
      </c>
      <c r="G146" s="22" t="str">
        <f t="shared" si="11"/>
        <v>Not needed</v>
      </c>
      <c r="H146" s="33" t="str">
        <f>IF(LEN(IF((COUNTIFS(TableBOM[Product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",""))&gt;1,LEFT(IF((COUNTIFS(TableBOM[Product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",""),LEN(IF((COUNTIFS(TableBOM[Product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</sheetData>
  <autoFilter ref="A9:I91" xr:uid="{00000000-0009-0000-0000-000001000000}">
    <filterColumn colId="4">
      <filters>
        <filter val="1,014"/>
        <filter val="1,086"/>
        <filter val="182"/>
        <filter val="2"/>
        <filter val="214"/>
        <filter val="218,229"/>
        <filter val="30"/>
        <filter val="45,900"/>
        <filter val="86"/>
        <filter val="882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4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9:G119 H2:I2 H5:I6 H117:H124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21 B125:B126 B131:B132 C5:C6 C118:C120 C122:C124 C127:C129" xr:uid="{00000000-0002-0000-0100-000001000000}">
      <formula1>"Alpha Lab,Brookes Pharma,DTM,Golden Pearl,Mabley Beauty,Mega Grey,PBS,Samsol"</formula1>
      <formula2>0</formula2>
    </dataValidation>
    <dataValidation type="list" allowBlank="1" sqref="C5:C15 C121 C125:C126 C131:C132 D5:D6 D118:D130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24"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275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276</v>
      </c>
      <c r="B2" s="79" t="s">
        <v>277</v>
      </c>
      <c r="C2" s="80" t="s">
        <v>16</v>
      </c>
      <c r="D2" s="80" t="s">
        <v>17</v>
      </c>
      <c r="E2" s="79" t="s">
        <v>278</v>
      </c>
      <c r="F2" s="81" t="s">
        <v>114</v>
      </c>
      <c r="G2" s="82" t="s">
        <v>279</v>
      </c>
      <c r="H2" s="82" t="s">
        <v>280</v>
      </c>
      <c r="I2" s="82" t="s">
        <v>281</v>
      </c>
      <c r="J2" s="83" t="s">
        <v>282</v>
      </c>
      <c r="K2" s="79" t="s">
        <v>283</v>
      </c>
      <c r="L2" s="79" t="s">
        <v>284</v>
      </c>
      <c r="M2" s="79" t="s">
        <v>285</v>
      </c>
      <c r="N2" s="79" t="s">
        <v>286</v>
      </c>
      <c r="O2" s="79" t="s">
        <v>287</v>
      </c>
      <c r="P2" s="79" t="s">
        <v>288</v>
      </c>
      <c r="Q2" s="79" t="s">
        <v>289</v>
      </c>
      <c r="R2" s="79" t="s">
        <v>290</v>
      </c>
    </row>
    <row r="3" spans="1:19" ht="15" customHeight="1" x14ac:dyDescent="0.25">
      <c r="A3" s="228">
        <v>46204</v>
      </c>
      <c r="B3" s="229" t="s">
        <v>291</v>
      </c>
      <c r="C3" s="229" t="s">
        <v>34</v>
      </c>
      <c r="D3" s="229" t="s">
        <v>35</v>
      </c>
      <c r="E3" s="229">
        <v>30</v>
      </c>
      <c r="F3" s="229">
        <v>6206</v>
      </c>
      <c r="G3" s="230">
        <v>12000</v>
      </c>
      <c r="H3" s="230">
        <v>11735</v>
      </c>
      <c r="I3" s="230">
        <v>265</v>
      </c>
      <c r="J3" s="231">
        <f t="shared" ref="J3:J34" si="0">IFERROR(I3/(H3+I3),"")</f>
        <v>2.2083333333333333E-2</v>
      </c>
      <c r="K3" s="229"/>
      <c r="L3" s="229"/>
      <c r="M3" s="229"/>
      <c r="N3" s="229"/>
      <c r="O3" s="229"/>
      <c r="P3" s="229">
        <v>180</v>
      </c>
      <c r="Q3" s="229"/>
      <c r="R3" s="229"/>
      <c r="S3" s="229"/>
    </row>
    <row r="4" spans="1:19" ht="15" customHeight="1" x14ac:dyDescent="0.25">
      <c r="A4" s="228">
        <v>46204</v>
      </c>
      <c r="B4" s="229" t="s">
        <v>292</v>
      </c>
      <c r="C4" s="229" t="s">
        <v>34</v>
      </c>
      <c r="D4" s="229" t="s">
        <v>35</v>
      </c>
      <c r="E4" s="229">
        <v>30</v>
      </c>
      <c r="F4" s="229">
        <v>6206</v>
      </c>
      <c r="G4" s="230">
        <v>13000</v>
      </c>
      <c r="H4" s="230">
        <v>12990</v>
      </c>
      <c r="I4" s="230">
        <v>10</v>
      </c>
      <c r="J4" s="231">
        <f t="shared" si="0"/>
        <v>7.6923076923076923E-4</v>
      </c>
      <c r="K4" s="229"/>
      <c r="L4" s="229"/>
      <c r="M4" s="229"/>
      <c r="N4" s="229"/>
      <c r="O4" s="229"/>
      <c r="P4" s="229">
        <v>180</v>
      </c>
      <c r="Q4" s="229"/>
      <c r="R4" s="229"/>
      <c r="S4" s="229"/>
    </row>
    <row r="5" spans="1:19" ht="15" customHeight="1" x14ac:dyDescent="0.25">
      <c r="A5" s="228">
        <v>46204</v>
      </c>
      <c r="B5" s="229" t="s">
        <v>293</v>
      </c>
      <c r="C5" s="229" t="s">
        <v>50</v>
      </c>
      <c r="D5" s="229" t="s">
        <v>51</v>
      </c>
      <c r="E5" s="229" t="s">
        <v>52</v>
      </c>
      <c r="F5" s="229">
        <v>8001</v>
      </c>
      <c r="G5" s="230">
        <v>0</v>
      </c>
      <c r="H5" s="230">
        <v>0</v>
      </c>
      <c r="I5" s="230">
        <v>0</v>
      </c>
      <c r="J5" s="231" t="str">
        <f t="shared" si="0"/>
        <v/>
      </c>
      <c r="K5" s="229"/>
      <c r="L5" s="229">
        <v>240</v>
      </c>
      <c r="M5" s="229"/>
      <c r="N5" s="229"/>
      <c r="O5" s="229"/>
      <c r="P5" s="229">
        <v>240</v>
      </c>
      <c r="Q5" s="229"/>
      <c r="R5" s="229"/>
      <c r="S5" s="229"/>
    </row>
    <row r="6" spans="1:19" ht="15" customHeight="1" x14ac:dyDescent="0.25">
      <c r="A6" s="228">
        <v>46204</v>
      </c>
      <c r="B6" s="229" t="s">
        <v>294</v>
      </c>
      <c r="C6" s="229" t="s">
        <v>34</v>
      </c>
      <c r="D6" s="229" t="s">
        <v>35</v>
      </c>
      <c r="E6" s="229">
        <v>30</v>
      </c>
      <c r="F6" s="229">
        <v>6206</v>
      </c>
      <c r="G6" s="230">
        <v>12700</v>
      </c>
      <c r="H6" s="230">
        <v>12600</v>
      </c>
      <c r="I6" s="230">
        <v>100</v>
      </c>
      <c r="J6" s="231">
        <f t="shared" si="0"/>
        <v>7.874015748031496E-3</v>
      </c>
      <c r="K6" s="229"/>
      <c r="L6" s="229"/>
      <c r="M6" s="229"/>
      <c r="N6" s="229"/>
      <c r="O6" s="229"/>
      <c r="P6" s="229">
        <v>180</v>
      </c>
      <c r="Q6" s="229"/>
      <c r="R6" s="229"/>
      <c r="S6" s="229"/>
    </row>
    <row r="7" spans="1:19" ht="15" customHeight="1" x14ac:dyDescent="0.25">
      <c r="A7" s="228">
        <v>46204</v>
      </c>
      <c r="B7" s="229" t="s">
        <v>295</v>
      </c>
      <c r="C7" s="229" t="s">
        <v>28</v>
      </c>
      <c r="D7" s="229" t="s">
        <v>29</v>
      </c>
      <c r="E7" s="229">
        <v>25</v>
      </c>
      <c r="F7" s="229">
        <v>3447</v>
      </c>
      <c r="G7" s="230">
        <v>6000</v>
      </c>
      <c r="H7" s="230">
        <v>5905</v>
      </c>
      <c r="I7" s="230">
        <v>95</v>
      </c>
      <c r="J7" s="231">
        <f t="shared" si="0"/>
        <v>1.5833333333333335E-2</v>
      </c>
      <c r="K7" s="229"/>
      <c r="L7" s="229"/>
      <c r="M7" s="229"/>
      <c r="N7" s="229"/>
      <c r="O7" s="229">
        <v>120</v>
      </c>
      <c r="P7" s="229">
        <v>180</v>
      </c>
      <c r="Q7" s="229"/>
      <c r="R7" s="229"/>
      <c r="S7" s="229"/>
    </row>
    <row r="8" spans="1:19" ht="15" customHeight="1" x14ac:dyDescent="0.25">
      <c r="A8" s="228">
        <v>46204</v>
      </c>
      <c r="B8" s="229" t="s">
        <v>296</v>
      </c>
      <c r="C8" s="229" t="s">
        <v>34</v>
      </c>
      <c r="D8" s="229" t="s">
        <v>35</v>
      </c>
      <c r="E8" s="229">
        <v>30</v>
      </c>
      <c r="F8" s="229">
        <v>6206</v>
      </c>
      <c r="G8" s="230">
        <v>6200</v>
      </c>
      <c r="H8" s="230">
        <v>5950</v>
      </c>
      <c r="I8" s="230">
        <v>250</v>
      </c>
      <c r="J8" s="231">
        <f t="shared" si="0"/>
        <v>4.0322580645161289E-2</v>
      </c>
      <c r="K8" s="229">
        <v>120</v>
      </c>
      <c r="L8" s="229"/>
      <c r="M8" s="229"/>
      <c r="N8" s="229"/>
      <c r="O8" s="229"/>
      <c r="P8" s="229">
        <v>180</v>
      </c>
      <c r="Q8" s="229"/>
      <c r="R8" s="229"/>
      <c r="S8" s="229"/>
    </row>
    <row r="9" spans="1:19" ht="15" customHeight="1" x14ac:dyDescent="0.25">
      <c r="A9" s="228">
        <v>46205</v>
      </c>
      <c r="B9" s="229" t="s">
        <v>291</v>
      </c>
      <c r="C9" s="229" t="s">
        <v>34</v>
      </c>
      <c r="D9" s="229" t="s">
        <v>35</v>
      </c>
      <c r="E9" s="229">
        <v>30</v>
      </c>
      <c r="F9" s="229">
        <v>6206</v>
      </c>
      <c r="G9" s="230">
        <v>22000</v>
      </c>
      <c r="H9" s="230">
        <v>21650</v>
      </c>
      <c r="I9" s="230">
        <v>350</v>
      </c>
      <c r="J9" s="231">
        <f t="shared" si="0"/>
        <v>1.5909090909090907E-2</v>
      </c>
      <c r="K9" s="229"/>
      <c r="L9" s="229"/>
      <c r="M9" s="229"/>
      <c r="N9" s="229"/>
      <c r="O9" s="229"/>
      <c r="P9" s="229">
        <v>60</v>
      </c>
      <c r="Q9" s="229"/>
      <c r="R9" s="229"/>
      <c r="S9" s="229"/>
    </row>
    <row r="10" spans="1:19" ht="15" customHeight="1" x14ac:dyDescent="0.25">
      <c r="A10" s="228">
        <v>46205</v>
      </c>
      <c r="B10" s="229" t="s">
        <v>292</v>
      </c>
      <c r="C10" s="229" t="s">
        <v>34</v>
      </c>
      <c r="D10" s="229" t="s">
        <v>35</v>
      </c>
      <c r="E10" s="229">
        <v>30</v>
      </c>
      <c r="F10" s="229">
        <v>6206</v>
      </c>
      <c r="G10" s="230">
        <v>22134</v>
      </c>
      <c r="H10" s="230">
        <v>22124</v>
      </c>
      <c r="I10" s="230">
        <v>10</v>
      </c>
      <c r="J10" s="231">
        <f t="shared" si="0"/>
        <v>4.5179362067407608E-4</v>
      </c>
      <c r="K10" s="229"/>
      <c r="L10" s="229"/>
      <c r="M10" s="229"/>
      <c r="N10" s="229"/>
      <c r="O10" s="229"/>
      <c r="P10" s="229">
        <v>60</v>
      </c>
      <c r="Q10" s="229"/>
      <c r="R10" s="229"/>
      <c r="S10" s="229"/>
    </row>
    <row r="11" spans="1:19" ht="15" customHeight="1" x14ac:dyDescent="0.25">
      <c r="A11" s="228">
        <v>46205</v>
      </c>
      <c r="B11" s="229" t="s">
        <v>293</v>
      </c>
      <c r="C11" s="229" t="s">
        <v>50</v>
      </c>
      <c r="D11" s="229" t="s">
        <v>51</v>
      </c>
      <c r="E11" s="229" t="s">
        <v>52</v>
      </c>
      <c r="F11" s="229">
        <v>8001</v>
      </c>
      <c r="G11" s="230">
        <v>0</v>
      </c>
      <c r="H11" s="230">
        <v>0</v>
      </c>
      <c r="I11" s="230">
        <v>0</v>
      </c>
      <c r="J11" s="231" t="str">
        <f t="shared" si="0"/>
        <v/>
      </c>
      <c r="K11" s="229">
        <v>240</v>
      </c>
      <c r="L11" s="229"/>
      <c r="M11" s="229"/>
      <c r="N11" s="229"/>
      <c r="O11" s="229">
        <v>240</v>
      </c>
      <c r="P11" s="229"/>
      <c r="Q11" s="229"/>
      <c r="R11" s="229"/>
      <c r="S11" s="229"/>
    </row>
    <row r="12" spans="1:19" ht="15" customHeight="1" x14ac:dyDescent="0.25">
      <c r="A12" s="228">
        <v>46205</v>
      </c>
      <c r="B12" s="229" t="s">
        <v>294</v>
      </c>
      <c r="C12" s="229" t="s">
        <v>34</v>
      </c>
      <c r="D12" s="229" t="s">
        <v>35</v>
      </c>
      <c r="E12" s="229">
        <v>30</v>
      </c>
      <c r="F12" s="229">
        <v>6206</v>
      </c>
      <c r="G12" s="230">
        <v>20400</v>
      </c>
      <c r="H12" s="230">
        <v>20270</v>
      </c>
      <c r="I12" s="230">
        <v>130</v>
      </c>
      <c r="J12" s="231">
        <f t="shared" si="0"/>
        <v>6.372549019607843E-3</v>
      </c>
      <c r="K12" s="229"/>
      <c r="L12" s="229"/>
      <c r="M12" s="229"/>
      <c r="N12" s="229"/>
      <c r="O12" s="229"/>
      <c r="P12" s="229">
        <v>60</v>
      </c>
      <c r="Q12" s="229"/>
      <c r="R12" s="229"/>
      <c r="S12" s="229"/>
    </row>
    <row r="13" spans="1:19" ht="15" customHeight="1" x14ac:dyDescent="0.25">
      <c r="A13" s="228">
        <v>46205</v>
      </c>
      <c r="B13" s="229" t="s">
        <v>296</v>
      </c>
      <c r="C13" s="229" t="s">
        <v>34</v>
      </c>
      <c r="D13" s="229" t="s">
        <v>35</v>
      </c>
      <c r="E13" s="229">
        <v>30</v>
      </c>
      <c r="F13" s="229">
        <v>6206</v>
      </c>
      <c r="G13" s="230">
        <v>19490</v>
      </c>
      <c r="H13" s="230">
        <v>19040</v>
      </c>
      <c r="I13" s="230">
        <v>450</v>
      </c>
      <c r="J13" s="231">
        <f t="shared" si="0"/>
        <v>2.3088763468445357E-2</v>
      </c>
      <c r="K13" s="229"/>
      <c r="L13" s="229"/>
      <c r="M13" s="229"/>
      <c r="N13" s="229"/>
      <c r="O13" s="229"/>
      <c r="P13" s="229">
        <v>60</v>
      </c>
      <c r="Q13" s="229"/>
      <c r="R13" s="229"/>
      <c r="S13" s="229"/>
    </row>
    <row r="14" spans="1:19" ht="15" customHeight="1" x14ac:dyDescent="0.25">
      <c r="A14" s="228">
        <v>46206</v>
      </c>
      <c r="B14" s="229" t="s">
        <v>291</v>
      </c>
      <c r="C14" s="229" t="s">
        <v>34</v>
      </c>
      <c r="D14" s="229" t="s">
        <v>35</v>
      </c>
      <c r="E14" s="229">
        <v>30</v>
      </c>
      <c r="F14" s="229">
        <v>6206</v>
      </c>
      <c r="G14" s="230">
        <v>16000</v>
      </c>
      <c r="H14" s="230">
        <v>15760</v>
      </c>
      <c r="I14" s="230">
        <v>240</v>
      </c>
      <c r="J14" s="231">
        <f t="shared" si="0"/>
        <v>1.4999999999999999E-2</v>
      </c>
      <c r="K14" s="229"/>
      <c r="L14" s="229"/>
      <c r="M14" s="229">
        <v>60</v>
      </c>
      <c r="N14" s="229"/>
      <c r="O14" s="229"/>
      <c r="P14" s="229"/>
      <c r="Q14" s="229"/>
      <c r="R14" s="229"/>
      <c r="S14" s="229"/>
    </row>
    <row r="15" spans="1:19" ht="15" customHeight="1" x14ac:dyDescent="0.25">
      <c r="A15" s="228">
        <v>46206</v>
      </c>
      <c r="B15" s="229" t="s">
        <v>297</v>
      </c>
      <c r="C15" s="229" t="s">
        <v>28</v>
      </c>
      <c r="D15" s="229" t="s">
        <v>29</v>
      </c>
      <c r="E15" s="229">
        <v>25</v>
      </c>
      <c r="F15" s="229">
        <v>3447</v>
      </c>
      <c r="G15" s="230">
        <v>1000</v>
      </c>
      <c r="H15" s="230">
        <v>980</v>
      </c>
      <c r="I15" s="230">
        <v>20</v>
      </c>
      <c r="J15" s="231">
        <f t="shared" si="0"/>
        <v>0.02</v>
      </c>
      <c r="K15" s="229"/>
      <c r="L15" s="229"/>
      <c r="M15" s="229"/>
      <c r="N15" s="229"/>
      <c r="O15" s="229"/>
      <c r="P15" s="229"/>
      <c r="Q15" s="229"/>
      <c r="R15" s="229"/>
      <c r="S15" s="229"/>
    </row>
    <row r="16" spans="1:19" ht="15" customHeight="1" x14ac:dyDescent="0.25">
      <c r="A16" s="228">
        <v>46206</v>
      </c>
      <c r="B16" s="229" t="s">
        <v>292</v>
      </c>
      <c r="C16" s="229" t="s">
        <v>34</v>
      </c>
      <c r="D16" s="229" t="s">
        <v>35</v>
      </c>
      <c r="E16" s="229">
        <v>30</v>
      </c>
      <c r="F16" s="229">
        <v>6206</v>
      </c>
      <c r="G16" s="230">
        <v>23000</v>
      </c>
      <c r="H16" s="230">
        <v>22980</v>
      </c>
      <c r="I16" s="230">
        <v>20</v>
      </c>
      <c r="J16" s="231">
        <f t="shared" si="0"/>
        <v>8.6956521739130438E-4</v>
      </c>
      <c r="K16" s="229"/>
      <c r="L16" s="229"/>
      <c r="M16" s="229"/>
      <c r="N16" s="229"/>
      <c r="O16" s="229"/>
      <c r="P16" s="229"/>
      <c r="Q16" s="229"/>
      <c r="R16" s="229"/>
      <c r="S16" s="229"/>
    </row>
    <row r="17" spans="1:19" ht="15" customHeight="1" x14ac:dyDescent="0.25">
      <c r="A17" s="228">
        <v>46206</v>
      </c>
      <c r="B17" s="229" t="s">
        <v>293</v>
      </c>
      <c r="C17" s="229" t="s">
        <v>50</v>
      </c>
      <c r="D17" s="229" t="s">
        <v>51</v>
      </c>
      <c r="E17" s="229" t="s">
        <v>52</v>
      </c>
      <c r="F17" s="229">
        <v>8001</v>
      </c>
      <c r="G17" s="230">
        <v>0</v>
      </c>
      <c r="H17" s="230">
        <v>0</v>
      </c>
      <c r="I17" s="230">
        <v>0</v>
      </c>
      <c r="J17" s="231" t="str">
        <f t="shared" si="0"/>
        <v/>
      </c>
      <c r="K17" s="229">
        <v>300</v>
      </c>
      <c r="L17" s="229">
        <v>180</v>
      </c>
      <c r="M17" s="229"/>
      <c r="N17" s="229"/>
      <c r="O17" s="229"/>
      <c r="P17" s="229"/>
      <c r="Q17" s="229"/>
      <c r="R17" s="229"/>
      <c r="S17" s="229"/>
    </row>
    <row r="18" spans="1:19" ht="15" customHeight="1" x14ac:dyDescent="0.25">
      <c r="A18" s="228">
        <v>46206</v>
      </c>
      <c r="B18" s="229" t="s">
        <v>294</v>
      </c>
      <c r="C18" s="229" t="s">
        <v>34</v>
      </c>
      <c r="D18" s="229" t="s">
        <v>35</v>
      </c>
      <c r="E18" s="229">
        <v>30</v>
      </c>
      <c r="F18" s="229">
        <v>6206</v>
      </c>
      <c r="G18" s="230">
        <v>15000</v>
      </c>
      <c r="H18" s="230">
        <v>14890</v>
      </c>
      <c r="I18" s="230">
        <v>110</v>
      </c>
      <c r="J18" s="231">
        <f t="shared" si="0"/>
        <v>7.3333333333333332E-3</v>
      </c>
      <c r="K18" s="229">
        <v>120</v>
      </c>
      <c r="L18" s="229"/>
      <c r="M18" s="229"/>
      <c r="N18" s="229"/>
      <c r="O18" s="229"/>
      <c r="P18" s="229"/>
      <c r="Q18" s="229"/>
      <c r="R18" s="229"/>
      <c r="S18" s="229"/>
    </row>
    <row r="19" spans="1:19" ht="15" customHeight="1" x14ac:dyDescent="0.25">
      <c r="A19" s="228">
        <v>46206</v>
      </c>
      <c r="B19" s="229" t="s">
        <v>295</v>
      </c>
      <c r="C19" s="229" t="s">
        <v>28</v>
      </c>
      <c r="D19" s="229" t="s">
        <v>29</v>
      </c>
      <c r="E19" s="229">
        <v>25</v>
      </c>
      <c r="F19" s="229">
        <v>3447</v>
      </c>
      <c r="G19" s="230">
        <v>13000</v>
      </c>
      <c r="H19" s="230">
        <v>12905</v>
      </c>
      <c r="I19" s="230">
        <v>95</v>
      </c>
      <c r="J19" s="231">
        <f t="shared" si="0"/>
        <v>7.3076923076923076E-3</v>
      </c>
      <c r="K19" s="229">
        <v>180</v>
      </c>
      <c r="L19" s="229"/>
      <c r="M19" s="229"/>
      <c r="N19" s="229"/>
      <c r="O19" s="229"/>
      <c r="P19" s="229"/>
      <c r="Q19" s="229"/>
      <c r="R19" s="229"/>
      <c r="S19" s="229"/>
    </row>
    <row r="20" spans="1:19" ht="15" customHeight="1" x14ac:dyDescent="0.25">
      <c r="A20" s="228">
        <v>46206</v>
      </c>
      <c r="B20" s="229" t="s">
        <v>296</v>
      </c>
      <c r="C20" s="229" t="s">
        <v>34</v>
      </c>
      <c r="D20" s="229" t="s">
        <v>35</v>
      </c>
      <c r="E20" s="229">
        <v>30</v>
      </c>
      <c r="F20" s="229">
        <v>6206</v>
      </c>
      <c r="G20" s="230">
        <v>26392</v>
      </c>
      <c r="H20" s="230">
        <v>25942</v>
      </c>
      <c r="I20" s="230">
        <v>450</v>
      </c>
      <c r="J20" s="231">
        <f t="shared" si="0"/>
        <v>1.7050621400424373E-2</v>
      </c>
      <c r="K20" s="229"/>
      <c r="L20" s="229"/>
      <c r="M20" s="229"/>
      <c r="N20" s="229"/>
      <c r="O20" s="229"/>
      <c r="P20" s="229"/>
      <c r="Q20" s="229"/>
      <c r="R20" s="229"/>
      <c r="S20" s="229"/>
    </row>
    <row r="21" spans="1:19" ht="15" customHeight="1" x14ac:dyDescent="0.25">
      <c r="A21" s="228">
        <v>46207</v>
      </c>
      <c r="B21" s="229" t="s">
        <v>297</v>
      </c>
      <c r="C21" s="229" t="s">
        <v>28</v>
      </c>
      <c r="D21" s="229" t="s">
        <v>29</v>
      </c>
      <c r="E21" s="229">
        <v>25</v>
      </c>
      <c r="F21" s="229">
        <v>3447</v>
      </c>
      <c r="G21" s="230">
        <v>9000</v>
      </c>
      <c r="H21" s="230">
        <v>8780</v>
      </c>
      <c r="I21" s="230">
        <v>220</v>
      </c>
      <c r="J21" s="231">
        <f t="shared" si="0"/>
        <v>2.4444444444444446E-2</v>
      </c>
      <c r="K21" s="229"/>
      <c r="L21" s="229"/>
      <c r="M21" s="229"/>
      <c r="N21" s="229"/>
      <c r="O21" s="229">
        <v>240</v>
      </c>
      <c r="P21" s="229"/>
      <c r="Q21" s="229"/>
      <c r="R21" s="229"/>
      <c r="S21" s="229"/>
    </row>
    <row r="22" spans="1:19" ht="15" customHeight="1" x14ac:dyDescent="0.25">
      <c r="A22" s="228">
        <v>46207</v>
      </c>
      <c r="B22" s="229" t="s">
        <v>292</v>
      </c>
      <c r="C22" s="229" t="s">
        <v>34</v>
      </c>
      <c r="D22" s="229" t="s">
        <v>35</v>
      </c>
      <c r="E22" s="229">
        <v>30</v>
      </c>
      <c r="F22" s="229">
        <v>6206</v>
      </c>
      <c r="G22" s="230">
        <v>3570</v>
      </c>
      <c r="H22" s="230">
        <v>3565</v>
      </c>
      <c r="I22" s="230">
        <v>5</v>
      </c>
      <c r="J22" s="231">
        <f t="shared" si="0"/>
        <v>1.4005602240896359E-3</v>
      </c>
      <c r="K22" s="229"/>
      <c r="L22" s="229"/>
      <c r="M22" s="229"/>
      <c r="N22" s="229"/>
      <c r="O22" s="229">
        <v>360</v>
      </c>
      <c r="P22" s="229"/>
      <c r="Q22" s="229"/>
      <c r="R22" s="229"/>
      <c r="S22" s="229"/>
    </row>
    <row r="23" spans="1:19" ht="15" customHeight="1" x14ac:dyDescent="0.25">
      <c r="A23" s="228">
        <v>46207</v>
      </c>
      <c r="B23" s="229" t="s">
        <v>293</v>
      </c>
      <c r="C23" s="229" t="s">
        <v>28</v>
      </c>
      <c r="D23" s="229" t="s">
        <v>56</v>
      </c>
      <c r="E23" s="229" t="s">
        <v>54</v>
      </c>
      <c r="F23" s="229">
        <v>8014</v>
      </c>
      <c r="G23" s="230">
        <v>0</v>
      </c>
      <c r="H23" s="230">
        <v>0</v>
      </c>
      <c r="I23" s="230">
        <v>0</v>
      </c>
      <c r="J23" s="231" t="str">
        <f t="shared" si="0"/>
        <v/>
      </c>
      <c r="K23" s="229"/>
      <c r="L23" s="229"/>
      <c r="M23" s="229"/>
      <c r="N23" s="229">
        <v>480</v>
      </c>
      <c r="O23" s="229"/>
      <c r="P23" s="229"/>
      <c r="Q23" s="229"/>
      <c r="R23" s="229"/>
      <c r="S23" s="229"/>
    </row>
    <row r="24" spans="1:19" ht="15" customHeight="1" x14ac:dyDescent="0.25">
      <c r="A24" s="228">
        <v>46207</v>
      </c>
      <c r="B24" s="229" t="s">
        <v>294</v>
      </c>
      <c r="C24" s="229" t="s">
        <v>34</v>
      </c>
      <c r="D24" s="229" t="s">
        <v>35</v>
      </c>
      <c r="E24" s="229">
        <v>30</v>
      </c>
      <c r="F24" s="229">
        <v>6206</v>
      </c>
      <c r="G24" s="230">
        <v>10600</v>
      </c>
      <c r="H24" s="230">
        <v>10490</v>
      </c>
      <c r="I24" s="230">
        <v>110</v>
      </c>
      <c r="J24" s="231">
        <f t="shared" si="0"/>
        <v>1.0377358490566037E-2</v>
      </c>
      <c r="K24" s="229"/>
      <c r="L24" s="229"/>
      <c r="M24" s="229"/>
      <c r="N24" s="229"/>
      <c r="O24" s="229">
        <v>240</v>
      </c>
      <c r="P24" s="229"/>
      <c r="Q24" s="229"/>
      <c r="R24" s="229"/>
      <c r="S24" s="229"/>
    </row>
    <row r="25" spans="1:19" ht="15" customHeight="1" x14ac:dyDescent="0.25">
      <c r="A25" s="228">
        <v>46207</v>
      </c>
      <c r="B25" s="229" t="s">
        <v>295</v>
      </c>
      <c r="C25" s="229" t="s">
        <v>28</v>
      </c>
      <c r="D25" s="229" t="s">
        <v>29</v>
      </c>
      <c r="E25" s="229">
        <v>25</v>
      </c>
      <c r="F25" s="229">
        <v>3447</v>
      </c>
      <c r="G25" s="230">
        <v>9000</v>
      </c>
      <c r="H25" s="230">
        <v>8900</v>
      </c>
      <c r="I25" s="230">
        <v>100</v>
      </c>
      <c r="J25" s="231">
        <f t="shared" si="0"/>
        <v>1.1111111111111112E-2</v>
      </c>
      <c r="K25" s="229"/>
      <c r="L25" s="229"/>
      <c r="M25" s="229"/>
      <c r="N25" s="229"/>
      <c r="O25" s="229">
        <v>240</v>
      </c>
      <c r="P25" s="229"/>
      <c r="Q25" s="229"/>
      <c r="R25" s="229"/>
      <c r="S25" s="229"/>
    </row>
    <row r="26" spans="1:19" ht="15" customHeight="1" x14ac:dyDescent="0.25">
      <c r="A26" s="228">
        <v>46207</v>
      </c>
      <c r="B26" s="229" t="s">
        <v>296</v>
      </c>
      <c r="C26" s="229" t="s">
        <v>28</v>
      </c>
      <c r="D26" s="229" t="s">
        <v>29</v>
      </c>
      <c r="E26" s="229">
        <v>25</v>
      </c>
      <c r="F26" s="229">
        <v>3447</v>
      </c>
      <c r="G26" s="230">
        <v>10796</v>
      </c>
      <c r="H26" s="230">
        <v>10416</v>
      </c>
      <c r="I26" s="230">
        <v>380</v>
      </c>
      <c r="J26" s="231">
        <f t="shared" si="0"/>
        <v>3.5198221563542055E-2</v>
      </c>
      <c r="K26" s="229"/>
      <c r="L26" s="229"/>
      <c r="M26" s="229"/>
      <c r="N26" s="229"/>
      <c r="O26" s="229">
        <v>240</v>
      </c>
      <c r="P26" s="229"/>
      <c r="Q26" s="229"/>
      <c r="R26" s="229"/>
      <c r="S26" s="229"/>
    </row>
    <row r="27" spans="1:19" ht="15" customHeight="1" x14ac:dyDescent="0.25">
      <c r="A27" s="228">
        <v>46209</v>
      </c>
      <c r="B27" s="229" t="s">
        <v>297</v>
      </c>
      <c r="C27" s="229" t="s">
        <v>34</v>
      </c>
      <c r="D27" s="229" t="s">
        <v>35</v>
      </c>
      <c r="E27" s="229">
        <v>30</v>
      </c>
      <c r="F27" s="229">
        <v>6206</v>
      </c>
      <c r="G27" s="230">
        <v>25000</v>
      </c>
      <c r="H27" s="230">
        <v>24550</v>
      </c>
      <c r="I27" s="230">
        <v>450</v>
      </c>
      <c r="J27" s="231">
        <f t="shared" si="0"/>
        <v>1.7999999999999999E-2</v>
      </c>
      <c r="K27" s="229"/>
      <c r="L27" s="229"/>
      <c r="M27" s="229"/>
      <c r="N27" s="229"/>
      <c r="O27" s="229"/>
      <c r="P27" s="229"/>
      <c r="Q27" s="229"/>
      <c r="R27" s="229"/>
      <c r="S27" s="229"/>
    </row>
    <row r="28" spans="1:19" ht="15" customHeight="1" x14ac:dyDescent="0.25">
      <c r="A28" s="228">
        <v>46209</v>
      </c>
      <c r="B28" s="229" t="s">
        <v>292</v>
      </c>
      <c r="C28" s="229" t="s">
        <v>34</v>
      </c>
      <c r="D28" s="229" t="s">
        <v>35</v>
      </c>
      <c r="E28" s="229">
        <v>30</v>
      </c>
      <c r="F28" s="229">
        <v>6206</v>
      </c>
      <c r="G28" s="230">
        <v>11000</v>
      </c>
      <c r="H28" s="230">
        <v>10990</v>
      </c>
      <c r="I28" s="230">
        <v>10</v>
      </c>
      <c r="J28" s="231">
        <f t="shared" si="0"/>
        <v>9.0909090909090909E-4</v>
      </c>
      <c r="K28" s="229"/>
      <c r="L28" s="229"/>
      <c r="M28" s="229"/>
      <c r="N28" s="229"/>
      <c r="O28" s="229"/>
      <c r="P28" s="229"/>
      <c r="Q28" s="229"/>
      <c r="R28" s="229"/>
      <c r="S28" s="229"/>
    </row>
    <row r="29" spans="1:19" ht="15" customHeight="1" x14ac:dyDescent="0.25">
      <c r="A29" s="228">
        <v>46209</v>
      </c>
      <c r="B29" s="229" t="s">
        <v>292</v>
      </c>
      <c r="C29" s="229" t="s">
        <v>97</v>
      </c>
      <c r="D29" s="229" t="s">
        <v>98</v>
      </c>
      <c r="E29" s="229">
        <v>32</v>
      </c>
      <c r="F29" s="229">
        <v>5782</v>
      </c>
      <c r="G29" s="230">
        <v>11000</v>
      </c>
      <c r="H29" s="230">
        <v>10990</v>
      </c>
      <c r="I29" s="230">
        <v>10</v>
      </c>
      <c r="J29" s="231">
        <f t="shared" si="0"/>
        <v>9.0909090909090909E-4</v>
      </c>
      <c r="K29" s="229"/>
      <c r="L29" s="229"/>
      <c r="M29" s="229"/>
      <c r="N29" s="229"/>
      <c r="O29" s="229"/>
      <c r="P29" s="229"/>
      <c r="Q29" s="229"/>
      <c r="R29" s="229"/>
      <c r="S29" s="229"/>
    </row>
    <row r="30" spans="1:19" ht="15" customHeight="1" x14ac:dyDescent="0.25">
      <c r="A30" s="228">
        <v>46209</v>
      </c>
      <c r="B30" s="229" t="s">
        <v>293</v>
      </c>
      <c r="C30" s="229" t="s">
        <v>28</v>
      </c>
      <c r="D30" s="229" t="s">
        <v>56</v>
      </c>
      <c r="E30" s="229" t="s">
        <v>54</v>
      </c>
      <c r="F30" s="229">
        <v>8014</v>
      </c>
      <c r="G30" s="230">
        <v>6200</v>
      </c>
      <c r="H30" s="230">
        <v>5400</v>
      </c>
      <c r="I30" s="230">
        <v>800</v>
      </c>
      <c r="J30" s="231">
        <f t="shared" si="0"/>
        <v>0.12903225806451613</v>
      </c>
      <c r="K30" s="229">
        <v>150</v>
      </c>
      <c r="L30" s="229">
        <v>100</v>
      </c>
      <c r="M30" s="229"/>
      <c r="N30" s="229"/>
      <c r="O30" s="229"/>
      <c r="P30" s="229">
        <v>150</v>
      </c>
      <c r="Q30" s="229"/>
      <c r="R30" s="229"/>
      <c r="S30" s="229"/>
    </row>
    <row r="31" spans="1:19" ht="15" customHeight="1" x14ac:dyDescent="0.25">
      <c r="A31" s="228">
        <v>46209</v>
      </c>
      <c r="B31" s="229" t="s">
        <v>294</v>
      </c>
      <c r="C31" s="229" t="s">
        <v>34</v>
      </c>
      <c r="D31" s="229" t="s">
        <v>35</v>
      </c>
      <c r="E31" s="229">
        <v>30</v>
      </c>
      <c r="F31" s="229">
        <v>6206</v>
      </c>
      <c r="G31" s="230">
        <v>20000</v>
      </c>
      <c r="H31" s="230">
        <v>19900</v>
      </c>
      <c r="I31" s="230">
        <v>100</v>
      </c>
      <c r="J31" s="231">
        <f t="shared" si="0"/>
        <v>5.0000000000000001E-3</v>
      </c>
      <c r="K31" s="229">
        <v>60</v>
      </c>
      <c r="L31" s="229"/>
      <c r="M31" s="229"/>
      <c r="N31" s="229"/>
      <c r="O31" s="229"/>
      <c r="P31" s="229"/>
      <c r="Q31" s="229"/>
      <c r="R31" s="229"/>
      <c r="S31" s="229"/>
    </row>
    <row r="32" spans="1:19" ht="15" customHeight="1" x14ac:dyDescent="0.25">
      <c r="A32" s="228">
        <v>46209</v>
      </c>
      <c r="B32" s="229" t="s">
        <v>295</v>
      </c>
      <c r="C32" s="229" t="s">
        <v>28</v>
      </c>
      <c r="D32" s="229" t="s">
        <v>29</v>
      </c>
      <c r="E32" s="229">
        <v>25</v>
      </c>
      <c r="F32" s="229">
        <v>3447</v>
      </c>
      <c r="G32" s="230">
        <v>7000</v>
      </c>
      <c r="H32" s="230">
        <v>6915</v>
      </c>
      <c r="I32" s="230">
        <v>85</v>
      </c>
      <c r="J32" s="231">
        <f t="shared" si="0"/>
        <v>1.2142857142857143E-2</v>
      </c>
      <c r="K32" s="229"/>
      <c r="L32" s="229"/>
      <c r="M32" s="229"/>
      <c r="N32" s="229"/>
      <c r="O32" s="229"/>
      <c r="P32" s="229"/>
      <c r="Q32" s="229"/>
      <c r="R32" s="229"/>
      <c r="S32" s="229"/>
    </row>
    <row r="33" spans="1:19" ht="15" customHeight="1" x14ac:dyDescent="0.25">
      <c r="A33" s="228">
        <v>46209</v>
      </c>
      <c r="B33" s="229" t="s">
        <v>296</v>
      </c>
      <c r="C33" s="229" t="s">
        <v>34</v>
      </c>
      <c r="D33" s="229" t="s">
        <v>35</v>
      </c>
      <c r="E33" s="229">
        <v>30</v>
      </c>
      <c r="F33" s="229">
        <v>6206</v>
      </c>
      <c r="G33" s="230">
        <v>22544</v>
      </c>
      <c r="H33" s="230">
        <v>22134</v>
      </c>
      <c r="I33" s="230">
        <v>410</v>
      </c>
      <c r="J33" s="231">
        <f t="shared" si="0"/>
        <v>1.8186657203690559E-2</v>
      </c>
      <c r="K33" s="229"/>
      <c r="L33" s="229"/>
      <c r="M33" s="229"/>
      <c r="N33" s="229"/>
      <c r="O33" s="229"/>
      <c r="P33" s="229"/>
      <c r="Q33" s="229"/>
      <c r="R33" s="229"/>
      <c r="S33" s="229"/>
    </row>
    <row r="34" spans="1:19" ht="15" customHeight="1" x14ac:dyDescent="0.25">
      <c r="A34" s="228">
        <v>46210</v>
      </c>
      <c r="B34" s="229" t="s">
        <v>291</v>
      </c>
      <c r="C34" s="229" t="s">
        <v>28</v>
      </c>
      <c r="D34" s="229" t="s">
        <v>29</v>
      </c>
      <c r="E34" s="229">
        <v>25</v>
      </c>
      <c r="F34" s="229">
        <v>3447</v>
      </c>
      <c r="G34" s="230">
        <v>2500</v>
      </c>
      <c r="H34" s="230">
        <v>2450</v>
      </c>
      <c r="I34" s="230">
        <v>50</v>
      </c>
      <c r="J34" s="231">
        <f t="shared" si="0"/>
        <v>0.02</v>
      </c>
      <c r="K34" s="229"/>
      <c r="L34" s="229"/>
      <c r="M34" s="229"/>
      <c r="N34" s="229"/>
      <c r="O34" s="229"/>
      <c r="P34" s="229"/>
      <c r="Q34" s="229"/>
      <c r="R34" s="229"/>
      <c r="S34" s="229"/>
    </row>
    <row r="35" spans="1:19" ht="15" customHeight="1" x14ac:dyDescent="0.25">
      <c r="A35" s="228">
        <v>46210</v>
      </c>
      <c r="B35" s="229" t="s">
        <v>297</v>
      </c>
      <c r="C35" s="229" t="s">
        <v>34</v>
      </c>
      <c r="D35" s="229" t="s">
        <v>35</v>
      </c>
      <c r="E35" s="229">
        <v>30</v>
      </c>
      <c r="F35" s="229">
        <v>6206</v>
      </c>
      <c r="G35" s="230">
        <v>4000</v>
      </c>
      <c r="H35" s="230">
        <v>3900</v>
      </c>
      <c r="I35" s="230">
        <v>100</v>
      </c>
      <c r="J35" s="231">
        <f t="shared" ref="J35:J66" si="1">IFERROR(I35/(H35+I35),"")</f>
        <v>2.5000000000000001E-2</v>
      </c>
      <c r="K35" s="229"/>
      <c r="L35" s="229"/>
      <c r="M35" s="229"/>
      <c r="N35" s="229"/>
      <c r="O35" s="229"/>
      <c r="P35" s="229"/>
      <c r="Q35" s="229"/>
      <c r="R35" s="229"/>
      <c r="S35" s="229"/>
    </row>
    <row r="36" spans="1:19" ht="15" customHeight="1" x14ac:dyDescent="0.25">
      <c r="A36" s="228">
        <v>46210</v>
      </c>
      <c r="B36" s="229" t="s">
        <v>292</v>
      </c>
      <c r="C36" s="229" t="s">
        <v>34</v>
      </c>
      <c r="D36" s="229" t="s">
        <v>35</v>
      </c>
      <c r="E36" s="229">
        <v>30</v>
      </c>
      <c r="F36" s="229">
        <v>6206</v>
      </c>
      <c r="G36" s="230">
        <v>0</v>
      </c>
      <c r="H36" s="230">
        <v>0</v>
      </c>
      <c r="I36" s="230">
        <v>0</v>
      </c>
      <c r="J36" s="231" t="str">
        <f t="shared" si="1"/>
        <v/>
      </c>
      <c r="K36" s="229"/>
      <c r="L36" s="229"/>
      <c r="M36" s="229"/>
      <c r="N36" s="229"/>
      <c r="O36" s="229"/>
      <c r="P36" s="229"/>
      <c r="Q36" s="229"/>
      <c r="R36" s="229"/>
      <c r="S36" s="229"/>
    </row>
    <row r="37" spans="1:19" ht="15" customHeight="1" x14ac:dyDescent="0.25">
      <c r="A37" s="228">
        <v>46210</v>
      </c>
      <c r="B37" s="229" t="s">
        <v>293</v>
      </c>
      <c r="C37" s="229" t="s">
        <v>28</v>
      </c>
      <c r="D37" s="229" t="s">
        <v>56</v>
      </c>
      <c r="E37" s="229" t="s">
        <v>54</v>
      </c>
      <c r="F37" s="229">
        <v>8014</v>
      </c>
      <c r="G37" s="230">
        <v>4600</v>
      </c>
      <c r="H37" s="230">
        <v>4600</v>
      </c>
      <c r="I37" s="230">
        <v>0</v>
      </c>
      <c r="J37" s="231">
        <f t="shared" si="1"/>
        <v>0</v>
      </c>
      <c r="K37" s="229"/>
      <c r="L37" s="229"/>
      <c r="M37" s="229"/>
      <c r="N37" s="229"/>
      <c r="O37" s="229"/>
      <c r="P37" s="229"/>
      <c r="Q37" s="229"/>
      <c r="R37" s="229"/>
      <c r="S37" s="229"/>
    </row>
    <row r="38" spans="1:19" ht="15" customHeight="1" x14ac:dyDescent="0.25">
      <c r="A38" s="228">
        <v>46210</v>
      </c>
      <c r="B38" s="229" t="s">
        <v>294</v>
      </c>
      <c r="C38" s="229" t="s">
        <v>34</v>
      </c>
      <c r="D38" s="229" t="s">
        <v>35</v>
      </c>
      <c r="E38" s="229">
        <v>30</v>
      </c>
      <c r="F38" s="229">
        <v>6206</v>
      </c>
      <c r="G38" s="230">
        <v>3000</v>
      </c>
      <c r="H38" s="230">
        <v>2935</v>
      </c>
      <c r="I38" s="230">
        <v>65</v>
      </c>
      <c r="J38" s="231">
        <f t="shared" si="1"/>
        <v>2.1666666666666667E-2</v>
      </c>
      <c r="K38" s="229"/>
      <c r="L38" s="229"/>
      <c r="M38" s="229"/>
      <c r="N38" s="229"/>
      <c r="O38" s="229">
        <v>120</v>
      </c>
      <c r="P38" s="229">
        <v>120</v>
      </c>
      <c r="Q38" s="229"/>
      <c r="R38" s="229"/>
      <c r="S38" s="229"/>
    </row>
    <row r="39" spans="1:19" ht="15" customHeight="1" x14ac:dyDescent="0.25">
      <c r="A39" s="228">
        <v>46210</v>
      </c>
      <c r="B39" s="229" t="s">
        <v>295</v>
      </c>
      <c r="C39" s="229" t="s">
        <v>28</v>
      </c>
      <c r="D39" s="229" t="s">
        <v>29</v>
      </c>
      <c r="E39" s="229">
        <v>25</v>
      </c>
      <c r="F39" s="229">
        <v>3447</v>
      </c>
      <c r="G39" s="230">
        <v>3000</v>
      </c>
      <c r="H39" s="230">
        <v>2950</v>
      </c>
      <c r="I39" s="230">
        <v>50</v>
      </c>
      <c r="J39" s="231">
        <f t="shared" si="1"/>
        <v>1.6666666666666666E-2</v>
      </c>
      <c r="K39" s="229"/>
      <c r="L39" s="229"/>
      <c r="M39" s="229"/>
      <c r="N39" s="229"/>
      <c r="O39" s="229"/>
      <c r="P39" s="229"/>
      <c r="Q39" s="229"/>
      <c r="R39" s="229"/>
      <c r="S39" s="229"/>
    </row>
    <row r="40" spans="1:19" ht="15" customHeight="1" x14ac:dyDescent="0.25">
      <c r="A40" s="228">
        <v>46210</v>
      </c>
      <c r="B40" s="229" t="s">
        <v>296</v>
      </c>
      <c r="C40" s="229" t="s">
        <v>34</v>
      </c>
      <c r="D40" s="229" t="s">
        <v>35</v>
      </c>
      <c r="E40" s="229">
        <v>30</v>
      </c>
      <c r="F40" s="229">
        <v>6206</v>
      </c>
      <c r="G40" s="230">
        <v>0</v>
      </c>
      <c r="H40" s="230">
        <v>0</v>
      </c>
      <c r="I40" s="230">
        <v>0</v>
      </c>
      <c r="J40" s="231" t="str">
        <f t="shared" si="1"/>
        <v/>
      </c>
      <c r="K40" s="229"/>
      <c r="L40" s="229"/>
      <c r="M40" s="229"/>
      <c r="N40" s="229"/>
      <c r="O40" s="229"/>
      <c r="P40" s="229"/>
      <c r="Q40" s="229"/>
      <c r="R40" s="229"/>
      <c r="S40" s="229"/>
    </row>
    <row r="41" spans="1:19" ht="15" customHeight="1" x14ac:dyDescent="0.25">
      <c r="A41" s="228">
        <v>46211</v>
      </c>
      <c r="B41" s="229" t="s">
        <v>297</v>
      </c>
      <c r="C41" s="229" t="s">
        <v>34</v>
      </c>
      <c r="D41" s="229" t="s">
        <v>35</v>
      </c>
      <c r="E41" s="229">
        <v>30</v>
      </c>
      <c r="F41" s="229">
        <v>6206</v>
      </c>
      <c r="G41" s="230">
        <v>22000</v>
      </c>
      <c r="H41" s="230">
        <v>21615</v>
      </c>
      <c r="I41" s="230">
        <v>385</v>
      </c>
      <c r="J41" s="231">
        <f t="shared" si="1"/>
        <v>1.7500000000000002E-2</v>
      </c>
      <c r="K41" s="229"/>
      <c r="L41" s="229"/>
      <c r="M41" s="229"/>
      <c r="N41" s="229"/>
      <c r="O41" s="229"/>
      <c r="P41" s="229"/>
      <c r="Q41" s="229"/>
      <c r="R41" s="229"/>
      <c r="S41" s="229"/>
    </row>
    <row r="42" spans="1:19" ht="15" customHeight="1" x14ac:dyDescent="0.25">
      <c r="A42" s="228">
        <v>46211</v>
      </c>
      <c r="B42" s="229" t="s">
        <v>292</v>
      </c>
      <c r="C42" s="229" t="s">
        <v>34</v>
      </c>
      <c r="D42" s="229" t="s">
        <v>35</v>
      </c>
      <c r="E42" s="229">
        <v>30</v>
      </c>
      <c r="F42" s="229">
        <v>6206</v>
      </c>
      <c r="G42" s="230">
        <v>22134</v>
      </c>
      <c r="H42" s="230">
        <v>22114</v>
      </c>
      <c r="I42" s="230">
        <v>20</v>
      </c>
      <c r="J42" s="231">
        <f t="shared" si="1"/>
        <v>9.0358724134815215E-4</v>
      </c>
      <c r="K42" s="229"/>
      <c r="L42" s="229"/>
      <c r="M42" s="229"/>
      <c r="N42" s="229"/>
      <c r="O42" s="229"/>
      <c r="P42" s="229"/>
      <c r="Q42" s="229"/>
      <c r="R42" s="229"/>
      <c r="S42" s="229"/>
    </row>
    <row r="43" spans="1:19" ht="15" customHeight="1" x14ac:dyDescent="0.25">
      <c r="A43" s="228">
        <v>46211</v>
      </c>
      <c r="B43" s="229" t="s">
        <v>293</v>
      </c>
      <c r="C43" s="229" t="s">
        <v>28</v>
      </c>
      <c r="D43" s="229" t="s">
        <v>298</v>
      </c>
      <c r="E43" s="229" t="s">
        <v>54</v>
      </c>
      <c r="F43" s="229">
        <v>8006</v>
      </c>
      <c r="G43" s="230">
        <v>0</v>
      </c>
      <c r="H43" s="230">
        <v>0</v>
      </c>
      <c r="I43" s="230">
        <v>0</v>
      </c>
      <c r="J43" s="231" t="str">
        <f t="shared" si="1"/>
        <v/>
      </c>
      <c r="K43" s="229"/>
      <c r="L43" s="229">
        <v>300</v>
      </c>
      <c r="M43" s="229"/>
      <c r="N43" s="229">
        <v>480</v>
      </c>
      <c r="O43" s="229"/>
      <c r="P43" s="229"/>
      <c r="Q43" s="229"/>
      <c r="R43" s="229"/>
      <c r="S43" s="229"/>
    </row>
    <row r="44" spans="1:19" ht="15" customHeight="1" x14ac:dyDescent="0.25">
      <c r="A44" s="228">
        <v>46211</v>
      </c>
      <c r="B44" s="229" t="s">
        <v>294</v>
      </c>
      <c r="C44" s="229" t="s">
        <v>34</v>
      </c>
      <c r="D44" s="229" t="s">
        <v>35</v>
      </c>
      <c r="E44" s="229">
        <v>30</v>
      </c>
      <c r="F44" s="229">
        <v>6206</v>
      </c>
      <c r="G44" s="230">
        <v>21000</v>
      </c>
      <c r="H44" s="230">
        <v>20860</v>
      </c>
      <c r="I44" s="230">
        <v>140</v>
      </c>
      <c r="J44" s="231">
        <f t="shared" si="1"/>
        <v>6.6666666666666671E-3</v>
      </c>
      <c r="K44" s="229"/>
      <c r="L44" s="229"/>
      <c r="M44" s="229"/>
      <c r="N44" s="229"/>
      <c r="O44" s="229"/>
      <c r="P44" s="229"/>
      <c r="Q44" s="229"/>
      <c r="R44" s="229"/>
      <c r="S44" s="229"/>
    </row>
    <row r="45" spans="1:19" ht="15" customHeight="1" x14ac:dyDescent="0.25">
      <c r="A45" s="228">
        <v>46211</v>
      </c>
      <c r="B45" s="229" t="s">
        <v>296</v>
      </c>
      <c r="C45" s="229" t="s">
        <v>34</v>
      </c>
      <c r="D45" s="229" t="s">
        <v>35</v>
      </c>
      <c r="E45" s="229">
        <v>30</v>
      </c>
      <c r="F45" s="229">
        <v>6206</v>
      </c>
      <c r="G45" s="230">
        <v>24588</v>
      </c>
      <c r="H45" s="230">
        <v>24038</v>
      </c>
      <c r="I45" s="230">
        <v>550</v>
      </c>
      <c r="J45" s="231">
        <f t="shared" si="1"/>
        <v>2.2368635106556043E-2</v>
      </c>
      <c r="K45" s="229"/>
      <c r="L45" s="229"/>
      <c r="M45" s="229"/>
      <c r="N45" s="229"/>
      <c r="O45" s="229"/>
      <c r="P45" s="229"/>
      <c r="Q45" s="229"/>
      <c r="R45" s="229"/>
      <c r="S45" s="229"/>
    </row>
    <row r="46" spans="1:19" ht="15" customHeight="1" x14ac:dyDescent="0.25">
      <c r="A46" s="228">
        <v>46212</v>
      </c>
      <c r="B46" s="229" t="s">
        <v>291</v>
      </c>
      <c r="C46" s="229" t="s">
        <v>34</v>
      </c>
      <c r="D46" s="229" t="s">
        <v>35</v>
      </c>
      <c r="E46" s="229">
        <v>30</v>
      </c>
      <c r="F46" s="229">
        <v>6206</v>
      </c>
      <c r="G46" s="230">
        <v>7000</v>
      </c>
      <c r="H46" s="230">
        <v>6890</v>
      </c>
      <c r="I46" s="230">
        <v>110</v>
      </c>
      <c r="J46" s="231">
        <f t="shared" si="1"/>
        <v>1.5714285714285715E-2</v>
      </c>
      <c r="K46" s="229"/>
      <c r="L46" s="229"/>
      <c r="M46" s="229"/>
      <c r="N46" s="229"/>
      <c r="O46" s="229"/>
      <c r="P46" s="229"/>
      <c r="Q46" s="229"/>
      <c r="R46" s="229"/>
      <c r="S46" s="229"/>
    </row>
    <row r="47" spans="1:19" ht="15" customHeight="1" x14ac:dyDescent="0.25">
      <c r="A47" s="228">
        <v>46212</v>
      </c>
      <c r="B47" s="229" t="s">
        <v>297</v>
      </c>
      <c r="C47" s="229" t="s">
        <v>28</v>
      </c>
      <c r="D47" s="229" t="s">
        <v>29</v>
      </c>
      <c r="E47" s="229">
        <v>25</v>
      </c>
      <c r="F47" s="229">
        <v>3447</v>
      </c>
      <c r="G47" s="230">
        <v>8000</v>
      </c>
      <c r="H47" s="230">
        <v>0</v>
      </c>
      <c r="I47" s="230">
        <v>135</v>
      </c>
      <c r="J47" s="231">
        <f t="shared" si="1"/>
        <v>1</v>
      </c>
      <c r="K47" s="229"/>
      <c r="L47" s="229"/>
      <c r="M47" s="229">
        <v>120</v>
      </c>
      <c r="N47" s="229"/>
      <c r="O47" s="229"/>
      <c r="P47" s="229"/>
      <c r="Q47" s="229"/>
      <c r="R47" s="229"/>
      <c r="S47" s="229"/>
    </row>
    <row r="48" spans="1:19" ht="15" customHeight="1" x14ac:dyDescent="0.25">
      <c r="A48" s="228">
        <v>46212</v>
      </c>
      <c r="B48" s="229" t="s">
        <v>292</v>
      </c>
      <c r="C48" s="229" t="s">
        <v>34</v>
      </c>
      <c r="D48" s="229" t="s">
        <v>35</v>
      </c>
      <c r="E48" s="229">
        <v>30</v>
      </c>
      <c r="F48" s="229">
        <v>6206</v>
      </c>
      <c r="G48" s="230">
        <v>24038</v>
      </c>
      <c r="H48" s="230">
        <v>24018</v>
      </c>
      <c r="I48" s="230">
        <v>20</v>
      </c>
      <c r="J48" s="231">
        <f t="shared" si="1"/>
        <v>8.320159747067144E-4</v>
      </c>
      <c r="K48" s="229"/>
      <c r="L48" s="229"/>
      <c r="M48" s="229"/>
      <c r="N48" s="229"/>
      <c r="O48" s="229"/>
      <c r="P48" s="229"/>
      <c r="Q48" s="229"/>
      <c r="R48" s="229"/>
      <c r="S48" s="229"/>
    </row>
    <row r="49" spans="1:19" ht="15" customHeight="1" x14ac:dyDescent="0.25">
      <c r="A49" s="228">
        <v>46212</v>
      </c>
      <c r="B49" s="229" t="s">
        <v>293</v>
      </c>
      <c r="C49" s="229" t="s">
        <v>28</v>
      </c>
      <c r="D49" s="229" t="s">
        <v>298</v>
      </c>
      <c r="E49" s="229" t="s">
        <v>54</v>
      </c>
      <c r="F49" s="229">
        <v>8006</v>
      </c>
      <c r="G49" s="230">
        <v>0</v>
      </c>
      <c r="H49" s="230">
        <v>0</v>
      </c>
      <c r="I49" s="230">
        <v>0</v>
      </c>
      <c r="J49" s="231" t="str">
        <f t="shared" si="1"/>
        <v/>
      </c>
      <c r="K49" s="229"/>
      <c r="L49" s="229">
        <v>480</v>
      </c>
      <c r="M49" s="229"/>
      <c r="N49" s="229"/>
      <c r="O49" s="229"/>
      <c r="P49" s="229"/>
      <c r="Q49" s="229"/>
      <c r="R49" s="229"/>
      <c r="S49" s="229"/>
    </row>
    <row r="50" spans="1:19" ht="15" customHeight="1" x14ac:dyDescent="0.25">
      <c r="A50" s="228">
        <v>46212</v>
      </c>
      <c r="B50" s="229" t="s">
        <v>294</v>
      </c>
      <c r="C50" s="229" t="s">
        <v>34</v>
      </c>
      <c r="D50" s="229" t="s">
        <v>35</v>
      </c>
      <c r="E50" s="229">
        <v>30</v>
      </c>
      <c r="F50" s="229">
        <v>6206</v>
      </c>
      <c r="G50" s="230">
        <v>10000</v>
      </c>
      <c r="H50" s="230">
        <v>9900</v>
      </c>
      <c r="I50" s="230">
        <v>100</v>
      </c>
      <c r="J50" s="231">
        <f t="shared" si="1"/>
        <v>0.01</v>
      </c>
      <c r="K50" s="229">
        <v>240</v>
      </c>
      <c r="L50" s="229"/>
      <c r="M50" s="229"/>
      <c r="N50" s="229"/>
      <c r="O50" s="229"/>
      <c r="P50" s="229"/>
      <c r="Q50" s="229"/>
      <c r="R50" s="229"/>
      <c r="S50" s="229"/>
    </row>
    <row r="51" spans="1:19" ht="15" customHeight="1" x14ac:dyDescent="0.25">
      <c r="A51" s="228">
        <v>46212</v>
      </c>
      <c r="B51" s="229" t="s">
        <v>296</v>
      </c>
      <c r="C51" s="229" t="s">
        <v>28</v>
      </c>
      <c r="D51" s="229" t="s">
        <v>29</v>
      </c>
      <c r="E51" s="229">
        <v>25</v>
      </c>
      <c r="F51" s="229">
        <v>3447</v>
      </c>
      <c r="G51" s="230">
        <v>3480</v>
      </c>
      <c r="H51" s="230">
        <v>3360</v>
      </c>
      <c r="I51" s="230">
        <v>120</v>
      </c>
      <c r="J51" s="231">
        <f t="shared" si="1"/>
        <v>3.4482758620689655E-2</v>
      </c>
      <c r="K51" s="229"/>
      <c r="L51" s="229"/>
      <c r="M51" s="229"/>
      <c r="N51" s="229"/>
      <c r="O51" s="229">
        <v>180</v>
      </c>
      <c r="P51" s="229"/>
      <c r="Q51" s="229"/>
      <c r="R51" s="229"/>
      <c r="S51" s="229"/>
    </row>
    <row r="52" spans="1:19" ht="15" customHeight="1" x14ac:dyDescent="0.25">
      <c r="A52" s="228">
        <v>46212</v>
      </c>
      <c r="B52" s="229" t="s">
        <v>299</v>
      </c>
      <c r="C52" s="229" t="s">
        <v>34</v>
      </c>
      <c r="D52" s="229" t="s">
        <v>35</v>
      </c>
      <c r="E52" s="229">
        <v>30</v>
      </c>
      <c r="F52" s="229">
        <v>6206</v>
      </c>
      <c r="G52" s="230">
        <v>10827</v>
      </c>
      <c r="H52" s="230">
        <v>10472</v>
      </c>
      <c r="I52" s="230">
        <v>355</v>
      </c>
      <c r="J52" s="231">
        <f t="shared" si="1"/>
        <v>3.2788399371940516E-2</v>
      </c>
      <c r="K52" s="229"/>
      <c r="L52" s="229"/>
      <c r="M52" s="229"/>
      <c r="N52" s="229"/>
      <c r="O52" s="229"/>
      <c r="P52" s="229"/>
      <c r="Q52" s="229"/>
      <c r="R52" s="229"/>
      <c r="S52" s="229"/>
    </row>
    <row r="53" spans="1:19" ht="15" customHeight="1" x14ac:dyDescent="0.25">
      <c r="A53" s="228">
        <v>46213</v>
      </c>
      <c r="B53" s="229" t="s">
        <v>297</v>
      </c>
      <c r="C53" s="229" t="s">
        <v>28</v>
      </c>
      <c r="D53" s="229" t="s">
        <v>29</v>
      </c>
      <c r="E53" s="229">
        <v>25</v>
      </c>
      <c r="F53" s="229">
        <v>3447</v>
      </c>
      <c r="G53" s="230">
        <v>15000</v>
      </c>
      <c r="H53" s="230">
        <v>14750</v>
      </c>
      <c r="I53" s="230">
        <v>250</v>
      </c>
      <c r="J53" s="231">
        <f t="shared" si="1"/>
        <v>1.6666666666666666E-2</v>
      </c>
      <c r="K53" s="229"/>
      <c r="L53" s="229"/>
      <c r="M53" s="229">
        <v>120</v>
      </c>
      <c r="N53" s="229"/>
      <c r="O53" s="229">
        <v>120</v>
      </c>
      <c r="P53" s="229"/>
      <c r="Q53" s="229"/>
      <c r="R53" s="229"/>
      <c r="S53" s="229"/>
    </row>
    <row r="54" spans="1:19" ht="15" customHeight="1" x14ac:dyDescent="0.25">
      <c r="A54" s="228">
        <v>46213</v>
      </c>
      <c r="B54" s="229" t="s">
        <v>292</v>
      </c>
      <c r="C54" s="229" t="s">
        <v>34</v>
      </c>
      <c r="D54" s="229" t="s">
        <v>35</v>
      </c>
      <c r="E54" s="229">
        <v>30</v>
      </c>
      <c r="F54" s="229">
        <v>6206</v>
      </c>
      <c r="G54" s="230">
        <v>0</v>
      </c>
      <c r="H54" s="230">
        <v>0</v>
      </c>
      <c r="I54" s="230">
        <v>0</v>
      </c>
      <c r="J54" s="231" t="str">
        <f t="shared" si="1"/>
        <v/>
      </c>
      <c r="K54" s="229">
        <v>720</v>
      </c>
      <c r="L54" s="229"/>
      <c r="M54" s="229"/>
      <c r="N54" s="229"/>
      <c r="O54" s="229">
        <v>480</v>
      </c>
      <c r="P54" s="229"/>
      <c r="Q54" s="229"/>
      <c r="R54" s="229"/>
      <c r="S54" s="229"/>
    </row>
    <row r="55" spans="1:19" ht="15" customHeight="1" x14ac:dyDescent="0.25">
      <c r="A55" s="228">
        <v>46213</v>
      </c>
      <c r="B55" s="229" t="s">
        <v>293</v>
      </c>
      <c r="C55" s="229" t="s">
        <v>28</v>
      </c>
      <c r="D55" s="229" t="s">
        <v>298</v>
      </c>
      <c r="E55" s="229" t="s">
        <v>54</v>
      </c>
      <c r="F55" s="229">
        <v>8006</v>
      </c>
      <c r="G55" s="230">
        <v>0</v>
      </c>
      <c r="H55" s="230">
        <v>0</v>
      </c>
      <c r="I55" s="230">
        <v>0</v>
      </c>
      <c r="J55" s="231" t="str">
        <f t="shared" si="1"/>
        <v/>
      </c>
      <c r="K55" s="229"/>
      <c r="L55" s="229">
        <v>480</v>
      </c>
      <c r="M55" s="229"/>
      <c r="N55" s="229"/>
      <c r="O55" s="229"/>
      <c r="P55" s="229"/>
      <c r="Q55" s="229"/>
      <c r="R55" s="229"/>
      <c r="S55" s="229"/>
    </row>
    <row r="56" spans="1:19" ht="15" customHeight="1" x14ac:dyDescent="0.25">
      <c r="A56" s="228">
        <v>46213</v>
      </c>
      <c r="B56" s="229" t="s">
        <v>294</v>
      </c>
      <c r="C56" s="229" t="s">
        <v>28</v>
      </c>
      <c r="D56" s="229" t="s">
        <v>29</v>
      </c>
      <c r="E56" s="229">
        <v>25</v>
      </c>
      <c r="F56" s="229">
        <v>3447</v>
      </c>
      <c r="G56" s="230">
        <v>16000</v>
      </c>
      <c r="H56" s="230">
        <v>15880</v>
      </c>
      <c r="I56" s="230">
        <v>120</v>
      </c>
      <c r="J56" s="231">
        <f t="shared" si="1"/>
        <v>7.4999999999999997E-3</v>
      </c>
      <c r="K56" s="229">
        <v>120</v>
      </c>
      <c r="L56" s="229"/>
      <c r="M56" s="229"/>
      <c r="N56" s="229"/>
      <c r="O56" s="229"/>
      <c r="P56" s="229"/>
      <c r="Q56" s="229"/>
      <c r="R56" s="229"/>
      <c r="S56" s="229"/>
    </row>
    <row r="57" spans="1:19" ht="15" customHeight="1" x14ac:dyDescent="0.25">
      <c r="A57" s="228">
        <v>46213</v>
      </c>
      <c r="B57" s="229" t="s">
        <v>296</v>
      </c>
      <c r="C57" s="229" t="s">
        <v>28</v>
      </c>
      <c r="D57" s="229" t="s">
        <v>29</v>
      </c>
      <c r="E57" s="229">
        <v>25</v>
      </c>
      <c r="F57" s="229">
        <v>3447</v>
      </c>
      <c r="G57" s="230">
        <v>13740</v>
      </c>
      <c r="H57" s="230">
        <v>13440</v>
      </c>
      <c r="I57" s="230">
        <v>300</v>
      </c>
      <c r="J57" s="231">
        <f t="shared" si="1"/>
        <v>2.1834061135371178E-2</v>
      </c>
      <c r="K57" s="229"/>
      <c r="L57" s="229"/>
      <c r="M57" s="229"/>
      <c r="N57" s="229"/>
      <c r="O57" s="229"/>
      <c r="P57" s="229"/>
      <c r="Q57" s="229"/>
      <c r="R57" s="229"/>
      <c r="S57" s="229"/>
    </row>
    <row r="58" spans="1:19" ht="15" customHeight="1" x14ac:dyDescent="0.25">
      <c r="A58" s="228">
        <v>46214</v>
      </c>
      <c r="B58" s="229" t="s">
        <v>297</v>
      </c>
      <c r="C58" s="229" t="s">
        <v>28</v>
      </c>
      <c r="D58" s="229" t="s">
        <v>29</v>
      </c>
      <c r="E58" s="229">
        <v>25</v>
      </c>
      <c r="F58" s="229">
        <v>3447</v>
      </c>
      <c r="G58" s="230">
        <v>18000</v>
      </c>
      <c r="H58" s="230">
        <v>17740</v>
      </c>
      <c r="I58" s="230">
        <v>260</v>
      </c>
      <c r="J58" s="231">
        <f t="shared" si="1"/>
        <v>1.4444444444444444E-2</v>
      </c>
      <c r="K58" s="229"/>
      <c r="L58" s="229"/>
      <c r="M58" s="229">
        <v>60</v>
      </c>
      <c r="N58" s="229"/>
      <c r="O58" s="229"/>
      <c r="P58" s="229"/>
      <c r="Q58" s="229"/>
      <c r="R58" s="229"/>
      <c r="S58" s="229"/>
    </row>
    <row r="59" spans="1:19" ht="15" customHeight="1" x14ac:dyDescent="0.25">
      <c r="A59" s="228">
        <v>46214</v>
      </c>
      <c r="B59" s="229" t="s">
        <v>292</v>
      </c>
      <c r="C59" s="229" t="s">
        <v>34</v>
      </c>
      <c r="D59" s="229" t="s">
        <v>35</v>
      </c>
      <c r="E59" s="229">
        <v>30</v>
      </c>
      <c r="F59" s="229">
        <v>6206</v>
      </c>
      <c r="G59" s="230">
        <v>0</v>
      </c>
      <c r="H59" s="230">
        <v>0</v>
      </c>
      <c r="I59" s="230">
        <v>0</v>
      </c>
      <c r="J59" s="231" t="str">
        <f t="shared" si="1"/>
        <v/>
      </c>
      <c r="K59" s="229"/>
      <c r="L59" s="229"/>
      <c r="M59" s="229"/>
      <c r="N59" s="229"/>
      <c r="O59" s="229">
        <v>480</v>
      </c>
      <c r="P59" s="229"/>
      <c r="Q59" s="229"/>
      <c r="R59" s="229"/>
      <c r="S59" s="229"/>
    </row>
    <row r="60" spans="1:19" ht="15" customHeight="1" x14ac:dyDescent="0.25">
      <c r="A60" s="228">
        <v>46214</v>
      </c>
      <c r="B60" s="229" t="s">
        <v>293</v>
      </c>
      <c r="C60" s="229" t="s">
        <v>28</v>
      </c>
      <c r="D60" s="229" t="s">
        <v>298</v>
      </c>
      <c r="E60" s="229" t="s">
        <v>54</v>
      </c>
      <c r="F60" s="229">
        <v>8006</v>
      </c>
      <c r="G60" s="230">
        <v>0</v>
      </c>
      <c r="H60" s="230">
        <v>0</v>
      </c>
      <c r="I60" s="230">
        <v>0</v>
      </c>
      <c r="J60" s="231" t="str">
        <f t="shared" si="1"/>
        <v/>
      </c>
      <c r="K60" s="229">
        <v>720</v>
      </c>
      <c r="L60" s="229"/>
      <c r="M60" s="229"/>
      <c r="N60" s="229"/>
      <c r="O60" s="229"/>
      <c r="P60" s="229"/>
      <c r="Q60" s="229"/>
      <c r="R60" s="229"/>
      <c r="S60" s="229"/>
    </row>
    <row r="61" spans="1:19" ht="15" customHeight="1" x14ac:dyDescent="0.25">
      <c r="A61" s="228">
        <v>46214</v>
      </c>
      <c r="B61" s="229" t="s">
        <v>294</v>
      </c>
      <c r="C61" s="229" t="s">
        <v>28</v>
      </c>
      <c r="D61" s="229" t="s">
        <v>29</v>
      </c>
      <c r="E61" s="229">
        <v>25</v>
      </c>
      <c r="F61" s="229">
        <v>3447</v>
      </c>
      <c r="G61" s="230">
        <v>12000</v>
      </c>
      <c r="H61" s="230">
        <v>11900</v>
      </c>
      <c r="I61" s="230">
        <v>100</v>
      </c>
      <c r="J61" s="231">
        <f t="shared" si="1"/>
        <v>8.3333333333333332E-3</v>
      </c>
      <c r="K61" s="229">
        <v>180</v>
      </c>
      <c r="L61" s="229"/>
      <c r="M61" s="229"/>
      <c r="N61" s="229"/>
      <c r="O61" s="229"/>
      <c r="P61" s="229"/>
      <c r="Q61" s="229"/>
      <c r="R61" s="229"/>
      <c r="S61" s="229"/>
    </row>
    <row r="62" spans="1:19" ht="15" customHeight="1" x14ac:dyDescent="0.25">
      <c r="A62" s="228">
        <v>46214</v>
      </c>
      <c r="B62" s="229" t="s">
        <v>296</v>
      </c>
      <c r="C62" s="229" t="s">
        <v>28</v>
      </c>
      <c r="D62" s="229" t="s">
        <v>29</v>
      </c>
      <c r="E62" s="229">
        <v>25</v>
      </c>
      <c r="F62" s="229">
        <v>3447</v>
      </c>
      <c r="G62" s="230">
        <v>17882</v>
      </c>
      <c r="H62" s="230">
        <v>17472</v>
      </c>
      <c r="I62" s="230">
        <v>410</v>
      </c>
      <c r="J62" s="231">
        <f t="shared" si="1"/>
        <v>2.2928084106923163E-2</v>
      </c>
      <c r="K62" s="229"/>
      <c r="L62" s="229"/>
      <c r="M62" s="229"/>
      <c r="N62" s="229"/>
      <c r="O62" s="229">
        <v>120</v>
      </c>
      <c r="P62" s="229"/>
      <c r="Q62" s="229"/>
      <c r="R62" s="229"/>
      <c r="S62" s="229"/>
    </row>
    <row r="63" spans="1:19" ht="15" customHeight="1" x14ac:dyDescent="0.25">
      <c r="A63" s="228">
        <v>46216</v>
      </c>
      <c r="B63" s="229" t="s">
        <v>297</v>
      </c>
      <c r="C63" s="229" t="s">
        <v>28</v>
      </c>
      <c r="D63" s="229" t="s">
        <v>29</v>
      </c>
      <c r="E63" s="229">
        <v>25</v>
      </c>
      <c r="F63" s="229">
        <v>3447</v>
      </c>
      <c r="G63" s="230">
        <v>20000</v>
      </c>
      <c r="H63" s="230">
        <v>19620</v>
      </c>
      <c r="I63" s="230">
        <v>380</v>
      </c>
      <c r="J63" s="231">
        <f t="shared" si="1"/>
        <v>1.9E-2</v>
      </c>
      <c r="K63" s="229"/>
      <c r="L63" s="229"/>
      <c r="M63" s="229"/>
      <c r="N63" s="229"/>
      <c r="O63" s="229"/>
      <c r="P63" s="229">
        <v>60</v>
      </c>
      <c r="Q63" s="229"/>
      <c r="R63" s="229"/>
      <c r="S63" s="229"/>
    </row>
    <row r="64" spans="1:19" ht="15" customHeight="1" x14ac:dyDescent="0.25">
      <c r="A64" s="228">
        <v>46216</v>
      </c>
      <c r="B64" s="229" t="s">
        <v>292</v>
      </c>
      <c r="C64" s="229" t="s">
        <v>34</v>
      </c>
      <c r="D64" s="229" t="s">
        <v>35</v>
      </c>
      <c r="E64" s="229">
        <v>30</v>
      </c>
      <c r="F64" s="229">
        <v>6206</v>
      </c>
      <c r="G64" s="230">
        <v>0</v>
      </c>
      <c r="H64" s="230">
        <v>0</v>
      </c>
      <c r="I64" s="230">
        <v>0</v>
      </c>
      <c r="J64" s="231" t="str">
        <f t="shared" si="1"/>
        <v/>
      </c>
      <c r="K64" s="229"/>
      <c r="L64" s="229"/>
      <c r="M64" s="229"/>
      <c r="N64" s="229"/>
      <c r="O64" s="229">
        <v>480</v>
      </c>
      <c r="P64" s="229"/>
      <c r="Q64" s="229"/>
      <c r="R64" s="229"/>
      <c r="S64" s="229"/>
    </row>
    <row r="65" spans="1:19" ht="15" customHeight="1" x14ac:dyDescent="0.25">
      <c r="A65" s="228">
        <v>46216</v>
      </c>
      <c r="B65" s="229" t="s">
        <v>293</v>
      </c>
      <c r="C65" s="229" t="s">
        <v>28</v>
      </c>
      <c r="D65" s="229" t="s">
        <v>298</v>
      </c>
      <c r="E65" s="229" t="s">
        <v>54</v>
      </c>
      <c r="F65" s="229">
        <v>8006</v>
      </c>
      <c r="G65" s="230">
        <v>0</v>
      </c>
      <c r="H65" s="230">
        <v>0</v>
      </c>
      <c r="I65" s="230">
        <v>0</v>
      </c>
      <c r="J65" s="231" t="str">
        <f t="shared" si="1"/>
        <v/>
      </c>
      <c r="K65" s="229">
        <v>720</v>
      </c>
      <c r="L65" s="229"/>
      <c r="M65" s="229"/>
      <c r="N65" s="229"/>
      <c r="O65" s="229"/>
      <c r="P65" s="229"/>
      <c r="Q65" s="229"/>
      <c r="R65" s="229"/>
      <c r="S65" s="229"/>
    </row>
    <row r="66" spans="1:19" ht="15" customHeight="1" x14ac:dyDescent="0.25">
      <c r="A66" s="228">
        <v>46216</v>
      </c>
      <c r="B66" s="229" t="s">
        <v>294</v>
      </c>
      <c r="C66" s="229" t="s">
        <v>28</v>
      </c>
      <c r="D66" s="229" t="s">
        <v>29</v>
      </c>
      <c r="E66" s="229">
        <v>25</v>
      </c>
      <c r="F66" s="229">
        <v>3447</v>
      </c>
      <c r="G66" s="230">
        <v>16500</v>
      </c>
      <c r="H66" s="230">
        <v>16380</v>
      </c>
      <c r="I66" s="230">
        <v>120</v>
      </c>
      <c r="J66" s="231">
        <f t="shared" si="1"/>
        <v>7.2727272727272727E-3</v>
      </c>
      <c r="K66" s="229"/>
      <c r="L66" s="229"/>
      <c r="M66" s="229"/>
      <c r="N66" s="229"/>
      <c r="O66" s="229"/>
      <c r="P66" s="229">
        <v>60</v>
      </c>
      <c r="Q66" s="229"/>
      <c r="R66" s="229"/>
      <c r="S66" s="229"/>
    </row>
    <row r="67" spans="1:19" ht="15" customHeight="1" x14ac:dyDescent="0.25">
      <c r="A67" s="228">
        <v>46216</v>
      </c>
      <c r="B67" s="229" t="s">
        <v>296</v>
      </c>
      <c r="C67" s="229" t="s">
        <v>28</v>
      </c>
      <c r="D67" s="229" t="s">
        <v>29</v>
      </c>
      <c r="E67" s="229">
        <v>25</v>
      </c>
      <c r="F67" s="229">
        <v>3447</v>
      </c>
      <c r="G67" s="230">
        <v>21146</v>
      </c>
      <c r="H67" s="230">
        <v>20496</v>
      </c>
      <c r="I67" s="230">
        <v>650</v>
      </c>
      <c r="J67" s="231">
        <f t="shared" ref="J67:J98" si="2">IFERROR(I67/(H67+I67),"")</f>
        <v>3.0738673980894731E-2</v>
      </c>
      <c r="K67" s="229"/>
      <c r="L67" s="229"/>
      <c r="M67" s="229"/>
      <c r="N67" s="229"/>
      <c r="O67" s="229"/>
      <c r="P67" s="229">
        <v>60</v>
      </c>
      <c r="Q67" s="229"/>
      <c r="R67" s="229"/>
      <c r="S67" s="229"/>
    </row>
    <row r="68" spans="1:19" ht="15" customHeight="1" x14ac:dyDescent="0.25">
      <c r="A68" s="228">
        <v>46217</v>
      </c>
      <c r="B68" s="229" t="s">
        <v>291</v>
      </c>
      <c r="C68" s="229" t="s">
        <v>34</v>
      </c>
      <c r="D68" s="229" t="s">
        <v>35</v>
      </c>
      <c r="E68" s="229">
        <v>30</v>
      </c>
      <c r="F68" s="229">
        <v>6206</v>
      </c>
      <c r="G68" s="230">
        <v>5000</v>
      </c>
      <c r="H68" s="230">
        <v>4880</v>
      </c>
      <c r="I68" s="230">
        <v>120</v>
      </c>
      <c r="J68" s="231">
        <f t="shared" si="2"/>
        <v>2.4E-2</v>
      </c>
      <c r="K68" s="229"/>
      <c r="L68" s="229"/>
      <c r="M68" s="229">
        <v>120</v>
      </c>
      <c r="N68" s="229"/>
      <c r="O68" s="229"/>
      <c r="P68" s="229"/>
      <c r="Q68" s="229"/>
      <c r="R68" s="229"/>
      <c r="S68" s="229"/>
    </row>
    <row r="69" spans="1:19" ht="15" customHeight="1" x14ac:dyDescent="0.25">
      <c r="A69" s="228">
        <v>46217</v>
      </c>
      <c r="B69" s="229" t="s">
        <v>297</v>
      </c>
      <c r="C69" s="229" t="s">
        <v>28</v>
      </c>
      <c r="D69" s="229" t="s">
        <v>29</v>
      </c>
      <c r="E69" s="229">
        <v>25</v>
      </c>
      <c r="F69" s="229">
        <v>3447</v>
      </c>
      <c r="G69" s="230">
        <v>5000</v>
      </c>
      <c r="H69" s="230">
        <v>4870</v>
      </c>
      <c r="I69" s="230">
        <v>130</v>
      </c>
      <c r="J69" s="231">
        <f t="shared" si="2"/>
        <v>2.5999999999999999E-2</v>
      </c>
      <c r="K69" s="229"/>
      <c r="L69" s="229"/>
      <c r="M69" s="229">
        <v>120</v>
      </c>
      <c r="N69" s="229"/>
      <c r="O69" s="229"/>
      <c r="P69" s="229"/>
      <c r="Q69" s="229"/>
      <c r="R69" s="229"/>
      <c r="S69" s="229"/>
    </row>
    <row r="70" spans="1:19" ht="15" customHeight="1" x14ac:dyDescent="0.25">
      <c r="A70" s="228">
        <v>46217</v>
      </c>
      <c r="B70" s="229" t="s">
        <v>292</v>
      </c>
      <c r="C70" s="229" t="s">
        <v>34</v>
      </c>
      <c r="D70" s="229" t="s">
        <v>35</v>
      </c>
      <c r="E70" s="229">
        <v>30</v>
      </c>
      <c r="F70" s="229">
        <v>6206</v>
      </c>
      <c r="G70" s="230">
        <v>0</v>
      </c>
      <c r="H70" s="230">
        <v>0</v>
      </c>
      <c r="I70" s="230">
        <v>0</v>
      </c>
      <c r="J70" s="231" t="str">
        <f t="shared" si="2"/>
        <v/>
      </c>
      <c r="K70" s="229"/>
      <c r="L70" s="229"/>
      <c r="M70" s="229"/>
      <c r="N70" s="229"/>
      <c r="O70" s="229">
        <v>480</v>
      </c>
      <c r="P70" s="229"/>
      <c r="Q70" s="229"/>
      <c r="R70" s="229"/>
      <c r="S70" s="229"/>
    </row>
    <row r="71" spans="1:19" ht="15" customHeight="1" x14ac:dyDescent="0.25">
      <c r="A71" s="228">
        <v>46217</v>
      </c>
      <c r="B71" s="229" t="s">
        <v>293</v>
      </c>
      <c r="C71" s="229" t="s">
        <v>28</v>
      </c>
      <c r="D71" s="229" t="s">
        <v>298</v>
      </c>
      <c r="E71" s="229" t="s">
        <v>54</v>
      </c>
      <c r="F71" s="229">
        <v>8006</v>
      </c>
      <c r="G71" s="230">
        <v>2300</v>
      </c>
      <c r="H71" s="230">
        <v>1800</v>
      </c>
      <c r="I71" s="230">
        <v>500</v>
      </c>
      <c r="J71" s="231">
        <f t="shared" si="2"/>
        <v>0.21739130434782608</v>
      </c>
      <c r="K71" s="229"/>
      <c r="L71" s="229"/>
      <c r="M71" s="229"/>
      <c r="N71" s="229"/>
      <c r="O71" s="229">
        <v>630</v>
      </c>
      <c r="P71" s="229"/>
      <c r="Q71" s="229"/>
      <c r="R71" s="229"/>
      <c r="S71" s="229"/>
    </row>
    <row r="72" spans="1:19" ht="15" customHeight="1" x14ac:dyDescent="0.25">
      <c r="A72" s="228">
        <v>46217</v>
      </c>
      <c r="B72" s="229" t="s">
        <v>294</v>
      </c>
      <c r="C72" s="229" t="s">
        <v>28</v>
      </c>
      <c r="D72" s="229" t="s">
        <v>29</v>
      </c>
      <c r="E72" s="229">
        <v>25</v>
      </c>
      <c r="F72" s="229">
        <v>3447</v>
      </c>
      <c r="G72" s="230">
        <v>2000</v>
      </c>
      <c r="H72" s="230">
        <v>1965</v>
      </c>
      <c r="I72" s="230">
        <v>35</v>
      </c>
      <c r="J72" s="231">
        <f t="shared" si="2"/>
        <v>1.7500000000000002E-2</v>
      </c>
      <c r="K72" s="229"/>
      <c r="L72" s="229"/>
      <c r="M72" s="229">
        <v>420</v>
      </c>
      <c r="N72" s="229"/>
      <c r="O72" s="229"/>
      <c r="P72" s="229"/>
      <c r="Q72" s="229"/>
      <c r="R72" s="229"/>
      <c r="S72" s="229"/>
    </row>
    <row r="73" spans="1:19" ht="15" customHeight="1" x14ac:dyDescent="0.25">
      <c r="A73" s="228">
        <v>46217</v>
      </c>
      <c r="B73" s="229" t="s">
        <v>296</v>
      </c>
      <c r="C73" s="229" t="s">
        <v>28</v>
      </c>
      <c r="D73" s="229" t="s">
        <v>29</v>
      </c>
      <c r="E73" s="229">
        <v>25</v>
      </c>
      <c r="F73" s="229">
        <v>3447</v>
      </c>
      <c r="G73" s="230">
        <v>10129</v>
      </c>
      <c r="H73" s="230">
        <v>9744</v>
      </c>
      <c r="I73" s="230">
        <v>385</v>
      </c>
      <c r="J73" s="231">
        <f t="shared" si="2"/>
        <v>3.8009675190048373E-2</v>
      </c>
      <c r="K73" s="229"/>
      <c r="L73" s="229"/>
      <c r="M73" s="229">
        <v>60</v>
      </c>
      <c r="N73" s="229"/>
      <c r="O73" s="229"/>
      <c r="P73" s="229"/>
      <c r="Q73" s="229"/>
      <c r="R73" s="229"/>
      <c r="S73" s="229"/>
    </row>
    <row r="74" spans="1:19" ht="15" customHeight="1" x14ac:dyDescent="0.25">
      <c r="A74" s="228">
        <v>46217</v>
      </c>
      <c r="B74" s="229" t="s">
        <v>299</v>
      </c>
      <c r="C74" s="229" t="s">
        <v>34</v>
      </c>
      <c r="D74" s="229" t="s">
        <v>35</v>
      </c>
      <c r="E74" s="229">
        <v>30</v>
      </c>
      <c r="F74" s="229">
        <v>6206</v>
      </c>
      <c r="G74" s="230">
        <v>5932</v>
      </c>
      <c r="H74" s="230">
        <v>5712</v>
      </c>
      <c r="I74" s="230">
        <v>220</v>
      </c>
      <c r="J74" s="231">
        <f t="shared" si="2"/>
        <v>3.7086985839514496E-2</v>
      </c>
      <c r="K74" s="229"/>
      <c r="L74" s="229"/>
      <c r="M74" s="229">
        <v>120</v>
      </c>
      <c r="N74" s="229"/>
      <c r="O74" s="229"/>
      <c r="P74" s="229"/>
      <c r="Q74" s="229"/>
      <c r="R74" s="229"/>
      <c r="S74" s="229"/>
    </row>
    <row r="75" spans="1:19" ht="15" customHeight="1" x14ac:dyDescent="0.25">
      <c r="A75" s="228">
        <v>46218</v>
      </c>
      <c r="B75" s="229" t="s">
        <v>297</v>
      </c>
      <c r="C75" s="229" t="s">
        <v>28</v>
      </c>
      <c r="D75" s="229" t="s">
        <v>29</v>
      </c>
      <c r="E75" s="229">
        <v>25</v>
      </c>
      <c r="F75" s="229">
        <v>3447</v>
      </c>
      <c r="G75" s="230">
        <v>0</v>
      </c>
      <c r="H75" s="230">
        <v>0</v>
      </c>
      <c r="I75" s="230">
        <v>0</v>
      </c>
      <c r="J75" s="231" t="str">
        <f t="shared" si="2"/>
        <v/>
      </c>
      <c r="K75" s="229"/>
      <c r="L75" s="229"/>
      <c r="M75" s="229">
        <v>480</v>
      </c>
      <c r="N75" s="229"/>
      <c r="O75" s="229"/>
      <c r="P75" s="229"/>
      <c r="Q75" s="229"/>
      <c r="R75" s="229"/>
      <c r="S75" s="229"/>
    </row>
    <row r="76" spans="1:19" ht="15" customHeight="1" x14ac:dyDescent="0.25">
      <c r="A76" s="228">
        <v>46218</v>
      </c>
      <c r="B76" s="229" t="s">
        <v>293</v>
      </c>
      <c r="C76" s="229" t="s">
        <v>28</v>
      </c>
      <c r="D76" s="229" t="s">
        <v>298</v>
      </c>
      <c r="E76" s="229" t="s">
        <v>54</v>
      </c>
      <c r="F76" s="229">
        <v>8006</v>
      </c>
      <c r="G76" s="230">
        <v>8000</v>
      </c>
      <c r="H76" s="230">
        <v>7200</v>
      </c>
      <c r="I76" s="230">
        <v>800</v>
      </c>
      <c r="J76" s="231">
        <f t="shared" si="2"/>
        <v>0.1</v>
      </c>
      <c r="K76" s="229">
        <v>60</v>
      </c>
      <c r="L76" s="229">
        <v>120</v>
      </c>
      <c r="M76" s="229"/>
      <c r="N76" s="229"/>
      <c r="O76" s="229"/>
      <c r="P76" s="229">
        <v>240</v>
      </c>
      <c r="Q76" s="229"/>
      <c r="R76" s="229"/>
      <c r="S76" s="229"/>
    </row>
    <row r="77" spans="1:19" ht="15" customHeight="1" x14ac:dyDescent="0.25">
      <c r="A77" s="228">
        <v>46218</v>
      </c>
      <c r="B77" s="229" t="s">
        <v>294</v>
      </c>
      <c r="C77" s="229" t="s">
        <v>28</v>
      </c>
      <c r="D77" s="229" t="s">
        <v>29</v>
      </c>
      <c r="E77" s="229">
        <v>25</v>
      </c>
      <c r="F77" s="229">
        <v>3447</v>
      </c>
      <c r="G77" s="230">
        <v>0</v>
      </c>
      <c r="H77" s="230">
        <v>0</v>
      </c>
      <c r="I77" s="230">
        <v>0</v>
      </c>
      <c r="J77" s="231" t="str">
        <f t="shared" si="2"/>
        <v/>
      </c>
      <c r="K77" s="229"/>
      <c r="L77" s="229"/>
      <c r="M77" s="229">
        <v>480</v>
      </c>
      <c r="N77" s="229"/>
      <c r="O77" s="229"/>
      <c r="P77" s="229"/>
      <c r="Q77" s="229"/>
      <c r="R77" s="229"/>
      <c r="S77" s="229"/>
    </row>
    <row r="78" spans="1:19" ht="15" customHeight="1" x14ac:dyDescent="0.25">
      <c r="A78" s="228">
        <v>46218</v>
      </c>
      <c r="B78" s="229" t="s">
        <v>296</v>
      </c>
      <c r="C78" s="229" t="s">
        <v>28</v>
      </c>
      <c r="D78" s="229" t="s">
        <v>29</v>
      </c>
      <c r="E78" s="229">
        <v>25</v>
      </c>
      <c r="F78" s="229">
        <v>3447</v>
      </c>
      <c r="G78" s="230">
        <v>0</v>
      </c>
      <c r="H78" s="230">
        <v>0</v>
      </c>
      <c r="I78" s="230">
        <v>0</v>
      </c>
      <c r="J78" s="231" t="str">
        <f t="shared" si="2"/>
        <v/>
      </c>
      <c r="K78" s="229"/>
      <c r="L78" s="229"/>
      <c r="M78" s="229">
        <v>480</v>
      </c>
      <c r="N78" s="229"/>
      <c r="O78" s="229"/>
      <c r="P78" s="229"/>
      <c r="Q78" s="229"/>
      <c r="R78" s="229"/>
      <c r="S78" s="229"/>
    </row>
    <row r="79" spans="1:19" ht="15" customHeight="1" x14ac:dyDescent="0.25">
      <c r="A79" s="228">
        <v>46219</v>
      </c>
      <c r="B79" s="229" t="s">
        <v>297</v>
      </c>
      <c r="C79" s="229" t="s">
        <v>28</v>
      </c>
      <c r="D79" s="229" t="s">
        <v>29</v>
      </c>
      <c r="E79" s="229">
        <v>25</v>
      </c>
      <c r="F79" s="229">
        <v>3447</v>
      </c>
      <c r="G79" s="230">
        <v>0</v>
      </c>
      <c r="H79" s="230">
        <v>0</v>
      </c>
      <c r="I79" s="230">
        <v>0</v>
      </c>
      <c r="J79" s="231" t="str">
        <f t="shared" si="2"/>
        <v/>
      </c>
      <c r="K79" s="229"/>
      <c r="L79" s="229"/>
      <c r="M79" s="229">
        <v>480</v>
      </c>
      <c r="N79" s="229"/>
      <c r="O79" s="229"/>
      <c r="P79" s="229"/>
      <c r="Q79" s="229"/>
      <c r="R79" s="229"/>
      <c r="S79" s="229"/>
    </row>
    <row r="80" spans="1:19" ht="15" customHeight="1" x14ac:dyDescent="0.25">
      <c r="A80" s="228">
        <v>46219</v>
      </c>
      <c r="B80" s="229" t="s">
        <v>293</v>
      </c>
      <c r="C80" s="229" t="s">
        <v>28</v>
      </c>
      <c r="D80" s="229" t="s">
        <v>298</v>
      </c>
      <c r="E80" s="229" t="s">
        <v>54</v>
      </c>
      <c r="F80" s="229">
        <v>8006</v>
      </c>
      <c r="G80" s="230">
        <v>8760</v>
      </c>
      <c r="H80" s="230">
        <v>8160</v>
      </c>
      <c r="I80" s="230">
        <v>600</v>
      </c>
      <c r="J80" s="231">
        <f t="shared" si="2"/>
        <v>6.8493150684931503E-2</v>
      </c>
      <c r="K80" s="229">
        <v>120</v>
      </c>
      <c r="L80" s="229"/>
      <c r="M80" s="229"/>
      <c r="N80" s="229"/>
      <c r="O80" s="229"/>
      <c r="P80" s="229">
        <v>300</v>
      </c>
      <c r="Q80" s="229"/>
      <c r="R80" s="229"/>
      <c r="S80" s="229"/>
    </row>
    <row r="81" spans="1:19" ht="15" customHeight="1" x14ac:dyDescent="0.25">
      <c r="A81" s="228">
        <v>46219</v>
      </c>
      <c r="B81" s="229" t="s">
        <v>294</v>
      </c>
      <c r="C81" s="229" t="s">
        <v>28</v>
      </c>
      <c r="D81" s="229" t="s">
        <v>29</v>
      </c>
      <c r="E81" s="229">
        <v>25</v>
      </c>
      <c r="F81" s="229">
        <v>3447</v>
      </c>
      <c r="G81" s="230">
        <v>0</v>
      </c>
      <c r="H81" s="230">
        <v>0</v>
      </c>
      <c r="I81" s="230">
        <v>0</v>
      </c>
      <c r="J81" s="231" t="str">
        <f t="shared" si="2"/>
        <v/>
      </c>
      <c r="K81" s="229"/>
      <c r="L81" s="229"/>
      <c r="M81" s="229">
        <v>480</v>
      </c>
      <c r="N81" s="229"/>
      <c r="O81" s="229"/>
      <c r="P81" s="229"/>
      <c r="Q81" s="229"/>
      <c r="R81" s="229"/>
      <c r="S81" s="229"/>
    </row>
    <row r="82" spans="1:19" ht="15" customHeight="1" x14ac:dyDescent="0.25">
      <c r="A82" s="228">
        <v>46219</v>
      </c>
      <c r="B82" s="229" t="s">
        <v>296</v>
      </c>
      <c r="C82" s="229" t="s">
        <v>28</v>
      </c>
      <c r="D82" s="229" t="s">
        <v>29</v>
      </c>
      <c r="E82" s="229">
        <v>25</v>
      </c>
      <c r="F82" s="229">
        <v>3447</v>
      </c>
      <c r="G82" s="230">
        <v>0</v>
      </c>
      <c r="H82" s="230">
        <v>0</v>
      </c>
      <c r="I82" s="230">
        <v>0</v>
      </c>
      <c r="J82" s="231" t="str">
        <f t="shared" si="2"/>
        <v/>
      </c>
      <c r="K82" s="229"/>
      <c r="L82" s="229"/>
      <c r="M82" s="229">
        <v>480</v>
      </c>
      <c r="N82" s="229"/>
      <c r="O82" s="229"/>
      <c r="P82" s="229"/>
      <c r="Q82" s="229"/>
      <c r="R82" s="229"/>
      <c r="S82" s="229"/>
    </row>
    <row r="83" spans="1:19" ht="15" customHeight="1" x14ac:dyDescent="0.25">
      <c r="A83" s="228">
        <v>46220</v>
      </c>
      <c r="B83" s="229" t="s">
        <v>297</v>
      </c>
      <c r="C83" s="229" t="s">
        <v>28</v>
      </c>
      <c r="D83" s="229" t="s">
        <v>29</v>
      </c>
      <c r="E83" s="229">
        <v>25</v>
      </c>
      <c r="F83" s="229">
        <v>3447</v>
      </c>
      <c r="G83" s="230">
        <v>0</v>
      </c>
      <c r="H83" s="230">
        <v>0</v>
      </c>
      <c r="I83" s="230">
        <v>0</v>
      </c>
      <c r="J83" s="231" t="str">
        <f t="shared" si="2"/>
        <v/>
      </c>
      <c r="K83" s="229"/>
      <c r="L83" s="229"/>
      <c r="M83" s="229">
        <v>480</v>
      </c>
      <c r="N83" s="229"/>
      <c r="O83" s="229"/>
      <c r="P83" s="229"/>
      <c r="Q83" s="229"/>
      <c r="R83" s="229"/>
      <c r="S83" s="229"/>
    </row>
    <row r="84" spans="1:19" ht="15" customHeight="1" x14ac:dyDescent="0.25">
      <c r="A84" s="228">
        <v>46220</v>
      </c>
      <c r="B84" s="229" t="s">
        <v>293</v>
      </c>
      <c r="C84" s="229" t="s">
        <v>28</v>
      </c>
      <c r="D84" s="229" t="s">
        <v>298</v>
      </c>
      <c r="E84" s="229" t="s">
        <v>54</v>
      </c>
      <c r="F84" s="229">
        <v>8006</v>
      </c>
      <c r="G84" s="230">
        <v>0</v>
      </c>
      <c r="H84" s="230">
        <v>0</v>
      </c>
      <c r="I84" s="230">
        <v>0</v>
      </c>
      <c r="J84" s="231" t="str">
        <f t="shared" si="2"/>
        <v/>
      </c>
      <c r="K84" s="229">
        <v>480</v>
      </c>
      <c r="L84" s="229"/>
      <c r="M84" s="229"/>
      <c r="N84" s="229"/>
      <c r="O84" s="229"/>
      <c r="P84" s="229"/>
      <c r="Q84" s="229"/>
      <c r="R84" s="229"/>
      <c r="S84" s="229"/>
    </row>
    <row r="85" spans="1:19" ht="15" customHeight="1" x14ac:dyDescent="0.25">
      <c r="A85" s="228">
        <v>46220</v>
      </c>
      <c r="B85" s="229" t="s">
        <v>294</v>
      </c>
      <c r="C85" s="229" t="s">
        <v>28</v>
      </c>
      <c r="D85" s="229" t="s">
        <v>29</v>
      </c>
      <c r="E85" s="229">
        <v>25</v>
      </c>
      <c r="F85" s="229">
        <v>3447</v>
      </c>
      <c r="G85" s="230">
        <v>0</v>
      </c>
      <c r="H85" s="230">
        <v>0</v>
      </c>
      <c r="I85" s="230">
        <v>0</v>
      </c>
      <c r="J85" s="231" t="str">
        <f t="shared" si="2"/>
        <v/>
      </c>
      <c r="K85" s="229"/>
      <c r="L85" s="229"/>
      <c r="M85" s="229">
        <v>480</v>
      </c>
      <c r="N85" s="229"/>
      <c r="O85" s="229"/>
      <c r="P85" s="229"/>
      <c r="Q85" s="229"/>
      <c r="R85" s="229"/>
      <c r="S85" s="229"/>
    </row>
    <row r="86" spans="1:19" ht="15" customHeight="1" x14ac:dyDescent="0.25">
      <c r="A86" s="228">
        <v>46220</v>
      </c>
      <c r="B86" s="229" t="s">
        <v>296</v>
      </c>
      <c r="C86" s="229" t="s">
        <v>28</v>
      </c>
      <c r="D86" s="229" t="s">
        <v>29</v>
      </c>
      <c r="E86" s="229">
        <v>25</v>
      </c>
      <c r="F86" s="229">
        <v>3447</v>
      </c>
      <c r="G86" s="230">
        <v>0</v>
      </c>
      <c r="H86" s="230">
        <v>0</v>
      </c>
      <c r="I86" s="230">
        <v>0</v>
      </c>
      <c r="J86" s="231" t="str">
        <f t="shared" si="2"/>
        <v/>
      </c>
      <c r="K86" s="229"/>
      <c r="L86" s="229"/>
      <c r="M86" s="229">
        <v>480</v>
      </c>
      <c r="N86" s="229"/>
      <c r="O86" s="229"/>
      <c r="P86" s="229"/>
      <c r="Q86" s="229"/>
      <c r="R86" s="229"/>
      <c r="S86" s="229"/>
    </row>
    <row r="87" spans="1:19" ht="15" customHeight="1" x14ac:dyDescent="0.25">
      <c r="A87" s="228">
        <v>46221</v>
      </c>
      <c r="B87" s="229" t="s">
        <v>297</v>
      </c>
      <c r="C87" s="229" t="s">
        <v>34</v>
      </c>
      <c r="D87" s="229" t="s">
        <v>35</v>
      </c>
      <c r="E87" s="229">
        <v>30</v>
      </c>
      <c r="F87" s="229">
        <v>6206</v>
      </c>
      <c r="G87" s="230">
        <v>0</v>
      </c>
      <c r="H87" s="230">
        <v>0</v>
      </c>
      <c r="I87" s="230">
        <v>0</v>
      </c>
      <c r="J87" s="231" t="str">
        <f t="shared" si="2"/>
        <v/>
      </c>
      <c r="K87" s="229"/>
      <c r="L87" s="229"/>
      <c r="M87" s="229">
        <v>480</v>
      </c>
      <c r="N87" s="229"/>
      <c r="O87" s="229"/>
      <c r="P87" s="229"/>
      <c r="Q87" s="229"/>
      <c r="R87" s="229"/>
      <c r="S87" s="229"/>
    </row>
    <row r="88" spans="1:19" ht="15" customHeight="1" x14ac:dyDescent="0.25">
      <c r="A88" s="228">
        <v>46221</v>
      </c>
      <c r="B88" s="229" t="s">
        <v>293</v>
      </c>
      <c r="C88" s="229" t="s">
        <v>28</v>
      </c>
      <c r="D88" s="229" t="s">
        <v>298</v>
      </c>
      <c r="E88" s="229" t="s">
        <v>54</v>
      </c>
      <c r="F88" s="229">
        <v>8006</v>
      </c>
      <c r="G88" s="230">
        <v>0</v>
      </c>
      <c r="H88" s="230">
        <v>0</v>
      </c>
      <c r="I88" s="230">
        <v>0</v>
      </c>
      <c r="J88" s="231" t="str">
        <f t="shared" si="2"/>
        <v/>
      </c>
      <c r="K88" s="229">
        <v>480</v>
      </c>
      <c r="L88" s="229"/>
      <c r="M88" s="229"/>
      <c r="N88" s="229"/>
      <c r="O88" s="229"/>
      <c r="P88" s="229"/>
      <c r="Q88" s="229"/>
      <c r="R88" s="229"/>
      <c r="S88" s="229"/>
    </row>
    <row r="89" spans="1:19" ht="15" customHeight="1" x14ac:dyDescent="0.25">
      <c r="A89" s="228">
        <v>46221</v>
      </c>
      <c r="B89" s="229" t="s">
        <v>294</v>
      </c>
      <c r="C89" s="229" t="s">
        <v>34</v>
      </c>
      <c r="D89" s="229" t="s">
        <v>35</v>
      </c>
      <c r="E89" s="229">
        <v>30</v>
      </c>
      <c r="F89" s="229">
        <v>6206</v>
      </c>
      <c r="G89" s="230">
        <v>10500</v>
      </c>
      <c r="H89" s="230">
        <v>10400</v>
      </c>
      <c r="I89" s="230">
        <v>100</v>
      </c>
      <c r="J89" s="231">
        <f t="shared" si="2"/>
        <v>9.5238095238095247E-3</v>
      </c>
      <c r="K89" s="229"/>
      <c r="L89" s="229"/>
      <c r="M89" s="229">
        <v>240</v>
      </c>
      <c r="N89" s="229"/>
      <c r="O89" s="229"/>
      <c r="P89" s="229"/>
      <c r="Q89" s="229"/>
      <c r="R89" s="229"/>
      <c r="S89" s="229"/>
    </row>
    <row r="90" spans="1:19" ht="15" customHeight="1" x14ac:dyDescent="0.25">
      <c r="A90" s="228">
        <v>46221</v>
      </c>
      <c r="B90" s="229" t="s">
        <v>296</v>
      </c>
      <c r="C90" s="229" t="s">
        <v>34</v>
      </c>
      <c r="D90" s="229" t="s">
        <v>35</v>
      </c>
      <c r="E90" s="229">
        <v>30</v>
      </c>
      <c r="F90" s="229">
        <v>6206</v>
      </c>
      <c r="G90" s="230">
        <v>0</v>
      </c>
      <c r="H90" s="230">
        <v>0</v>
      </c>
      <c r="I90" s="230">
        <v>0</v>
      </c>
      <c r="J90" s="231" t="str">
        <f t="shared" si="2"/>
        <v/>
      </c>
      <c r="K90" s="229"/>
      <c r="L90" s="229"/>
      <c r="M90" s="229">
        <v>480</v>
      </c>
      <c r="N90" s="229"/>
      <c r="O90" s="229"/>
      <c r="P90" s="229"/>
      <c r="Q90" s="229"/>
      <c r="R90" s="229"/>
      <c r="S90" s="229"/>
    </row>
    <row r="91" spans="1:19" ht="15" customHeight="1" x14ac:dyDescent="0.25">
      <c r="A91" s="228">
        <v>46222</v>
      </c>
      <c r="B91" s="229" t="s">
        <v>293</v>
      </c>
      <c r="C91" s="229" t="s">
        <v>28</v>
      </c>
      <c r="D91" s="229" t="s">
        <v>298</v>
      </c>
      <c r="E91" s="229" t="s">
        <v>54</v>
      </c>
      <c r="F91" s="229">
        <v>8006</v>
      </c>
      <c r="G91" s="230">
        <v>10380</v>
      </c>
      <c r="H91" s="230">
        <v>10080</v>
      </c>
      <c r="I91" s="230">
        <v>300</v>
      </c>
      <c r="J91" s="231">
        <f t="shared" si="2"/>
        <v>2.8901734104046242E-2</v>
      </c>
      <c r="K91" s="229">
        <v>240</v>
      </c>
      <c r="L91" s="229">
        <v>240</v>
      </c>
      <c r="M91" s="229"/>
      <c r="N91" s="229"/>
      <c r="O91" s="229"/>
      <c r="P91" s="229"/>
      <c r="Q91" s="229"/>
      <c r="R91" s="229"/>
      <c r="S91" s="229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9"/>
  <sheetViews>
    <sheetView zoomScaleNormal="100" workbookViewId="0">
      <pane ySplit="2" topLeftCell="A3" activePane="bottomLeft" state="frozen"/>
      <selection activeCell="C1" sqref="C1"/>
      <selection pane="bottomLeft" activeCell="C352" sqref="C352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0" t="s">
        <v>300</v>
      </c>
      <c r="B1" s="271"/>
      <c r="C1" s="272"/>
      <c r="D1" s="272"/>
      <c r="E1" s="271"/>
      <c r="F1" s="271"/>
      <c r="G1" s="271"/>
      <c r="H1" s="272"/>
      <c r="I1" s="271"/>
      <c r="J1" s="273"/>
      <c r="K1" s="272"/>
      <c r="L1" s="274"/>
      <c r="M1" s="52"/>
      <c r="N1" s="2"/>
      <c r="O1" s="2"/>
    </row>
    <row r="2" spans="1:17" s="58" customFormat="1" ht="32.25" customHeight="1" x14ac:dyDescent="0.25">
      <c r="A2" s="53" t="s">
        <v>114</v>
      </c>
      <c r="B2" s="53" t="s">
        <v>301</v>
      </c>
      <c r="C2" s="54" t="s">
        <v>16</v>
      </c>
      <c r="D2" s="54" t="s">
        <v>17</v>
      </c>
      <c r="E2" s="53" t="s">
        <v>18</v>
      </c>
      <c r="F2" s="53" t="s">
        <v>302</v>
      </c>
      <c r="G2" s="53" t="s">
        <v>121</v>
      </c>
      <c r="H2" s="54" t="s">
        <v>122</v>
      </c>
      <c r="I2" s="53" t="s">
        <v>123</v>
      </c>
      <c r="J2" s="53" t="s">
        <v>303</v>
      </c>
      <c r="K2" s="54" t="s">
        <v>304</v>
      </c>
      <c r="L2" s="55" t="s">
        <v>305</v>
      </c>
      <c r="M2" s="56" t="s">
        <v>306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59</v>
      </c>
      <c r="D3" s="60" t="s">
        <v>60</v>
      </c>
      <c r="E3" s="59">
        <v>16</v>
      </c>
      <c r="F3" s="59" t="s">
        <v>128</v>
      </c>
      <c r="G3" s="59">
        <v>2799</v>
      </c>
      <c r="H3" s="59" t="s">
        <v>132</v>
      </c>
      <c r="I3" s="61" t="s">
        <v>130</v>
      </c>
      <c r="J3" s="62">
        <v>2.5188899999999999</v>
      </c>
      <c r="K3" s="63" t="s">
        <v>307</v>
      </c>
      <c r="L3" s="63">
        <v>0.1</v>
      </c>
      <c r="M3" s="63" t="s">
        <v>308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59</v>
      </c>
      <c r="D4" s="60" t="s">
        <v>60</v>
      </c>
      <c r="E4" s="59">
        <v>16</v>
      </c>
      <c r="F4" s="59" t="s">
        <v>152</v>
      </c>
      <c r="G4" s="59">
        <v>3595</v>
      </c>
      <c r="H4" s="59" t="s">
        <v>309</v>
      </c>
      <c r="I4" s="61" t="s">
        <v>130</v>
      </c>
      <c r="J4" s="62">
        <v>0.28999999999999998</v>
      </c>
      <c r="K4" s="63" t="s">
        <v>310</v>
      </c>
      <c r="L4" s="63">
        <v>0.1</v>
      </c>
      <c r="M4" s="65" t="s">
        <v>311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59</v>
      </c>
      <c r="D5" s="60" t="s">
        <v>60</v>
      </c>
      <c r="E5" s="59">
        <v>16</v>
      </c>
      <c r="F5" s="59" t="s">
        <v>169</v>
      </c>
      <c r="G5" s="59">
        <v>69</v>
      </c>
      <c r="H5" s="59" t="s">
        <v>170</v>
      </c>
      <c r="I5" s="61" t="s">
        <v>171</v>
      </c>
      <c r="J5" s="62">
        <v>1000</v>
      </c>
      <c r="K5" s="63" t="s">
        <v>312</v>
      </c>
      <c r="L5" s="63">
        <v>0.02</v>
      </c>
      <c r="M5" s="65" t="s">
        <v>313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59</v>
      </c>
      <c r="D6" s="60" t="s">
        <v>60</v>
      </c>
      <c r="E6" s="59">
        <v>16</v>
      </c>
      <c r="F6" s="59" t="s">
        <v>194</v>
      </c>
      <c r="G6" s="59">
        <v>36</v>
      </c>
      <c r="H6" s="59" t="s">
        <v>196</v>
      </c>
      <c r="I6" s="61" t="s">
        <v>171</v>
      </c>
      <c r="J6" s="62">
        <v>5</v>
      </c>
      <c r="K6" s="63" t="s">
        <v>314</v>
      </c>
      <c r="L6" s="63">
        <v>0.1</v>
      </c>
      <c r="M6" s="65" t="s">
        <v>313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59</v>
      </c>
      <c r="D7" s="60" t="s">
        <v>60</v>
      </c>
      <c r="E7" s="59">
        <v>16</v>
      </c>
      <c r="F7" s="59" t="s">
        <v>166</v>
      </c>
      <c r="G7" s="59">
        <v>194</v>
      </c>
      <c r="H7" s="59" t="s">
        <v>167</v>
      </c>
      <c r="I7" s="61" t="s">
        <v>130</v>
      </c>
      <c r="J7" s="62">
        <v>2.6196399999999999E-3</v>
      </c>
      <c r="K7" s="63" t="s">
        <v>315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59</v>
      </c>
      <c r="D8" s="60" t="s">
        <v>60</v>
      </c>
      <c r="E8" s="59">
        <v>16</v>
      </c>
      <c r="F8" s="59" t="s">
        <v>145</v>
      </c>
      <c r="G8" s="59">
        <v>4155</v>
      </c>
      <c r="H8" s="59" t="s">
        <v>151</v>
      </c>
      <c r="I8" s="61" t="s">
        <v>148</v>
      </c>
      <c r="J8" s="62">
        <v>0.17</v>
      </c>
      <c r="K8" s="63" t="s">
        <v>316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59</v>
      </c>
      <c r="D9" s="60" t="s">
        <v>60</v>
      </c>
      <c r="E9" s="59">
        <v>16</v>
      </c>
      <c r="F9" s="59" t="s">
        <v>206</v>
      </c>
      <c r="G9" s="59">
        <v>190</v>
      </c>
      <c r="H9" s="59" t="s">
        <v>207</v>
      </c>
      <c r="I9" s="61" t="s">
        <v>148</v>
      </c>
      <c r="J9" s="62">
        <v>0.06</v>
      </c>
      <c r="K9" s="63" t="s">
        <v>317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59</v>
      </c>
      <c r="D10" s="60" t="s">
        <v>60</v>
      </c>
      <c r="E10" s="59">
        <v>16</v>
      </c>
      <c r="F10" s="59" t="s">
        <v>204</v>
      </c>
      <c r="G10" s="59">
        <v>3635</v>
      </c>
      <c r="H10" s="59" t="s">
        <v>205</v>
      </c>
      <c r="I10" s="61" t="s">
        <v>171</v>
      </c>
      <c r="J10" s="62">
        <v>0.11899999999999999</v>
      </c>
      <c r="K10" s="63" t="s">
        <v>318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59</v>
      </c>
      <c r="D11" s="60" t="s">
        <v>60</v>
      </c>
      <c r="E11" s="59">
        <v>16</v>
      </c>
      <c r="F11" s="59" t="s">
        <v>194</v>
      </c>
      <c r="G11" s="59">
        <v>200</v>
      </c>
      <c r="H11" s="59" t="s">
        <v>197</v>
      </c>
      <c r="I11" s="61" t="s">
        <v>171</v>
      </c>
      <c r="J11" s="62">
        <v>0.55000000000000004</v>
      </c>
      <c r="K11" s="63" t="s">
        <v>314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59</v>
      </c>
      <c r="D12" s="60" t="s">
        <v>60</v>
      </c>
      <c r="E12" s="59">
        <v>16</v>
      </c>
      <c r="F12" s="59" t="s">
        <v>319</v>
      </c>
      <c r="G12" s="59">
        <v>52</v>
      </c>
      <c r="H12" s="59" t="s">
        <v>320</v>
      </c>
      <c r="I12" s="61" t="s">
        <v>321</v>
      </c>
      <c r="J12" s="62">
        <v>5</v>
      </c>
      <c r="K12" s="63" t="s">
        <v>322</v>
      </c>
      <c r="L12" s="63">
        <v>0.1</v>
      </c>
      <c r="M12" s="65" t="s">
        <v>313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59</v>
      </c>
      <c r="D13" s="60" t="s">
        <v>65</v>
      </c>
      <c r="E13" s="59">
        <v>19</v>
      </c>
      <c r="F13" s="59" t="s">
        <v>128</v>
      </c>
      <c r="G13" s="59">
        <v>22</v>
      </c>
      <c r="H13" s="59" t="s">
        <v>134</v>
      </c>
      <c r="I13" s="61" t="s">
        <v>130</v>
      </c>
      <c r="J13" s="62">
        <v>3.367</v>
      </c>
      <c r="K13" s="63" t="s">
        <v>307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59</v>
      </c>
      <c r="D14" s="60" t="s">
        <v>65</v>
      </c>
      <c r="E14" s="59">
        <v>19</v>
      </c>
      <c r="F14" s="59" t="s">
        <v>152</v>
      </c>
      <c r="G14" s="59">
        <v>3595</v>
      </c>
      <c r="H14" s="59" t="s">
        <v>309</v>
      </c>
      <c r="I14" s="61" t="s">
        <v>130</v>
      </c>
      <c r="J14" s="62">
        <v>0.31</v>
      </c>
      <c r="K14" s="63" t="s">
        <v>310</v>
      </c>
      <c r="L14" s="63">
        <v>0.1</v>
      </c>
      <c r="M14" s="65" t="s">
        <v>311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59</v>
      </c>
      <c r="D15" s="60" t="s">
        <v>65</v>
      </c>
      <c r="E15" s="59">
        <v>19</v>
      </c>
      <c r="F15" s="59" t="s">
        <v>169</v>
      </c>
      <c r="G15" s="59">
        <v>81</v>
      </c>
      <c r="H15" s="59" t="s">
        <v>177</v>
      </c>
      <c r="I15" s="61" t="s">
        <v>171</v>
      </c>
      <c r="J15" s="62">
        <v>1000</v>
      </c>
      <c r="K15" s="63" t="s">
        <v>312</v>
      </c>
      <c r="L15" s="63">
        <v>0.02</v>
      </c>
      <c r="M15" s="65" t="s">
        <v>313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59</v>
      </c>
      <c r="D16" s="60" t="s">
        <v>65</v>
      </c>
      <c r="E16" s="59">
        <v>19</v>
      </c>
      <c r="F16" s="59" t="s">
        <v>194</v>
      </c>
      <c r="G16" s="59">
        <v>39</v>
      </c>
      <c r="H16" s="59" t="s">
        <v>198</v>
      </c>
      <c r="I16" s="61" t="s">
        <v>171</v>
      </c>
      <c r="J16" s="62">
        <v>5</v>
      </c>
      <c r="K16" s="63" t="s">
        <v>314</v>
      </c>
      <c r="L16" s="63">
        <v>0.1</v>
      </c>
      <c r="M16" s="65" t="s">
        <v>313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59</v>
      </c>
      <c r="D17" s="60" t="s">
        <v>65</v>
      </c>
      <c r="E17" s="59">
        <v>19</v>
      </c>
      <c r="F17" s="59" t="s">
        <v>166</v>
      </c>
      <c r="G17" s="59">
        <v>194</v>
      </c>
      <c r="H17" s="59" t="s">
        <v>167</v>
      </c>
      <c r="I17" s="61" t="s">
        <v>130</v>
      </c>
      <c r="J17" s="62">
        <v>3.3999999999999998E-3</v>
      </c>
      <c r="K17" s="63" t="s">
        <v>315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59</v>
      </c>
      <c r="D18" s="60" t="s">
        <v>65</v>
      </c>
      <c r="E18" s="59">
        <v>19</v>
      </c>
      <c r="F18" s="59" t="s">
        <v>204</v>
      </c>
      <c r="G18" s="59">
        <v>3635</v>
      </c>
      <c r="H18" s="59" t="s">
        <v>205</v>
      </c>
      <c r="I18" s="61" t="s">
        <v>171</v>
      </c>
      <c r="J18" s="62">
        <v>0.13800000000000001</v>
      </c>
      <c r="K18" s="63" t="s">
        <v>318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59</v>
      </c>
      <c r="D19" s="60" t="s">
        <v>65</v>
      </c>
      <c r="E19" s="59">
        <v>19</v>
      </c>
      <c r="F19" s="59" t="s">
        <v>145</v>
      </c>
      <c r="G19" s="59">
        <v>4155</v>
      </c>
      <c r="H19" s="59" t="s">
        <v>151</v>
      </c>
      <c r="I19" s="61" t="s">
        <v>148</v>
      </c>
      <c r="J19" s="62">
        <v>0.1449</v>
      </c>
      <c r="K19" s="63" t="s">
        <v>316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59</v>
      </c>
      <c r="D20" s="60" t="s">
        <v>65</v>
      </c>
      <c r="E20" s="59">
        <v>19</v>
      </c>
      <c r="F20" s="59" t="s">
        <v>319</v>
      </c>
      <c r="G20" s="59">
        <v>54</v>
      </c>
      <c r="H20" s="59" t="s">
        <v>323</v>
      </c>
      <c r="I20" s="61" t="s">
        <v>321</v>
      </c>
      <c r="J20" s="62">
        <v>5</v>
      </c>
      <c r="K20" s="63" t="s">
        <v>322</v>
      </c>
      <c r="L20" s="63">
        <v>0.1</v>
      </c>
      <c r="M20" s="65" t="s">
        <v>313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59</v>
      </c>
      <c r="D21" s="60" t="s">
        <v>65</v>
      </c>
      <c r="E21" s="59">
        <v>19</v>
      </c>
      <c r="F21" s="59" t="s">
        <v>324</v>
      </c>
      <c r="G21" s="59">
        <v>199</v>
      </c>
      <c r="H21" s="59" t="s">
        <v>325</v>
      </c>
      <c r="I21" s="61" t="s">
        <v>321</v>
      </c>
      <c r="J21" s="62">
        <v>0.55000000000000004</v>
      </c>
      <c r="K21" s="63" t="s">
        <v>326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59</v>
      </c>
      <c r="D22" s="60" t="s">
        <v>64</v>
      </c>
      <c r="E22" s="59">
        <v>19</v>
      </c>
      <c r="F22" s="59" t="s">
        <v>128</v>
      </c>
      <c r="G22" s="59">
        <v>22</v>
      </c>
      <c r="H22" s="59" t="s">
        <v>134</v>
      </c>
      <c r="I22" s="61" t="s">
        <v>130</v>
      </c>
      <c r="J22" s="62">
        <v>3.367</v>
      </c>
      <c r="K22" s="63" t="s">
        <v>307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59</v>
      </c>
      <c r="D23" s="60" t="s">
        <v>64</v>
      </c>
      <c r="E23" s="59">
        <v>19</v>
      </c>
      <c r="F23" s="59" t="s">
        <v>152</v>
      </c>
      <c r="G23" s="59">
        <v>3595</v>
      </c>
      <c r="H23" s="59" t="s">
        <v>309</v>
      </c>
      <c r="I23" s="61" t="s">
        <v>130</v>
      </c>
      <c r="J23" s="62">
        <v>0.31</v>
      </c>
      <c r="K23" s="63" t="s">
        <v>310</v>
      </c>
      <c r="L23" s="63">
        <v>0.1</v>
      </c>
      <c r="M23" s="65" t="s">
        <v>311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59</v>
      </c>
      <c r="D24" s="60" t="s">
        <v>64</v>
      </c>
      <c r="E24" s="59">
        <v>19</v>
      </c>
      <c r="F24" s="59" t="s">
        <v>169</v>
      </c>
      <c r="G24" s="59">
        <v>81</v>
      </c>
      <c r="H24" s="59" t="s">
        <v>177</v>
      </c>
      <c r="I24" s="61" t="s">
        <v>171</v>
      </c>
      <c r="J24" s="62">
        <v>1000</v>
      </c>
      <c r="K24" s="63" t="s">
        <v>312</v>
      </c>
      <c r="L24" s="63">
        <v>0.02</v>
      </c>
      <c r="M24" s="65" t="s">
        <v>313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59</v>
      </c>
      <c r="D25" s="60" t="s">
        <v>64</v>
      </c>
      <c r="E25" s="59">
        <v>19</v>
      </c>
      <c r="F25" s="59" t="s">
        <v>194</v>
      </c>
      <c r="G25" s="59">
        <v>39</v>
      </c>
      <c r="H25" s="59" t="s">
        <v>198</v>
      </c>
      <c r="I25" s="61" t="s">
        <v>171</v>
      </c>
      <c r="J25" s="62">
        <v>5</v>
      </c>
      <c r="K25" s="63" t="s">
        <v>314</v>
      </c>
      <c r="L25" s="63">
        <v>0.1</v>
      </c>
      <c r="M25" s="65" t="s">
        <v>313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59</v>
      </c>
      <c r="D26" s="60" t="s">
        <v>64</v>
      </c>
      <c r="E26" s="59">
        <v>19</v>
      </c>
      <c r="F26" s="59" t="s">
        <v>166</v>
      </c>
      <c r="G26" s="59">
        <v>194</v>
      </c>
      <c r="H26" s="59" t="s">
        <v>167</v>
      </c>
      <c r="I26" s="61" t="s">
        <v>130</v>
      </c>
      <c r="J26" s="62">
        <v>3.3999999999999998E-3</v>
      </c>
      <c r="K26" s="63" t="s">
        <v>315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59</v>
      </c>
      <c r="D27" s="60" t="s">
        <v>64</v>
      </c>
      <c r="E27" s="59">
        <v>19</v>
      </c>
      <c r="F27" s="59" t="s">
        <v>204</v>
      </c>
      <c r="G27" s="59">
        <v>3635</v>
      </c>
      <c r="H27" s="59" t="s">
        <v>205</v>
      </c>
      <c r="I27" s="61" t="s">
        <v>171</v>
      </c>
      <c r="J27" s="62">
        <v>0.13800000000000001</v>
      </c>
      <c r="K27" s="63" t="s">
        <v>318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59</v>
      </c>
      <c r="D28" s="60" t="s">
        <v>64</v>
      </c>
      <c r="E28" s="59">
        <v>19</v>
      </c>
      <c r="F28" s="59" t="s">
        <v>145</v>
      </c>
      <c r="G28" s="59">
        <v>4155</v>
      </c>
      <c r="H28" s="59" t="s">
        <v>151</v>
      </c>
      <c r="I28" s="61" t="s">
        <v>148</v>
      </c>
      <c r="J28" s="62">
        <v>0.1449</v>
      </c>
      <c r="K28" s="63" t="s">
        <v>316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59</v>
      </c>
      <c r="D29" s="60" t="s">
        <v>64</v>
      </c>
      <c r="E29" s="59">
        <v>19</v>
      </c>
      <c r="F29" s="59" t="s">
        <v>319</v>
      </c>
      <c r="G29" s="59">
        <v>54</v>
      </c>
      <c r="H29" s="59" t="s">
        <v>323</v>
      </c>
      <c r="I29" s="61" t="s">
        <v>321</v>
      </c>
      <c r="J29" s="62">
        <v>5</v>
      </c>
      <c r="K29" s="63" t="s">
        <v>322</v>
      </c>
      <c r="L29" s="63">
        <v>0.1</v>
      </c>
      <c r="M29" s="65" t="s">
        <v>313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59</v>
      </c>
      <c r="D30" s="60" t="s">
        <v>64</v>
      </c>
      <c r="E30" s="59">
        <v>19</v>
      </c>
      <c r="F30" s="59" t="s">
        <v>324</v>
      </c>
      <c r="G30" s="59">
        <v>199</v>
      </c>
      <c r="H30" s="59" t="s">
        <v>325</v>
      </c>
      <c r="I30" s="61" t="s">
        <v>321</v>
      </c>
      <c r="J30" s="62">
        <v>0.55000000000000004</v>
      </c>
      <c r="K30" s="63" t="s">
        <v>326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59</v>
      </c>
      <c r="D31" s="60" t="s">
        <v>66</v>
      </c>
      <c r="E31" s="59">
        <v>19</v>
      </c>
      <c r="F31" s="59" t="s">
        <v>128</v>
      </c>
      <c r="G31" s="59">
        <v>22</v>
      </c>
      <c r="H31" s="59" t="s">
        <v>134</v>
      </c>
      <c r="I31" s="61" t="s">
        <v>130</v>
      </c>
      <c r="J31" s="62">
        <v>3.367</v>
      </c>
      <c r="K31" s="63" t="s">
        <v>307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59</v>
      </c>
      <c r="D32" s="60" t="s">
        <v>66</v>
      </c>
      <c r="E32" s="59">
        <v>19</v>
      </c>
      <c r="F32" s="59" t="s">
        <v>152</v>
      </c>
      <c r="G32" s="59">
        <v>3595</v>
      </c>
      <c r="H32" s="59" t="s">
        <v>309</v>
      </c>
      <c r="I32" s="61" t="s">
        <v>130</v>
      </c>
      <c r="J32" s="62">
        <v>0.31</v>
      </c>
      <c r="K32" s="63" t="s">
        <v>310</v>
      </c>
      <c r="L32" s="63">
        <v>0.1</v>
      </c>
      <c r="M32" s="65" t="s">
        <v>311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59</v>
      </c>
      <c r="D33" s="60" t="s">
        <v>66</v>
      </c>
      <c r="E33" s="59">
        <v>19</v>
      </c>
      <c r="F33" s="59" t="s">
        <v>169</v>
      </c>
      <c r="G33" s="59">
        <v>81</v>
      </c>
      <c r="H33" s="59" t="s">
        <v>177</v>
      </c>
      <c r="I33" s="61" t="s">
        <v>171</v>
      </c>
      <c r="J33" s="62">
        <v>1000</v>
      </c>
      <c r="K33" s="63" t="s">
        <v>312</v>
      </c>
      <c r="L33" s="63">
        <v>0.02</v>
      </c>
      <c r="M33" s="65" t="s">
        <v>313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59</v>
      </c>
      <c r="D34" s="60" t="s">
        <v>66</v>
      </c>
      <c r="E34" s="59">
        <v>19</v>
      </c>
      <c r="F34" s="59" t="s">
        <v>194</v>
      </c>
      <c r="G34" s="59">
        <v>39</v>
      </c>
      <c r="H34" s="59" t="s">
        <v>198</v>
      </c>
      <c r="I34" s="61" t="s">
        <v>171</v>
      </c>
      <c r="J34" s="62">
        <v>5</v>
      </c>
      <c r="K34" s="63" t="s">
        <v>314</v>
      </c>
      <c r="L34" s="63">
        <v>0.1</v>
      </c>
      <c r="M34" s="65" t="s">
        <v>313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59</v>
      </c>
      <c r="D35" s="60" t="s">
        <v>66</v>
      </c>
      <c r="E35" s="59">
        <v>19</v>
      </c>
      <c r="F35" s="59" t="s">
        <v>166</v>
      </c>
      <c r="G35" s="59">
        <v>194</v>
      </c>
      <c r="H35" s="59" t="s">
        <v>167</v>
      </c>
      <c r="I35" s="61" t="s">
        <v>130</v>
      </c>
      <c r="J35" s="62">
        <v>3.3999999999999998E-3</v>
      </c>
      <c r="K35" s="63" t="s">
        <v>315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59</v>
      </c>
      <c r="D36" s="60" t="s">
        <v>66</v>
      </c>
      <c r="E36" s="59">
        <v>19</v>
      </c>
      <c r="F36" s="59" t="s">
        <v>204</v>
      </c>
      <c r="G36" s="59">
        <v>3635</v>
      </c>
      <c r="H36" s="59" t="s">
        <v>205</v>
      </c>
      <c r="I36" s="61" t="s">
        <v>171</v>
      </c>
      <c r="J36" s="62">
        <v>0.13800000000000001</v>
      </c>
      <c r="K36" s="63" t="s">
        <v>318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59</v>
      </c>
      <c r="D37" s="60" t="s">
        <v>66</v>
      </c>
      <c r="E37" s="59">
        <v>19</v>
      </c>
      <c r="F37" s="59" t="s">
        <v>145</v>
      </c>
      <c r="G37" s="59">
        <v>4155</v>
      </c>
      <c r="H37" s="59" t="s">
        <v>151</v>
      </c>
      <c r="I37" s="61" t="s">
        <v>148</v>
      </c>
      <c r="J37" s="62">
        <v>0.1449</v>
      </c>
      <c r="K37" s="63" t="s">
        <v>316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59</v>
      </c>
      <c r="D38" s="60" t="s">
        <v>66</v>
      </c>
      <c r="E38" s="59">
        <v>19</v>
      </c>
      <c r="F38" s="59" t="s">
        <v>319</v>
      </c>
      <c r="G38" s="59">
        <v>54</v>
      </c>
      <c r="H38" s="59" t="s">
        <v>323</v>
      </c>
      <c r="I38" s="61" t="s">
        <v>321</v>
      </c>
      <c r="J38" s="62">
        <v>5</v>
      </c>
      <c r="K38" s="63" t="s">
        <v>322</v>
      </c>
      <c r="L38" s="63">
        <v>0.1</v>
      </c>
      <c r="M38" s="65" t="s">
        <v>313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59</v>
      </c>
      <c r="D39" s="60" t="s">
        <v>66</v>
      </c>
      <c r="E39" s="59">
        <v>19</v>
      </c>
      <c r="F39" s="59" t="s">
        <v>324</v>
      </c>
      <c r="G39" s="59">
        <v>199</v>
      </c>
      <c r="H39" s="59" t="s">
        <v>325</v>
      </c>
      <c r="I39" s="61" t="s">
        <v>321</v>
      </c>
      <c r="J39" s="62">
        <v>0.55000000000000004</v>
      </c>
      <c r="K39" s="63" t="s">
        <v>326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39</v>
      </c>
      <c r="D40" s="60" t="s">
        <v>68</v>
      </c>
      <c r="E40" s="59">
        <v>20.5</v>
      </c>
      <c r="F40" s="59" t="s">
        <v>128</v>
      </c>
      <c r="G40" s="59">
        <v>4179</v>
      </c>
      <c r="H40" s="59" t="s">
        <v>136</v>
      </c>
      <c r="I40" s="61" t="s">
        <v>130</v>
      </c>
      <c r="J40" s="62">
        <v>3.9369999999999998</v>
      </c>
      <c r="K40" s="63" t="s">
        <v>307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39</v>
      </c>
      <c r="D41" s="60" t="s">
        <v>68</v>
      </c>
      <c r="E41" s="59">
        <v>20.5</v>
      </c>
      <c r="F41" s="59" t="s">
        <v>152</v>
      </c>
      <c r="G41" s="59">
        <v>3595</v>
      </c>
      <c r="H41" s="59" t="s">
        <v>309</v>
      </c>
      <c r="I41" s="61" t="s">
        <v>130</v>
      </c>
      <c r="J41" s="62">
        <v>0.31</v>
      </c>
      <c r="K41" s="63" t="s">
        <v>310</v>
      </c>
      <c r="L41" s="63">
        <v>0.1</v>
      </c>
      <c r="M41" s="65" t="s">
        <v>327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39</v>
      </c>
      <c r="D42" s="60" t="s">
        <v>68</v>
      </c>
      <c r="E42" s="59">
        <v>20.5</v>
      </c>
      <c r="F42" s="59" t="s">
        <v>169</v>
      </c>
      <c r="G42" s="59">
        <v>7370</v>
      </c>
      <c r="H42" s="59" t="s">
        <v>185</v>
      </c>
      <c r="I42" s="61" t="s">
        <v>171</v>
      </c>
      <c r="J42" s="62">
        <v>1000</v>
      </c>
      <c r="K42" s="63" t="s">
        <v>312</v>
      </c>
      <c r="L42" s="63">
        <v>0.02</v>
      </c>
      <c r="M42" s="65" t="s">
        <v>313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39</v>
      </c>
      <c r="D43" s="60" t="s">
        <v>68</v>
      </c>
      <c r="E43" s="59">
        <v>20.5</v>
      </c>
      <c r="F43" s="59" t="s">
        <v>194</v>
      </c>
      <c r="G43" s="59">
        <v>3619</v>
      </c>
      <c r="H43" s="59" t="s">
        <v>199</v>
      </c>
      <c r="I43" s="61" t="s">
        <v>171</v>
      </c>
      <c r="J43" s="62">
        <v>1.7</v>
      </c>
      <c r="K43" s="63" t="s">
        <v>314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39</v>
      </c>
      <c r="D44" s="60" t="s">
        <v>68</v>
      </c>
      <c r="E44" s="59">
        <v>20.5</v>
      </c>
      <c r="F44" s="59" t="s">
        <v>166</v>
      </c>
      <c r="G44" s="59">
        <v>194</v>
      </c>
      <c r="H44" s="59" t="s">
        <v>167</v>
      </c>
      <c r="I44" s="61" t="s">
        <v>130</v>
      </c>
      <c r="J44" s="62">
        <v>3.3999999999999998E-3</v>
      </c>
      <c r="K44" s="63" t="s">
        <v>328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39</v>
      </c>
      <c r="D45" s="60" t="s">
        <v>68</v>
      </c>
      <c r="E45" s="59">
        <v>20.5</v>
      </c>
      <c r="F45" s="59" t="s">
        <v>145</v>
      </c>
      <c r="G45" s="59">
        <v>4155</v>
      </c>
      <c r="H45" s="59" t="s">
        <v>151</v>
      </c>
      <c r="I45" s="61" t="s">
        <v>130</v>
      </c>
      <c r="J45" s="62">
        <v>0.1449</v>
      </c>
      <c r="K45" s="63" t="s">
        <v>316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39</v>
      </c>
      <c r="D46" s="60" t="s">
        <v>68</v>
      </c>
      <c r="E46" s="59">
        <v>20.5</v>
      </c>
      <c r="F46" s="59" t="s">
        <v>204</v>
      </c>
      <c r="G46" s="59">
        <v>3635</v>
      </c>
      <c r="H46" s="59" t="s">
        <v>205</v>
      </c>
      <c r="I46" s="61" t="s">
        <v>171</v>
      </c>
      <c r="J46" s="62">
        <v>5.8999999999999997E-2</v>
      </c>
      <c r="K46" s="63" t="s">
        <v>329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28</v>
      </c>
      <c r="D47" s="60" t="s">
        <v>70</v>
      </c>
      <c r="E47" s="59">
        <v>20.5</v>
      </c>
      <c r="F47" s="59" t="s">
        <v>128</v>
      </c>
      <c r="G47" s="59">
        <v>4179</v>
      </c>
      <c r="H47" s="59" t="s">
        <v>136</v>
      </c>
      <c r="I47" s="61" t="s">
        <v>130</v>
      </c>
      <c r="J47" s="62">
        <v>3.9369999999999998</v>
      </c>
      <c r="K47" s="63" t="s">
        <v>307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28</v>
      </c>
      <c r="D48" s="60" t="s">
        <v>70</v>
      </c>
      <c r="E48" s="59">
        <v>20.5</v>
      </c>
      <c r="F48" s="59" t="s">
        <v>152</v>
      </c>
      <c r="G48" s="59">
        <v>3595</v>
      </c>
      <c r="H48" s="59" t="s">
        <v>309</v>
      </c>
      <c r="I48" s="61" t="s">
        <v>130</v>
      </c>
      <c r="J48" s="62">
        <v>0.38500000000000001</v>
      </c>
      <c r="K48" s="63" t="s">
        <v>310</v>
      </c>
      <c r="L48" s="63">
        <v>0.1</v>
      </c>
      <c r="M48" s="65" t="s">
        <v>311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28</v>
      </c>
      <c r="D49" s="60" t="s">
        <v>70</v>
      </c>
      <c r="E49" s="59">
        <v>20.5</v>
      </c>
      <c r="F49" s="59" t="s">
        <v>169</v>
      </c>
      <c r="G49" s="59">
        <v>6971</v>
      </c>
      <c r="H49" s="59" t="s">
        <v>184</v>
      </c>
      <c r="I49" s="61" t="s">
        <v>171</v>
      </c>
      <c r="J49" s="62">
        <v>1000</v>
      </c>
      <c r="K49" s="63" t="s">
        <v>312</v>
      </c>
      <c r="L49" s="63">
        <v>0.02</v>
      </c>
      <c r="M49" s="65" t="s">
        <v>313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28</v>
      </c>
      <c r="D50" s="60" t="s">
        <v>70</v>
      </c>
      <c r="E50" s="59">
        <v>20.5</v>
      </c>
      <c r="F50" s="59" t="s">
        <v>194</v>
      </c>
      <c r="G50" s="59">
        <v>3619</v>
      </c>
      <c r="H50" s="59" t="s">
        <v>199</v>
      </c>
      <c r="I50" s="61" t="s">
        <v>171</v>
      </c>
      <c r="J50" s="62">
        <v>2.976</v>
      </c>
      <c r="K50" s="63" t="s">
        <v>314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28</v>
      </c>
      <c r="D51" s="60" t="s">
        <v>70</v>
      </c>
      <c r="E51" s="59">
        <v>20.5</v>
      </c>
      <c r="F51" s="59" t="s">
        <v>166</v>
      </c>
      <c r="G51" s="59">
        <v>194</v>
      </c>
      <c r="H51" s="59" t="s">
        <v>167</v>
      </c>
      <c r="I51" s="61" t="s">
        <v>130</v>
      </c>
      <c r="J51" s="62">
        <v>4.0899999999999999E-3</v>
      </c>
      <c r="K51" s="63" t="s">
        <v>315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28</v>
      </c>
      <c r="D52" s="60" t="s">
        <v>70</v>
      </c>
      <c r="E52" s="59">
        <v>20.5</v>
      </c>
      <c r="F52" s="59" t="s">
        <v>145</v>
      </c>
      <c r="G52" s="59">
        <v>4155</v>
      </c>
      <c r="H52" s="59" t="s">
        <v>151</v>
      </c>
      <c r="I52" s="61" t="s">
        <v>148</v>
      </c>
      <c r="J52" s="62">
        <v>0.24</v>
      </c>
      <c r="K52" s="63" t="s">
        <v>316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28</v>
      </c>
      <c r="D53" s="60" t="s">
        <v>70</v>
      </c>
      <c r="E53" s="59">
        <v>20.5</v>
      </c>
      <c r="F53" s="59" t="s">
        <v>204</v>
      </c>
      <c r="G53" s="59">
        <v>3635</v>
      </c>
      <c r="H53" s="59" t="s">
        <v>205</v>
      </c>
      <c r="I53" s="61" t="s">
        <v>171</v>
      </c>
      <c r="J53" s="62">
        <v>5.8999999999999997E-2</v>
      </c>
      <c r="K53" s="63" t="s">
        <v>318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28</v>
      </c>
      <c r="D54" s="60" t="s">
        <v>67</v>
      </c>
      <c r="E54" s="59">
        <v>20.5</v>
      </c>
      <c r="F54" s="59" t="s">
        <v>128</v>
      </c>
      <c r="G54" s="59">
        <v>4179</v>
      </c>
      <c r="H54" s="59" t="s">
        <v>136</v>
      </c>
      <c r="I54" s="61" t="s">
        <v>130</v>
      </c>
      <c r="J54" s="62">
        <v>3.9369999999999998</v>
      </c>
      <c r="K54" s="63" t="s">
        <v>307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28</v>
      </c>
      <c r="D55" s="60" t="s">
        <v>67</v>
      </c>
      <c r="E55" s="59">
        <v>20.5</v>
      </c>
      <c r="F55" s="59" t="s">
        <v>152</v>
      </c>
      <c r="G55" s="59">
        <v>3595</v>
      </c>
      <c r="H55" s="59" t="s">
        <v>309</v>
      </c>
      <c r="I55" s="61" t="s">
        <v>130</v>
      </c>
      <c r="J55" s="62">
        <v>0.38500000000000001</v>
      </c>
      <c r="K55" s="63" t="s">
        <v>310</v>
      </c>
      <c r="L55" s="63">
        <v>0.1</v>
      </c>
      <c r="M55" s="65" t="s">
        <v>311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28</v>
      </c>
      <c r="D56" s="60" t="s">
        <v>67</v>
      </c>
      <c r="E56" s="59">
        <v>20.5</v>
      </c>
      <c r="F56" s="59" t="s">
        <v>169</v>
      </c>
      <c r="G56" s="59">
        <v>6971</v>
      </c>
      <c r="H56" s="59" t="s">
        <v>184</v>
      </c>
      <c r="I56" s="61" t="s">
        <v>171</v>
      </c>
      <c r="J56" s="62">
        <v>1000</v>
      </c>
      <c r="K56" s="63" t="s">
        <v>312</v>
      </c>
      <c r="L56" s="63">
        <v>0.02</v>
      </c>
      <c r="M56" s="65" t="s">
        <v>313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28</v>
      </c>
      <c r="D57" s="60" t="s">
        <v>67</v>
      </c>
      <c r="E57" s="59">
        <v>20.5</v>
      </c>
      <c r="F57" s="59" t="s">
        <v>194</v>
      </c>
      <c r="G57" s="59">
        <v>3619</v>
      </c>
      <c r="H57" s="59" t="s">
        <v>199</v>
      </c>
      <c r="I57" s="61" t="s">
        <v>171</v>
      </c>
      <c r="J57" s="62">
        <v>1.9607000000000001</v>
      </c>
      <c r="K57" s="63" t="s">
        <v>314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28</v>
      </c>
      <c r="D58" s="60" t="s">
        <v>67</v>
      </c>
      <c r="E58" s="59">
        <v>20.5</v>
      </c>
      <c r="F58" s="59" t="s">
        <v>166</v>
      </c>
      <c r="G58" s="59">
        <v>194</v>
      </c>
      <c r="H58" s="59" t="s">
        <v>167</v>
      </c>
      <c r="I58" s="61" t="s">
        <v>130</v>
      </c>
      <c r="J58" s="62">
        <v>4.0899999999999999E-3</v>
      </c>
      <c r="K58" s="63" t="s">
        <v>315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28</v>
      </c>
      <c r="D59" s="60" t="s">
        <v>67</v>
      </c>
      <c r="E59" s="59">
        <v>20.5</v>
      </c>
      <c r="F59" s="59" t="s">
        <v>145</v>
      </c>
      <c r="G59" s="59">
        <v>4155</v>
      </c>
      <c r="H59" s="59" t="s">
        <v>151</v>
      </c>
      <c r="I59" s="61" t="s">
        <v>148</v>
      </c>
      <c r="J59" s="62">
        <v>0.24</v>
      </c>
      <c r="K59" s="63" t="s">
        <v>316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28</v>
      </c>
      <c r="D60" s="60" t="s">
        <v>67</v>
      </c>
      <c r="E60" s="59">
        <v>20.5</v>
      </c>
      <c r="F60" s="59" t="s">
        <v>204</v>
      </c>
      <c r="G60" s="59">
        <v>3635</v>
      </c>
      <c r="H60" s="59" t="s">
        <v>205</v>
      </c>
      <c r="I60" s="61" t="s">
        <v>171</v>
      </c>
      <c r="J60" s="62">
        <v>5.8999999999999997E-2</v>
      </c>
      <c r="K60" s="63" t="s">
        <v>318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28</v>
      </c>
      <c r="D61" s="60" t="s">
        <v>69</v>
      </c>
      <c r="E61" s="59">
        <v>20.5</v>
      </c>
      <c r="F61" s="59" t="s">
        <v>128</v>
      </c>
      <c r="G61" s="59">
        <v>4179</v>
      </c>
      <c r="H61" s="59" t="s">
        <v>136</v>
      </c>
      <c r="I61" s="61" t="s">
        <v>130</v>
      </c>
      <c r="J61" s="62">
        <v>3.9369999999999998</v>
      </c>
      <c r="K61" s="63" t="s">
        <v>307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28</v>
      </c>
      <c r="D62" s="60" t="s">
        <v>69</v>
      </c>
      <c r="E62" s="59">
        <v>20.5</v>
      </c>
      <c r="F62" s="59" t="s">
        <v>152</v>
      </c>
      <c r="G62" s="59">
        <v>3595</v>
      </c>
      <c r="H62" s="59" t="s">
        <v>309</v>
      </c>
      <c r="I62" s="61" t="s">
        <v>130</v>
      </c>
      <c r="J62" s="62">
        <v>0.38500000000000001</v>
      </c>
      <c r="K62" s="63" t="s">
        <v>310</v>
      </c>
      <c r="L62" s="63">
        <v>0.1</v>
      </c>
      <c r="M62" s="65" t="s">
        <v>327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28</v>
      </c>
      <c r="D63" s="60" t="s">
        <v>69</v>
      </c>
      <c r="E63" s="59">
        <v>20.5</v>
      </c>
      <c r="F63" s="59" t="s">
        <v>169</v>
      </c>
      <c r="G63" s="59">
        <v>6971</v>
      </c>
      <c r="H63" s="59" t="s">
        <v>184</v>
      </c>
      <c r="I63" s="61" t="s">
        <v>171</v>
      </c>
      <c r="J63" s="62">
        <v>1000</v>
      </c>
      <c r="K63" s="63" t="s">
        <v>312</v>
      </c>
      <c r="L63" s="63">
        <v>0.02</v>
      </c>
      <c r="M63" s="65" t="s">
        <v>327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28</v>
      </c>
      <c r="D64" s="60" t="s">
        <v>69</v>
      </c>
      <c r="E64" s="59">
        <v>20.5</v>
      </c>
      <c r="F64" s="59" t="s">
        <v>194</v>
      </c>
      <c r="G64" s="59">
        <v>3619</v>
      </c>
      <c r="H64" s="59" t="s">
        <v>199</v>
      </c>
      <c r="I64" s="61" t="s">
        <v>171</v>
      </c>
      <c r="J64" s="62">
        <v>1.96</v>
      </c>
      <c r="K64" s="63" t="s">
        <v>314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28</v>
      </c>
      <c r="D65" s="60" t="s">
        <v>69</v>
      </c>
      <c r="E65" s="59">
        <v>20.5</v>
      </c>
      <c r="F65" s="59" t="s">
        <v>166</v>
      </c>
      <c r="G65" s="59">
        <v>194</v>
      </c>
      <c r="H65" s="59" t="s">
        <v>167</v>
      </c>
      <c r="I65" s="61" t="s">
        <v>130</v>
      </c>
      <c r="J65" s="62">
        <v>4.0940000000000004E-3</v>
      </c>
      <c r="K65" s="63" t="s">
        <v>315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28</v>
      </c>
      <c r="D66" s="60" t="s">
        <v>69</v>
      </c>
      <c r="E66" s="59">
        <v>20.5</v>
      </c>
      <c r="F66" s="59" t="s">
        <v>145</v>
      </c>
      <c r="G66" s="59">
        <v>4155</v>
      </c>
      <c r="H66" s="59" t="s">
        <v>151</v>
      </c>
      <c r="I66" s="61" t="s">
        <v>148</v>
      </c>
      <c r="J66" s="62">
        <v>0.24</v>
      </c>
      <c r="K66" s="63" t="s">
        <v>316</v>
      </c>
      <c r="L66" s="63">
        <v>0.1</v>
      </c>
      <c r="M66" s="65" t="s">
        <v>327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28</v>
      </c>
      <c r="D67" s="60" t="s">
        <v>69</v>
      </c>
      <c r="E67" s="59">
        <v>20.5</v>
      </c>
      <c r="F67" s="59" t="s">
        <v>204</v>
      </c>
      <c r="G67" s="59">
        <v>3635</v>
      </c>
      <c r="H67" s="59" t="s">
        <v>205</v>
      </c>
      <c r="I67" s="61" t="s">
        <v>171</v>
      </c>
      <c r="J67" s="62">
        <v>2.996</v>
      </c>
      <c r="K67" s="63" t="s">
        <v>318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28</v>
      </c>
      <c r="D68" s="60" t="s">
        <v>71</v>
      </c>
      <c r="E68" s="59">
        <v>20.5</v>
      </c>
      <c r="F68" s="59" t="s">
        <v>128</v>
      </c>
      <c r="G68" s="59">
        <v>4179</v>
      </c>
      <c r="H68" s="59" t="s">
        <v>136</v>
      </c>
      <c r="I68" s="61" t="s">
        <v>130</v>
      </c>
      <c r="J68" s="62">
        <v>3.9369999999999998</v>
      </c>
      <c r="K68" s="63" t="s">
        <v>307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28</v>
      </c>
      <c r="D69" s="60" t="s">
        <v>71</v>
      </c>
      <c r="E69" s="59">
        <v>20.5</v>
      </c>
      <c r="F69" s="59" t="s">
        <v>152</v>
      </c>
      <c r="G69" s="59">
        <v>3595</v>
      </c>
      <c r="H69" s="59" t="s">
        <v>309</v>
      </c>
      <c r="I69" s="61" t="s">
        <v>130</v>
      </c>
      <c r="J69" s="62">
        <v>0.38500000000000001</v>
      </c>
      <c r="K69" s="63" t="s">
        <v>310</v>
      </c>
      <c r="L69" s="63">
        <v>0.1</v>
      </c>
      <c r="M69" s="65" t="s">
        <v>327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28</v>
      </c>
      <c r="D70" s="60" t="s">
        <v>71</v>
      </c>
      <c r="E70" s="59">
        <v>20.5</v>
      </c>
      <c r="F70" s="59" t="s">
        <v>169</v>
      </c>
      <c r="G70" s="59">
        <v>6971</v>
      </c>
      <c r="H70" s="59" t="s">
        <v>184</v>
      </c>
      <c r="I70" s="61" t="s">
        <v>171</v>
      </c>
      <c r="J70" s="62">
        <v>1000</v>
      </c>
      <c r="K70" s="63" t="s">
        <v>312</v>
      </c>
      <c r="L70" s="63">
        <v>0.02</v>
      </c>
      <c r="M70" s="65" t="s">
        <v>327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28</v>
      </c>
      <c r="D71" s="60" t="s">
        <v>71</v>
      </c>
      <c r="E71" s="59">
        <v>20.5</v>
      </c>
      <c r="F71" s="59" t="s">
        <v>194</v>
      </c>
      <c r="G71" s="59">
        <v>3619</v>
      </c>
      <c r="H71" s="59" t="s">
        <v>199</v>
      </c>
      <c r="I71" s="61" t="s">
        <v>171</v>
      </c>
      <c r="J71" s="62">
        <v>1.96</v>
      </c>
      <c r="K71" s="63" t="s">
        <v>314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28</v>
      </c>
      <c r="D72" s="60" t="s">
        <v>71</v>
      </c>
      <c r="E72" s="59">
        <v>20.5</v>
      </c>
      <c r="F72" s="59" t="s">
        <v>166</v>
      </c>
      <c r="G72" s="59">
        <v>194</v>
      </c>
      <c r="H72" s="59" t="s">
        <v>167</v>
      </c>
      <c r="I72" s="61" t="s">
        <v>130</v>
      </c>
      <c r="J72" s="62">
        <v>4.0899999999999999E-3</v>
      </c>
      <c r="K72" s="63" t="s">
        <v>328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28</v>
      </c>
      <c r="D73" s="60" t="s">
        <v>71</v>
      </c>
      <c r="E73" s="59">
        <v>20.5</v>
      </c>
      <c r="F73" s="59" t="s">
        <v>145</v>
      </c>
      <c r="G73" s="59">
        <v>4155</v>
      </c>
      <c r="H73" s="59" t="s">
        <v>151</v>
      </c>
      <c r="I73" s="61" t="s">
        <v>148</v>
      </c>
      <c r="J73" s="62">
        <v>0.24</v>
      </c>
      <c r="K73" s="63" t="s">
        <v>316</v>
      </c>
      <c r="L73" s="63">
        <v>0.1</v>
      </c>
      <c r="M73" s="65" t="s">
        <v>327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28</v>
      </c>
      <c r="D74" s="60" t="s">
        <v>71</v>
      </c>
      <c r="E74" s="59">
        <v>20.5</v>
      </c>
      <c r="F74" s="59" t="s">
        <v>204</v>
      </c>
      <c r="G74" s="59">
        <v>3635</v>
      </c>
      <c r="H74" s="59" t="s">
        <v>205</v>
      </c>
      <c r="I74" s="61" t="s">
        <v>171</v>
      </c>
      <c r="J74" s="62">
        <v>2.996</v>
      </c>
      <c r="K74" s="63" t="s">
        <v>329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28</v>
      </c>
      <c r="D75" s="60" t="s">
        <v>72</v>
      </c>
      <c r="E75" s="59">
        <v>20.5</v>
      </c>
      <c r="F75" s="59" t="s">
        <v>128</v>
      </c>
      <c r="G75" s="59">
        <v>4179</v>
      </c>
      <c r="H75" s="59" t="s">
        <v>136</v>
      </c>
      <c r="I75" s="61" t="s">
        <v>130</v>
      </c>
      <c r="J75" s="62">
        <v>3.9369999999999998</v>
      </c>
      <c r="K75" s="63" t="s">
        <v>307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28</v>
      </c>
      <c r="D76" s="60" t="s">
        <v>72</v>
      </c>
      <c r="E76" s="59">
        <v>20.5</v>
      </c>
      <c r="F76" s="59" t="s">
        <v>152</v>
      </c>
      <c r="G76" s="59">
        <v>3595</v>
      </c>
      <c r="H76" s="59" t="s">
        <v>309</v>
      </c>
      <c r="I76" s="61" t="s">
        <v>130</v>
      </c>
      <c r="J76" s="62">
        <v>0.38500000000000001</v>
      </c>
      <c r="K76" s="63" t="s">
        <v>310</v>
      </c>
      <c r="L76" s="63">
        <v>0.1</v>
      </c>
      <c r="M76" s="65" t="s">
        <v>311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28</v>
      </c>
      <c r="D77" s="60" t="s">
        <v>72</v>
      </c>
      <c r="E77" s="59">
        <v>20.5</v>
      </c>
      <c r="F77" s="59" t="s">
        <v>169</v>
      </c>
      <c r="G77" s="59">
        <v>6971</v>
      </c>
      <c r="H77" s="59" t="s">
        <v>184</v>
      </c>
      <c r="I77" s="61" t="s">
        <v>171</v>
      </c>
      <c r="J77" s="62">
        <v>1000</v>
      </c>
      <c r="K77" s="63" t="s">
        <v>312</v>
      </c>
      <c r="L77" s="63">
        <v>0.02</v>
      </c>
      <c r="M77" s="65" t="s">
        <v>313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28</v>
      </c>
      <c r="D78" s="60" t="s">
        <v>72</v>
      </c>
      <c r="E78" s="59">
        <v>20.5</v>
      </c>
      <c r="F78" s="59" t="s">
        <v>194</v>
      </c>
      <c r="G78" s="59">
        <v>3619</v>
      </c>
      <c r="H78" s="59" t="s">
        <v>199</v>
      </c>
      <c r="I78" s="61" t="s">
        <v>171</v>
      </c>
      <c r="J78" s="62">
        <v>1.9607000000000001</v>
      </c>
      <c r="K78" s="63" t="s">
        <v>314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28</v>
      </c>
      <c r="D79" s="60" t="s">
        <v>72</v>
      </c>
      <c r="E79" s="59">
        <v>20.5</v>
      </c>
      <c r="F79" s="59" t="s">
        <v>166</v>
      </c>
      <c r="G79" s="59">
        <v>194</v>
      </c>
      <c r="H79" s="59" t="s">
        <v>167</v>
      </c>
      <c r="I79" s="61" t="s">
        <v>130</v>
      </c>
      <c r="J79" s="62">
        <v>4.0899999999999999E-3</v>
      </c>
      <c r="K79" s="63" t="s">
        <v>315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28</v>
      </c>
      <c r="D80" s="60" t="s">
        <v>72</v>
      </c>
      <c r="E80" s="59">
        <v>20.5</v>
      </c>
      <c r="F80" s="59" t="s">
        <v>145</v>
      </c>
      <c r="G80" s="59">
        <v>4155</v>
      </c>
      <c r="H80" s="59" t="s">
        <v>151</v>
      </c>
      <c r="I80" s="61" t="s">
        <v>148</v>
      </c>
      <c r="J80" s="62">
        <v>0.24</v>
      </c>
      <c r="K80" s="63" t="s">
        <v>316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28</v>
      </c>
      <c r="D81" s="60" t="s">
        <v>72</v>
      </c>
      <c r="E81" s="59">
        <v>20.5</v>
      </c>
      <c r="F81" s="59" t="s">
        <v>204</v>
      </c>
      <c r="G81" s="59">
        <v>3635</v>
      </c>
      <c r="H81" s="59" t="s">
        <v>205</v>
      </c>
      <c r="I81" s="61" t="s">
        <v>171</v>
      </c>
      <c r="J81" s="62">
        <v>5.8999999999999997E-2</v>
      </c>
      <c r="K81" s="63" t="s">
        <v>318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28</v>
      </c>
      <c r="D82" s="60" t="s">
        <v>73</v>
      </c>
      <c r="E82" s="59">
        <v>20.5</v>
      </c>
      <c r="F82" s="59" t="s">
        <v>128</v>
      </c>
      <c r="G82" s="59">
        <v>4179</v>
      </c>
      <c r="H82" s="59" t="s">
        <v>136</v>
      </c>
      <c r="I82" s="61" t="s">
        <v>130</v>
      </c>
      <c r="J82" s="62">
        <v>3.9369999999999998</v>
      </c>
      <c r="K82" s="63" t="s">
        <v>307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28</v>
      </c>
      <c r="D83" s="60" t="s">
        <v>73</v>
      </c>
      <c r="E83" s="59">
        <v>20.5</v>
      </c>
      <c r="F83" s="59" t="s">
        <v>152</v>
      </c>
      <c r="G83" s="59">
        <v>3595</v>
      </c>
      <c r="H83" s="59" t="s">
        <v>309</v>
      </c>
      <c r="I83" s="61" t="s">
        <v>130</v>
      </c>
      <c r="J83" s="62">
        <v>0.38500000000000001</v>
      </c>
      <c r="K83" s="63" t="s">
        <v>310</v>
      </c>
      <c r="L83" s="63">
        <v>0.1</v>
      </c>
      <c r="M83" s="65" t="s">
        <v>311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28</v>
      </c>
      <c r="D84" s="60" t="s">
        <v>73</v>
      </c>
      <c r="E84" s="59">
        <v>20.5</v>
      </c>
      <c r="F84" s="59" t="s">
        <v>169</v>
      </c>
      <c r="G84" s="59">
        <v>6971</v>
      </c>
      <c r="H84" s="59" t="s">
        <v>184</v>
      </c>
      <c r="I84" s="61" t="s">
        <v>171</v>
      </c>
      <c r="J84" s="62">
        <v>1000</v>
      </c>
      <c r="K84" s="63" t="s">
        <v>312</v>
      </c>
      <c r="L84" s="63">
        <v>0.02</v>
      </c>
      <c r="M84" s="65" t="s">
        <v>313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28</v>
      </c>
      <c r="D85" s="60" t="s">
        <v>73</v>
      </c>
      <c r="E85" s="59">
        <v>20.5</v>
      </c>
      <c r="F85" s="59" t="s">
        <v>194</v>
      </c>
      <c r="G85" s="59">
        <v>3619</v>
      </c>
      <c r="H85" s="59" t="s">
        <v>199</v>
      </c>
      <c r="I85" s="61" t="s">
        <v>171</v>
      </c>
      <c r="J85" s="62">
        <v>1.9607000000000001</v>
      </c>
      <c r="K85" s="63" t="s">
        <v>314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28</v>
      </c>
      <c r="D86" s="60" t="s">
        <v>73</v>
      </c>
      <c r="E86" s="59">
        <v>20.5</v>
      </c>
      <c r="F86" s="59" t="s">
        <v>166</v>
      </c>
      <c r="G86" s="59">
        <v>194</v>
      </c>
      <c r="H86" s="59" t="s">
        <v>167</v>
      </c>
      <c r="I86" s="61" t="s">
        <v>130</v>
      </c>
      <c r="J86" s="62">
        <v>4.0899999999999999E-3</v>
      </c>
      <c r="K86" s="63" t="s">
        <v>315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28</v>
      </c>
      <c r="D87" s="60" t="s">
        <v>73</v>
      </c>
      <c r="E87" s="59">
        <v>20.5</v>
      </c>
      <c r="F87" s="59" t="s">
        <v>145</v>
      </c>
      <c r="G87" s="59">
        <v>4155</v>
      </c>
      <c r="H87" s="59" t="s">
        <v>151</v>
      </c>
      <c r="I87" s="61" t="s">
        <v>148</v>
      </c>
      <c r="J87" s="62">
        <v>0.24</v>
      </c>
      <c r="K87" s="63" t="s">
        <v>316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28</v>
      </c>
      <c r="D88" s="60" t="s">
        <v>73</v>
      </c>
      <c r="E88" s="59">
        <v>20.5</v>
      </c>
      <c r="F88" s="59" t="s">
        <v>204</v>
      </c>
      <c r="G88" s="59">
        <v>3635</v>
      </c>
      <c r="H88" s="59" t="s">
        <v>205</v>
      </c>
      <c r="I88" s="61" t="s">
        <v>171</v>
      </c>
      <c r="J88" s="62">
        <v>5.8999999999999997E-2</v>
      </c>
      <c r="K88" s="63" t="s">
        <v>318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39</v>
      </c>
      <c r="D89" s="60" t="s">
        <v>76</v>
      </c>
      <c r="E89" s="59">
        <v>25</v>
      </c>
      <c r="F89" s="59" t="s">
        <v>128</v>
      </c>
      <c r="G89" s="59">
        <v>6</v>
      </c>
      <c r="H89" s="59" t="s">
        <v>137</v>
      </c>
      <c r="I89" s="61" t="s">
        <v>130</v>
      </c>
      <c r="J89" s="62">
        <v>5.97</v>
      </c>
      <c r="K89" s="63" t="s">
        <v>307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39</v>
      </c>
      <c r="D90" s="60" t="s">
        <v>76</v>
      </c>
      <c r="E90" s="59">
        <v>25</v>
      </c>
      <c r="F90" s="59" t="s">
        <v>152</v>
      </c>
      <c r="G90" s="59">
        <v>3595</v>
      </c>
      <c r="H90" s="59" t="s">
        <v>309</v>
      </c>
      <c r="I90" s="61" t="s">
        <v>130</v>
      </c>
      <c r="J90" s="62">
        <v>0.61199999999999999</v>
      </c>
      <c r="K90" s="63" t="s">
        <v>310</v>
      </c>
      <c r="L90" s="63">
        <v>0.1</v>
      </c>
      <c r="M90" s="65" t="s">
        <v>327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39</v>
      </c>
      <c r="D91" s="60" t="s">
        <v>76</v>
      </c>
      <c r="E91" s="59">
        <v>25</v>
      </c>
      <c r="F91" s="59" t="s">
        <v>164</v>
      </c>
      <c r="G91" s="59">
        <v>186</v>
      </c>
      <c r="H91" s="59" t="s">
        <v>165</v>
      </c>
      <c r="I91" s="61" t="s">
        <v>130</v>
      </c>
      <c r="J91" s="62">
        <v>0.25</v>
      </c>
      <c r="K91" s="63" t="s">
        <v>330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39</v>
      </c>
      <c r="D92" s="60" t="s">
        <v>76</v>
      </c>
      <c r="E92" s="59">
        <v>25</v>
      </c>
      <c r="F92" s="59" t="s">
        <v>169</v>
      </c>
      <c r="G92" s="59">
        <v>68</v>
      </c>
      <c r="H92" s="59" t="s">
        <v>186</v>
      </c>
      <c r="I92" s="61" t="s">
        <v>171</v>
      </c>
      <c r="J92" s="62">
        <v>1000</v>
      </c>
      <c r="K92" s="63" t="s">
        <v>312</v>
      </c>
      <c r="L92" s="63">
        <v>0.02</v>
      </c>
      <c r="M92" s="65" t="s">
        <v>313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39</v>
      </c>
      <c r="D93" s="60" t="s">
        <v>76</v>
      </c>
      <c r="E93" s="59">
        <v>25</v>
      </c>
      <c r="F93" s="59" t="s">
        <v>194</v>
      </c>
      <c r="G93" s="59">
        <v>3598</v>
      </c>
      <c r="H93" s="59" t="s">
        <v>200</v>
      </c>
      <c r="I93" s="61" t="s">
        <v>171</v>
      </c>
      <c r="J93" s="62">
        <v>2.976</v>
      </c>
      <c r="K93" s="63" t="s">
        <v>314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39</v>
      </c>
      <c r="D94" s="60" t="s">
        <v>76</v>
      </c>
      <c r="E94" s="59">
        <v>25</v>
      </c>
      <c r="F94" s="59" t="s">
        <v>166</v>
      </c>
      <c r="G94" s="59">
        <v>194</v>
      </c>
      <c r="H94" s="59" t="s">
        <v>167</v>
      </c>
      <c r="I94" s="61" t="s">
        <v>130</v>
      </c>
      <c r="J94" s="62">
        <v>6.1538499999999998E-3</v>
      </c>
      <c r="K94" s="63" t="s">
        <v>315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39</v>
      </c>
      <c r="D95" s="60" t="s">
        <v>76</v>
      </c>
      <c r="E95" s="59">
        <v>25</v>
      </c>
      <c r="F95" s="59" t="s">
        <v>145</v>
      </c>
      <c r="G95" s="59">
        <v>4155</v>
      </c>
      <c r="H95" s="59" t="s">
        <v>151</v>
      </c>
      <c r="I95" s="61" t="s">
        <v>130</v>
      </c>
      <c r="J95" s="62">
        <v>0.29199999999999998</v>
      </c>
      <c r="K95" s="63" t="s">
        <v>316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39</v>
      </c>
      <c r="D96" s="60" t="s">
        <v>76</v>
      </c>
      <c r="E96" s="59">
        <v>25</v>
      </c>
      <c r="F96" s="59" t="s">
        <v>331</v>
      </c>
      <c r="G96" s="59">
        <v>495</v>
      </c>
      <c r="H96" s="59" t="s">
        <v>332</v>
      </c>
      <c r="I96" s="61" t="s">
        <v>321</v>
      </c>
      <c r="J96" s="62">
        <v>2.976</v>
      </c>
      <c r="K96" s="63" t="s">
        <v>333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39</v>
      </c>
      <c r="D97" s="60" t="s">
        <v>76</v>
      </c>
      <c r="E97" s="59">
        <v>25</v>
      </c>
      <c r="F97" s="59" t="s">
        <v>204</v>
      </c>
      <c r="G97" s="59">
        <v>3635</v>
      </c>
      <c r="H97" s="59" t="s">
        <v>205</v>
      </c>
      <c r="I97" s="61" t="s">
        <v>171</v>
      </c>
      <c r="J97" s="62">
        <v>7.9000000000000001E-2</v>
      </c>
      <c r="K97" s="63" t="s">
        <v>318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28</v>
      </c>
      <c r="D98" s="60" t="s">
        <v>29</v>
      </c>
      <c r="E98" s="59">
        <v>25</v>
      </c>
      <c r="F98" s="59" t="s">
        <v>128</v>
      </c>
      <c r="G98" s="59">
        <v>6</v>
      </c>
      <c r="H98" s="59" t="s">
        <v>137</v>
      </c>
      <c r="I98" s="61" t="s">
        <v>130</v>
      </c>
      <c r="J98" s="62">
        <v>5.9169999999999998</v>
      </c>
      <c r="K98" s="63" t="s">
        <v>307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28</v>
      </c>
      <c r="D99" s="60" t="s">
        <v>29</v>
      </c>
      <c r="E99" s="59">
        <v>25</v>
      </c>
      <c r="F99" s="59" t="s">
        <v>152</v>
      </c>
      <c r="G99" s="59">
        <v>3595</v>
      </c>
      <c r="H99" s="59" t="s">
        <v>309</v>
      </c>
      <c r="I99" s="61" t="s">
        <v>130</v>
      </c>
      <c r="J99" s="62">
        <v>0.61</v>
      </c>
      <c r="K99" s="63" t="s">
        <v>310</v>
      </c>
      <c r="L99" s="63">
        <v>0.1</v>
      </c>
      <c r="M99" s="65" t="s">
        <v>327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28</v>
      </c>
      <c r="D100" s="60" t="s">
        <v>29</v>
      </c>
      <c r="E100" s="59">
        <v>25</v>
      </c>
      <c r="F100" s="59" t="s">
        <v>169</v>
      </c>
      <c r="G100" s="59">
        <v>68</v>
      </c>
      <c r="H100" s="59" t="s">
        <v>186</v>
      </c>
      <c r="I100" s="61" t="s">
        <v>171</v>
      </c>
      <c r="J100" s="62">
        <v>1000</v>
      </c>
      <c r="K100" s="63" t="s">
        <v>312</v>
      </c>
      <c r="L100" s="63">
        <v>0.02</v>
      </c>
      <c r="M100" s="65" t="s">
        <v>327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28</v>
      </c>
      <c r="D101" s="60" t="s">
        <v>29</v>
      </c>
      <c r="E101" s="59">
        <v>25</v>
      </c>
      <c r="F101" s="59" t="s">
        <v>194</v>
      </c>
      <c r="G101" s="59">
        <v>3598</v>
      </c>
      <c r="H101" s="59" t="s">
        <v>200</v>
      </c>
      <c r="I101" s="61" t="s">
        <v>171</v>
      </c>
      <c r="J101" s="62">
        <v>2.976</v>
      </c>
      <c r="K101" s="63" t="s">
        <v>314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28</v>
      </c>
      <c r="D102" s="60" t="s">
        <v>29</v>
      </c>
      <c r="E102" s="59">
        <v>25</v>
      </c>
      <c r="F102" s="59" t="s">
        <v>166</v>
      </c>
      <c r="G102" s="59">
        <v>194</v>
      </c>
      <c r="H102" s="59" t="s">
        <v>167</v>
      </c>
      <c r="I102" s="61" t="s">
        <v>130</v>
      </c>
      <c r="J102" s="62">
        <v>6.1500000000000001E-3</v>
      </c>
      <c r="K102" s="63" t="s">
        <v>315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28</v>
      </c>
      <c r="D103" s="60" t="s">
        <v>29</v>
      </c>
      <c r="E103" s="59">
        <v>25</v>
      </c>
      <c r="F103" s="59" t="s">
        <v>145</v>
      </c>
      <c r="G103" s="59">
        <v>4155</v>
      </c>
      <c r="H103" s="59" t="s">
        <v>151</v>
      </c>
      <c r="I103" s="61" t="s">
        <v>148</v>
      </c>
      <c r="J103" s="62">
        <v>0.37369999999999998</v>
      </c>
      <c r="K103" s="63" t="s">
        <v>316</v>
      </c>
      <c r="L103" s="63">
        <v>0.1</v>
      </c>
      <c r="M103" s="65" t="s">
        <v>327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28</v>
      </c>
      <c r="D104" s="60" t="s">
        <v>29</v>
      </c>
      <c r="E104" s="59">
        <v>25</v>
      </c>
      <c r="F104" s="59" t="s">
        <v>204</v>
      </c>
      <c r="G104" s="59">
        <v>3635</v>
      </c>
      <c r="H104" s="59" t="s">
        <v>205</v>
      </c>
      <c r="I104" s="61" t="s">
        <v>171</v>
      </c>
      <c r="J104" s="62">
        <v>4.7119999999999997</v>
      </c>
      <c r="K104" s="63" t="s">
        <v>318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28</v>
      </c>
      <c r="D105" s="60" t="s">
        <v>32</v>
      </c>
      <c r="E105" s="59">
        <v>25</v>
      </c>
      <c r="F105" s="59" t="s">
        <v>128</v>
      </c>
      <c r="G105" s="59">
        <v>6</v>
      </c>
      <c r="H105" s="59" t="s">
        <v>137</v>
      </c>
      <c r="I105" s="61" t="s">
        <v>130</v>
      </c>
      <c r="J105" s="62">
        <v>5.9169999999999998</v>
      </c>
      <c r="K105" s="63" t="s">
        <v>307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28</v>
      </c>
      <c r="D106" s="60" t="s">
        <v>32</v>
      </c>
      <c r="E106" s="59">
        <v>25</v>
      </c>
      <c r="F106" s="59" t="s">
        <v>152</v>
      </c>
      <c r="G106" s="59">
        <v>3595</v>
      </c>
      <c r="H106" s="59" t="s">
        <v>309</v>
      </c>
      <c r="I106" s="61" t="s">
        <v>130</v>
      </c>
      <c r="J106" s="62">
        <v>0.61199999999999999</v>
      </c>
      <c r="K106" s="63" t="s">
        <v>310</v>
      </c>
      <c r="L106" s="63">
        <v>0.1</v>
      </c>
      <c r="M106" s="65" t="s">
        <v>327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28</v>
      </c>
      <c r="D107" s="60" t="s">
        <v>32</v>
      </c>
      <c r="E107" s="59">
        <v>25</v>
      </c>
      <c r="F107" s="59" t="s">
        <v>169</v>
      </c>
      <c r="G107" s="59">
        <v>68</v>
      </c>
      <c r="H107" s="59" t="s">
        <v>186</v>
      </c>
      <c r="I107" s="61" t="s">
        <v>171</v>
      </c>
      <c r="J107" s="62">
        <v>1000</v>
      </c>
      <c r="K107" s="63" t="s">
        <v>312</v>
      </c>
      <c r="L107" s="63">
        <v>0.02</v>
      </c>
      <c r="M107" s="65" t="s">
        <v>313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28</v>
      </c>
      <c r="D108" s="60" t="s">
        <v>32</v>
      </c>
      <c r="E108" s="59">
        <v>25</v>
      </c>
      <c r="F108" s="59" t="s">
        <v>194</v>
      </c>
      <c r="G108" s="59">
        <v>3598</v>
      </c>
      <c r="H108" s="59" t="s">
        <v>200</v>
      </c>
      <c r="I108" s="61" t="s">
        <v>171</v>
      </c>
      <c r="J108" s="62">
        <v>2.976</v>
      </c>
      <c r="K108" s="63" t="s">
        <v>314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28</v>
      </c>
      <c r="D109" s="60" t="s">
        <v>32</v>
      </c>
      <c r="E109" s="59">
        <v>25</v>
      </c>
      <c r="F109" s="59" t="s">
        <v>166</v>
      </c>
      <c r="G109" s="59">
        <v>194</v>
      </c>
      <c r="H109" s="59" t="s">
        <v>167</v>
      </c>
      <c r="I109" s="61" t="s">
        <v>130</v>
      </c>
      <c r="J109" s="62">
        <v>6.1500000000000001E-3</v>
      </c>
      <c r="K109" s="63" t="s">
        <v>315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28</v>
      </c>
      <c r="D110" s="60" t="s">
        <v>32</v>
      </c>
      <c r="E110" s="59">
        <v>25</v>
      </c>
      <c r="F110" s="59" t="s">
        <v>145</v>
      </c>
      <c r="G110" s="59">
        <v>4155</v>
      </c>
      <c r="H110" s="59" t="s">
        <v>151</v>
      </c>
      <c r="I110" s="61" t="s">
        <v>148</v>
      </c>
      <c r="J110" s="62">
        <v>0.29199999999999998</v>
      </c>
      <c r="K110" s="63" t="s">
        <v>316</v>
      </c>
      <c r="L110" s="63">
        <v>0.1</v>
      </c>
      <c r="M110" s="65" t="s">
        <v>327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28</v>
      </c>
      <c r="D111" s="60" t="s">
        <v>32</v>
      </c>
      <c r="E111" s="59">
        <v>25</v>
      </c>
      <c r="F111" s="59" t="s">
        <v>204</v>
      </c>
      <c r="G111" s="59">
        <v>3635</v>
      </c>
      <c r="H111" s="59" t="s">
        <v>205</v>
      </c>
      <c r="I111" s="61" t="s">
        <v>171</v>
      </c>
      <c r="J111" s="62">
        <v>7.9000000000000001E-2</v>
      </c>
      <c r="K111" s="63" t="s">
        <v>318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334</v>
      </c>
      <c r="D112" s="60" t="s">
        <v>74</v>
      </c>
      <c r="E112" s="59">
        <v>25</v>
      </c>
      <c r="F112" s="59" t="s">
        <v>128</v>
      </c>
      <c r="G112" s="59">
        <v>6</v>
      </c>
      <c r="H112" s="59" t="s">
        <v>137</v>
      </c>
      <c r="I112" s="61" t="s">
        <v>130</v>
      </c>
      <c r="J112" s="62">
        <v>5.9169999999999998</v>
      </c>
      <c r="K112" s="63" t="s">
        <v>307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334</v>
      </c>
      <c r="D113" s="60" t="s">
        <v>74</v>
      </c>
      <c r="E113" s="59">
        <v>25</v>
      </c>
      <c r="F113" s="59" t="s">
        <v>152</v>
      </c>
      <c r="G113" s="59">
        <v>3595</v>
      </c>
      <c r="H113" s="59" t="s">
        <v>309</v>
      </c>
      <c r="I113" s="61" t="s">
        <v>130</v>
      </c>
      <c r="J113" s="62">
        <v>0.61199999999999999</v>
      </c>
      <c r="K113" s="63" t="s">
        <v>310</v>
      </c>
      <c r="L113" s="63">
        <v>0.1</v>
      </c>
      <c r="M113" s="65" t="s">
        <v>311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334</v>
      </c>
      <c r="D114" s="60" t="s">
        <v>74</v>
      </c>
      <c r="E114" s="59">
        <v>25</v>
      </c>
      <c r="F114" s="59" t="s">
        <v>169</v>
      </c>
      <c r="G114" s="59">
        <v>68</v>
      </c>
      <c r="H114" s="59" t="s">
        <v>186</v>
      </c>
      <c r="I114" s="61" t="s">
        <v>171</v>
      </c>
      <c r="J114" s="62">
        <v>1000</v>
      </c>
      <c r="K114" s="63" t="s">
        <v>312</v>
      </c>
      <c r="L114" s="63">
        <v>0.02</v>
      </c>
      <c r="M114" s="65" t="s">
        <v>313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334</v>
      </c>
      <c r="D115" s="60" t="s">
        <v>74</v>
      </c>
      <c r="E115" s="59">
        <v>25</v>
      </c>
      <c r="F115" s="59" t="s">
        <v>194</v>
      </c>
      <c r="G115" s="59">
        <v>3598</v>
      </c>
      <c r="H115" s="59" t="s">
        <v>200</v>
      </c>
      <c r="I115" s="61" t="s">
        <v>171</v>
      </c>
      <c r="J115" s="62">
        <v>2.976</v>
      </c>
      <c r="K115" s="63" t="s">
        <v>314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334</v>
      </c>
      <c r="D116" s="60" t="s">
        <v>74</v>
      </c>
      <c r="E116" s="59">
        <v>25</v>
      </c>
      <c r="F116" s="59" t="s">
        <v>166</v>
      </c>
      <c r="G116" s="59">
        <v>194</v>
      </c>
      <c r="H116" s="59" t="s">
        <v>167</v>
      </c>
      <c r="I116" s="61" t="s">
        <v>130</v>
      </c>
      <c r="J116" s="62">
        <v>6.1539999999999997E-3</v>
      </c>
      <c r="K116" s="63" t="s">
        <v>315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334</v>
      </c>
      <c r="D117" s="60" t="s">
        <v>74</v>
      </c>
      <c r="E117" s="59">
        <v>25</v>
      </c>
      <c r="F117" s="59" t="s">
        <v>145</v>
      </c>
      <c r="G117" s="59">
        <v>4155</v>
      </c>
      <c r="H117" s="59" t="s">
        <v>151</v>
      </c>
      <c r="I117" s="61" t="s">
        <v>148</v>
      </c>
      <c r="J117" s="62">
        <v>0.29199999999999998</v>
      </c>
      <c r="K117" s="63" t="s">
        <v>316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334</v>
      </c>
      <c r="D118" s="60" t="s">
        <v>74</v>
      </c>
      <c r="E118" s="59">
        <v>25</v>
      </c>
      <c r="F118" s="59" t="s">
        <v>204</v>
      </c>
      <c r="G118" s="59">
        <v>3635</v>
      </c>
      <c r="H118" s="59" t="s">
        <v>205</v>
      </c>
      <c r="I118" s="61" t="s">
        <v>171</v>
      </c>
      <c r="J118" s="62">
        <v>7.9000000000000001E-2</v>
      </c>
      <c r="K118" s="63" t="s">
        <v>318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334</v>
      </c>
      <c r="D119" s="60" t="s">
        <v>74</v>
      </c>
      <c r="E119" s="59">
        <v>25</v>
      </c>
      <c r="F119" s="59" t="s">
        <v>242</v>
      </c>
      <c r="G119" s="59">
        <v>3754</v>
      </c>
      <c r="H119" s="59" t="s">
        <v>246</v>
      </c>
      <c r="I119" s="61" t="s">
        <v>130</v>
      </c>
      <c r="J119" s="62">
        <v>2.5000000000000001E-2</v>
      </c>
      <c r="K119" s="63" t="s">
        <v>335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334</v>
      </c>
      <c r="D120" s="60" t="s">
        <v>74</v>
      </c>
      <c r="E120" s="59">
        <v>25</v>
      </c>
      <c r="F120" s="59" t="s">
        <v>242</v>
      </c>
      <c r="G120" s="59">
        <v>3955</v>
      </c>
      <c r="H120" s="59" t="s">
        <v>251</v>
      </c>
      <c r="I120" s="61" t="s">
        <v>130</v>
      </c>
      <c r="J120" s="62">
        <v>2.5000000000000001E-2</v>
      </c>
      <c r="K120" s="63" t="s">
        <v>335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28</v>
      </c>
      <c r="D121" s="60" t="s">
        <v>77</v>
      </c>
      <c r="E121" s="59">
        <v>25</v>
      </c>
      <c r="F121" s="59" t="s">
        <v>128</v>
      </c>
      <c r="G121" s="59">
        <v>6</v>
      </c>
      <c r="H121" s="59" t="s">
        <v>137</v>
      </c>
      <c r="I121" s="61" t="s">
        <v>130</v>
      </c>
      <c r="J121" s="62">
        <v>5.9169999999999998</v>
      </c>
      <c r="K121" s="63" t="s">
        <v>307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28</v>
      </c>
      <c r="D122" s="60" t="s">
        <v>77</v>
      </c>
      <c r="E122" s="59">
        <v>25</v>
      </c>
      <c r="F122" s="59" t="s">
        <v>152</v>
      </c>
      <c r="G122" s="59">
        <v>3595</v>
      </c>
      <c r="H122" s="59" t="s">
        <v>309</v>
      </c>
      <c r="I122" s="61" t="s">
        <v>130</v>
      </c>
      <c r="J122" s="62">
        <v>0.61199999999999999</v>
      </c>
      <c r="K122" s="63" t="s">
        <v>310</v>
      </c>
      <c r="L122" s="63">
        <v>0.1</v>
      </c>
      <c r="M122" s="65" t="s">
        <v>311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28</v>
      </c>
      <c r="D123" s="60" t="s">
        <v>77</v>
      </c>
      <c r="E123" s="59">
        <v>25</v>
      </c>
      <c r="F123" s="59" t="s">
        <v>169</v>
      </c>
      <c r="G123" s="59">
        <v>68</v>
      </c>
      <c r="H123" s="59" t="s">
        <v>186</v>
      </c>
      <c r="I123" s="61" t="s">
        <v>171</v>
      </c>
      <c r="J123" s="62">
        <v>1000</v>
      </c>
      <c r="K123" s="63" t="s">
        <v>312</v>
      </c>
      <c r="L123" s="63">
        <v>0.02</v>
      </c>
      <c r="M123" s="65" t="s">
        <v>313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28</v>
      </c>
      <c r="D124" s="60" t="s">
        <v>77</v>
      </c>
      <c r="E124" s="59">
        <v>25</v>
      </c>
      <c r="F124" s="59" t="s">
        <v>194</v>
      </c>
      <c r="G124" s="59">
        <v>3598</v>
      </c>
      <c r="H124" s="59" t="s">
        <v>200</v>
      </c>
      <c r="I124" s="61" t="s">
        <v>171</v>
      </c>
      <c r="J124" s="62">
        <v>2.976</v>
      </c>
      <c r="K124" s="63" t="s">
        <v>314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28</v>
      </c>
      <c r="D125" s="60" t="s">
        <v>77</v>
      </c>
      <c r="E125" s="59">
        <v>25</v>
      </c>
      <c r="F125" s="59" t="s">
        <v>166</v>
      </c>
      <c r="G125" s="59">
        <v>194</v>
      </c>
      <c r="H125" s="59" t="s">
        <v>167</v>
      </c>
      <c r="I125" s="61" t="s">
        <v>130</v>
      </c>
      <c r="J125" s="62">
        <v>6.1539999999999997E-3</v>
      </c>
      <c r="K125" s="63" t="s">
        <v>315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28</v>
      </c>
      <c r="D126" s="60" t="s">
        <v>77</v>
      </c>
      <c r="E126" s="59">
        <v>25</v>
      </c>
      <c r="F126" s="59" t="s">
        <v>145</v>
      </c>
      <c r="G126" s="59">
        <v>4155</v>
      </c>
      <c r="H126" s="59" t="s">
        <v>151</v>
      </c>
      <c r="I126" s="61" t="s">
        <v>148</v>
      </c>
      <c r="J126" s="62">
        <v>0.29199999999999998</v>
      </c>
      <c r="K126" s="63" t="s">
        <v>316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28</v>
      </c>
      <c r="D127" s="60" t="s">
        <v>77</v>
      </c>
      <c r="E127" s="59">
        <v>25</v>
      </c>
      <c r="F127" s="59" t="s">
        <v>204</v>
      </c>
      <c r="G127" s="59">
        <v>3635</v>
      </c>
      <c r="H127" s="59" t="s">
        <v>205</v>
      </c>
      <c r="I127" s="61" t="s">
        <v>171</v>
      </c>
      <c r="J127" s="62">
        <v>7.9000000000000001E-2</v>
      </c>
      <c r="K127" s="63" t="s">
        <v>318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28</v>
      </c>
      <c r="D128" s="60" t="s">
        <v>75</v>
      </c>
      <c r="E128" s="59">
        <v>25</v>
      </c>
      <c r="F128" s="59" t="s">
        <v>128</v>
      </c>
      <c r="G128" s="59">
        <v>6</v>
      </c>
      <c r="H128" s="59" t="s">
        <v>137</v>
      </c>
      <c r="I128" s="61" t="s">
        <v>130</v>
      </c>
      <c r="J128" s="62">
        <v>5.9169999999999998</v>
      </c>
      <c r="K128" s="63" t="s">
        <v>307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28</v>
      </c>
      <c r="D129" s="60" t="s">
        <v>75</v>
      </c>
      <c r="E129" s="59">
        <v>25</v>
      </c>
      <c r="F129" s="59" t="s">
        <v>152</v>
      </c>
      <c r="G129" s="59">
        <v>3595</v>
      </c>
      <c r="H129" s="59" t="s">
        <v>309</v>
      </c>
      <c r="I129" s="61" t="s">
        <v>130</v>
      </c>
      <c r="J129" s="62">
        <v>0.61199999999999999</v>
      </c>
      <c r="K129" s="63" t="s">
        <v>310</v>
      </c>
      <c r="L129" s="63">
        <v>0.1</v>
      </c>
      <c r="M129" s="65" t="s">
        <v>327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28</v>
      </c>
      <c r="D130" s="60" t="s">
        <v>75</v>
      </c>
      <c r="E130" s="59">
        <v>25</v>
      </c>
      <c r="F130" s="59" t="s">
        <v>169</v>
      </c>
      <c r="G130" s="59">
        <v>68</v>
      </c>
      <c r="H130" s="59" t="s">
        <v>186</v>
      </c>
      <c r="I130" s="61" t="s">
        <v>171</v>
      </c>
      <c r="J130" s="62">
        <v>1000</v>
      </c>
      <c r="K130" s="63" t="s">
        <v>312</v>
      </c>
      <c r="L130" s="63">
        <v>0.02</v>
      </c>
      <c r="M130" s="65" t="s">
        <v>313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28</v>
      </c>
      <c r="D131" s="60" t="s">
        <v>75</v>
      </c>
      <c r="E131" s="59">
        <v>25</v>
      </c>
      <c r="F131" s="59" t="s">
        <v>194</v>
      </c>
      <c r="G131" s="59">
        <v>3598</v>
      </c>
      <c r="H131" s="59" t="s">
        <v>200</v>
      </c>
      <c r="I131" s="61" t="s">
        <v>171</v>
      </c>
      <c r="J131" s="62">
        <v>2.976</v>
      </c>
      <c r="K131" s="63" t="s">
        <v>314</v>
      </c>
      <c r="L131" s="63">
        <v>0.1</v>
      </c>
      <c r="M131" s="65" t="s">
        <v>336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28</v>
      </c>
      <c r="D132" s="60" t="s">
        <v>75</v>
      </c>
      <c r="E132" s="59">
        <v>25</v>
      </c>
      <c r="F132" s="59" t="s">
        <v>166</v>
      </c>
      <c r="G132" s="59">
        <v>194</v>
      </c>
      <c r="H132" s="59" t="s">
        <v>167</v>
      </c>
      <c r="I132" s="61" t="s">
        <v>130</v>
      </c>
      <c r="J132" s="62">
        <v>6.1538499999999998E-3</v>
      </c>
      <c r="K132" s="63" t="s">
        <v>315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28</v>
      </c>
      <c r="D133" s="60" t="s">
        <v>75</v>
      </c>
      <c r="E133" s="59">
        <v>25</v>
      </c>
      <c r="F133" s="59" t="s">
        <v>145</v>
      </c>
      <c r="G133" s="59">
        <v>4155</v>
      </c>
      <c r="H133" s="59" t="s">
        <v>151</v>
      </c>
      <c r="I133" s="61" t="s">
        <v>148</v>
      </c>
      <c r="J133" s="62">
        <v>0.29199999999999998</v>
      </c>
      <c r="K133" s="63" t="s">
        <v>316</v>
      </c>
      <c r="L133" s="63">
        <v>0.1</v>
      </c>
      <c r="M133" s="65" t="s">
        <v>327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28</v>
      </c>
      <c r="D134" s="60" t="s">
        <v>75</v>
      </c>
      <c r="E134" s="59">
        <v>25</v>
      </c>
      <c r="F134" s="59" t="s">
        <v>204</v>
      </c>
      <c r="G134" s="59">
        <v>3635</v>
      </c>
      <c r="H134" s="59" t="s">
        <v>205</v>
      </c>
      <c r="I134" s="61" t="s">
        <v>171</v>
      </c>
      <c r="J134" s="62">
        <v>7.9000000000000001E-2</v>
      </c>
      <c r="K134" s="63" t="s">
        <v>318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79</v>
      </c>
      <c r="D135" s="60" t="s">
        <v>80</v>
      </c>
      <c r="E135" s="59">
        <v>25</v>
      </c>
      <c r="F135" s="59" t="s">
        <v>128</v>
      </c>
      <c r="G135" s="59">
        <v>10</v>
      </c>
      <c r="H135" s="59" t="s">
        <v>138</v>
      </c>
      <c r="I135" s="61" t="s">
        <v>130</v>
      </c>
      <c r="J135" s="62">
        <v>5.9169999999999998</v>
      </c>
      <c r="K135" s="63" t="s">
        <v>307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79</v>
      </c>
      <c r="D136" s="60" t="s">
        <v>80</v>
      </c>
      <c r="E136" s="59">
        <v>25</v>
      </c>
      <c r="F136" s="59" t="s">
        <v>152</v>
      </c>
      <c r="G136" s="59">
        <v>3595</v>
      </c>
      <c r="H136" s="59" t="s">
        <v>309</v>
      </c>
      <c r="I136" s="61" t="s">
        <v>130</v>
      </c>
      <c r="J136" s="62">
        <v>0.56000000000000005</v>
      </c>
      <c r="K136" s="63" t="s">
        <v>310</v>
      </c>
      <c r="L136" s="63">
        <v>0.1</v>
      </c>
      <c r="M136" s="65" t="s">
        <v>327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79</v>
      </c>
      <c r="D137" s="60" t="s">
        <v>80</v>
      </c>
      <c r="E137" s="59">
        <v>25</v>
      </c>
      <c r="F137" s="59" t="s">
        <v>194</v>
      </c>
      <c r="G137" s="59">
        <v>3598</v>
      </c>
      <c r="H137" s="59" t="s">
        <v>200</v>
      </c>
      <c r="I137" s="61" t="s">
        <v>171</v>
      </c>
      <c r="J137" s="62">
        <v>2.976</v>
      </c>
      <c r="K137" s="63" t="s">
        <v>314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79</v>
      </c>
      <c r="D138" s="60" t="s">
        <v>80</v>
      </c>
      <c r="E138" s="59">
        <v>25</v>
      </c>
      <c r="F138" s="59" t="s">
        <v>166</v>
      </c>
      <c r="G138" s="59">
        <v>194</v>
      </c>
      <c r="H138" s="59" t="s">
        <v>167</v>
      </c>
      <c r="I138" s="61" t="s">
        <v>130</v>
      </c>
      <c r="J138" s="62">
        <v>5.8700000000000002E-3</v>
      </c>
      <c r="K138" s="63" t="s">
        <v>315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79</v>
      </c>
      <c r="D139" s="60" t="s">
        <v>80</v>
      </c>
      <c r="E139" s="59">
        <v>25</v>
      </c>
      <c r="F139" s="59" t="s">
        <v>145</v>
      </c>
      <c r="G139" s="59">
        <v>4155</v>
      </c>
      <c r="H139" s="59" t="s">
        <v>151</v>
      </c>
      <c r="I139" s="61" t="s">
        <v>148</v>
      </c>
      <c r="J139" s="62">
        <v>0.37369999999999998</v>
      </c>
      <c r="K139" s="63" t="s">
        <v>316</v>
      </c>
      <c r="L139" s="63">
        <v>0.1</v>
      </c>
      <c r="M139" s="65" t="s">
        <v>327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79</v>
      </c>
      <c r="D140" s="60" t="s">
        <v>80</v>
      </c>
      <c r="E140" s="59">
        <v>25</v>
      </c>
      <c r="F140" s="59" t="s">
        <v>204</v>
      </c>
      <c r="G140" s="59">
        <v>3635</v>
      </c>
      <c r="H140" s="59" t="s">
        <v>205</v>
      </c>
      <c r="I140" s="61" t="s">
        <v>171</v>
      </c>
      <c r="J140" s="62">
        <v>7.9000000000000008E-3</v>
      </c>
      <c r="K140" s="63" t="s">
        <v>318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79</v>
      </c>
      <c r="D141" s="60" t="s">
        <v>80</v>
      </c>
      <c r="E141" s="59">
        <v>25</v>
      </c>
      <c r="F141" s="59" t="s">
        <v>242</v>
      </c>
      <c r="G141" s="59">
        <v>3857</v>
      </c>
      <c r="H141" s="59" t="s">
        <v>253</v>
      </c>
      <c r="I141" s="61" t="s">
        <v>130</v>
      </c>
      <c r="J141" s="62">
        <v>0.33</v>
      </c>
      <c r="K141" s="63" t="s">
        <v>335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88</v>
      </c>
      <c r="D142" s="60" t="s">
        <v>90</v>
      </c>
      <c r="E142" s="59">
        <v>30</v>
      </c>
      <c r="F142" s="59" t="s">
        <v>128</v>
      </c>
      <c r="G142" s="59">
        <v>406</v>
      </c>
      <c r="H142" s="59" t="s">
        <v>140</v>
      </c>
      <c r="I142" s="61" t="s">
        <v>130</v>
      </c>
      <c r="J142" s="62">
        <v>8</v>
      </c>
      <c r="K142" s="63" t="s">
        <v>307</v>
      </c>
      <c r="L142" s="63">
        <v>0.1</v>
      </c>
      <c r="M142" s="65" t="s">
        <v>337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88</v>
      </c>
      <c r="D143" s="60" t="s">
        <v>90</v>
      </c>
      <c r="E143" s="59">
        <v>30</v>
      </c>
      <c r="F143" s="59" t="s">
        <v>152</v>
      </c>
      <c r="G143" s="59">
        <v>3595</v>
      </c>
      <c r="H143" s="59" t="s">
        <v>309</v>
      </c>
      <c r="I143" s="61" t="s">
        <v>130</v>
      </c>
      <c r="J143" s="62">
        <v>0.67</v>
      </c>
      <c r="K143" s="63" t="s">
        <v>310</v>
      </c>
      <c r="L143" s="63">
        <v>0.1</v>
      </c>
      <c r="M143" s="65" t="s">
        <v>327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88</v>
      </c>
      <c r="D144" s="60" t="s">
        <v>90</v>
      </c>
      <c r="E144" s="59">
        <v>30</v>
      </c>
      <c r="F144" s="59" t="s">
        <v>164</v>
      </c>
      <c r="G144" s="59">
        <v>186</v>
      </c>
      <c r="H144" s="59" t="s">
        <v>165</v>
      </c>
      <c r="I144" s="61" t="s">
        <v>130</v>
      </c>
      <c r="J144" s="62">
        <v>0.28000000000000003</v>
      </c>
      <c r="K144" s="63" t="s">
        <v>330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88</v>
      </c>
      <c r="D145" s="60" t="s">
        <v>90</v>
      </c>
      <c r="E145" s="59">
        <v>30</v>
      </c>
      <c r="F145" s="59" t="s">
        <v>169</v>
      </c>
      <c r="G145" s="59">
        <v>578</v>
      </c>
      <c r="H145" s="59" t="s">
        <v>192</v>
      </c>
      <c r="I145" s="61" t="s">
        <v>171</v>
      </c>
      <c r="J145" s="62">
        <v>1000</v>
      </c>
      <c r="K145" s="63" t="s">
        <v>312</v>
      </c>
      <c r="L145" s="63">
        <v>0.02</v>
      </c>
      <c r="M145" s="65" t="s">
        <v>313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88</v>
      </c>
      <c r="D146" s="60" t="s">
        <v>90</v>
      </c>
      <c r="E146" s="59">
        <v>30</v>
      </c>
      <c r="F146" s="59" t="s">
        <v>194</v>
      </c>
      <c r="G146" s="59">
        <v>45</v>
      </c>
      <c r="H146" s="59" t="s">
        <v>201</v>
      </c>
      <c r="I146" s="61" t="s">
        <v>171</v>
      </c>
      <c r="J146" s="62">
        <v>6.6665999999999999</v>
      </c>
      <c r="K146" s="63" t="s">
        <v>314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88</v>
      </c>
      <c r="D147" s="60" t="s">
        <v>90</v>
      </c>
      <c r="E147" s="59">
        <v>30</v>
      </c>
      <c r="F147" s="59" t="s">
        <v>145</v>
      </c>
      <c r="G147" s="59">
        <v>4155</v>
      </c>
      <c r="H147" s="59" t="s">
        <v>151</v>
      </c>
      <c r="I147" s="61" t="s">
        <v>130</v>
      </c>
      <c r="J147" s="62">
        <v>0.28000000000000003</v>
      </c>
      <c r="K147" s="63" t="s">
        <v>316</v>
      </c>
      <c r="L147" s="63">
        <v>0.1</v>
      </c>
      <c r="M147" s="65" t="s">
        <v>327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88</v>
      </c>
      <c r="D148" s="60" t="s">
        <v>90</v>
      </c>
      <c r="E148" s="59">
        <v>30</v>
      </c>
      <c r="F148" s="59" t="s">
        <v>204</v>
      </c>
      <c r="G148" s="59">
        <v>3635</v>
      </c>
      <c r="H148" s="59" t="s">
        <v>205</v>
      </c>
      <c r="I148" s="61" t="s">
        <v>171</v>
      </c>
      <c r="J148" s="62">
        <v>0.156</v>
      </c>
      <c r="K148" s="63" t="s">
        <v>329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88</v>
      </c>
      <c r="D149" s="60" t="s">
        <v>90</v>
      </c>
      <c r="E149" s="59">
        <v>30</v>
      </c>
      <c r="F149" s="59" t="s">
        <v>166</v>
      </c>
      <c r="G149" s="59">
        <v>194</v>
      </c>
      <c r="H149" s="59" t="s">
        <v>167</v>
      </c>
      <c r="I149" s="61" t="s">
        <v>130</v>
      </c>
      <c r="J149" s="62">
        <v>8.3199999999999993E-3</v>
      </c>
      <c r="K149" s="63" t="s">
        <v>166</v>
      </c>
      <c r="L149" s="63">
        <v>0.1</v>
      </c>
      <c r="M149" s="65" t="s">
        <v>338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88</v>
      </c>
      <c r="D150" s="60" t="s">
        <v>89</v>
      </c>
      <c r="E150" s="59">
        <v>30</v>
      </c>
      <c r="F150" s="59" t="s">
        <v>128</v>
      </c>
      <c r="G150" s="59">
        <v>406</v>
      </c>
      <c r="H150" s="59" t="s">
        <v>140</v>
      </c>
      <c r="I150" s="61" t="s">
        <v>130</v>
      </c>
      <c r="J150" s="62">
        <v>8</v>
      </c>
      <c r="K150" s="63" t="s">
        <v>307</v>
      </c>
      <c r="L150" s="63">
        <v>0.1</v>
      </c>
      <c r="M150" s="65" t="s">
        <v>337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88</v>
      </c>
      <c r="D151" s="60" t="s">
        <v>89</v>
      </c>
      <c r="E151" s="59">
        <v>30</v>
      </c>
      <c r="F151" s="59" t="s">
        <v>152</v>
      </c>
      <c r="G151" s="59">
        <v>3595</v>
      </c>
      <c r="H151" s="59" t="s">
        <v>309</v>
      </c>
      <c r="I151" s="61" t="s">
        <v>130</v>
      </c>
      <c r="J151" s="62">
        <v>0.67</v>
      </c>
      <c r="K151" s="63" t="s">
        <v>310</v>
      </c>
      <c r="L151" s="63">
        <v>0.1</v>
      </c>
      <c r="M151" s="65" t="s">
        <v>311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88</v>
      </c>
      <c r="D152" s="60" t="s">
        <v>89</v>
      </c>
      <c r="E152" s="59">
        <v>30</v>
      </c>
      <c r="F152" s="59" t="s">
        <v>164</v>
      </c>
      <c r="G152" s="59">
        <v>186</v>
      </c>
      <c r="H152" s="59" t="s">
        <v>165</v>
      </c>
      <c r="I152" s="61" t="s">
        <v>130</v>
      </c>
      <c r="J152" s="62">
        <v>0.28000000000000003</v>
      </c>
      <c r="K152" s="63" t="s">
        <v>330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88</v>
      </c>
      <c r="D153" s="60" t="s">
        <v>89</v>
      </c>
      <c r="E153" s="59">
        <v>30</v>
      </c>
      <c r="F153" s="59" t="s">
        <v>169</v>
      </c>
      <c r="G153" s="59">
        <v>578</v>
      </c>
      <c r="H153" s="59" t="s">
        <v>192</v>
      </c>
      <c r="I153" s="61" t="s">
        <v>171</v>
      </c>
      <c r="J153" s="62">
        <v>1000</v>
      </c>
      <c r="K153" s="63" t="s">
        <v>312</v>
      </c>
      <c r="L153" s="63">
        <v>0.02</v>
      </c>
      <c r="M153" s="65" t="s">
        <v>313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88</v>
      </c>
      <c r="D154" s="60" t="s">
        <v>89</v>
      </c>
      <c r="E154" s="59">
        <v>30</v>
      </c>
      <c r="F154" s="59" t="s">
        <v>194</v>
      </c>
      <c r="G154" s="59">
        <v>3598</v>
      </c>
      <c r="H154" s="59" t="s">
        <v>200</v>
      </c>
      <c r="I154" s="61" t="s">
        <v>171</v>
      </c>
      <c r="J154" s="62">
        <v>4.2016</v>
      </c>
      <c r="K154" s="63" t="s">
        <v>314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88</v>
      </c>
      <c r="D155" s="60" t="s">
        <v>89</v>
      </c>
      <c r="E155" s="59">
        <v>30</v>
      </c>
      <c r="F155" s="59" t="s">
        <v>145</v>
      </c>
      <c r="G155" s="59">
        <v>4155</v>
      </c>
      <c r="H155" s="59" t="s">
        <v>151</v>
      </c>
      <c r="I155" s="61" t="s">
        <v>130</v>
      </c>
      <c r="J155" s="62">
        <v>0.28000000000000003</v>
      </c>
      <c r="K155" s="63" t="s">
        <v>316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88</v>
      </c>
      <c r="D156" s="60" t="s">
        <v>89</v>
      </c>
      <c r="E156" s="59">
        <v>30</v>
      </c>
      <c r="F156" s="59" t="s">
        <v>204</v>
      </c>
      <c r="G156" s="59">
        <v>3635</v>
      </c>
      <c r="H156" s="59" t="s">
        <v>205</v>
      </c>
      <c r="I156" s="61" t="s">
        <v>171</v>
      </c>
      <c r="J156" s="62">
        <v>0.156</v>
      </c>
      <c r="K156" s="63" t="s">
        <v>329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88</v>
      </c>
      <c r="D157" s="60" t="s">
        <v>89</v>
      </c>
      <c r="E157" s="59">
        <v>30</v>
      </c>
      <c r="F157" s="59" t="s">
        <v>166</v>
      </c>
      <c r="G157" s="59">
        <v>194</v>
      </c>
      <c r="H157" s="59" t="s">
        <v>167</v>
      </c>
      <c r="I157" s="61" t="s">
        <v>130</v>
      </c>
      <c r="J157" s="62">
        <v>8.3199999999999993E-3</v>
      </c>
      <c r="K157" s="63" t="s">
        <v>166</v>
      </c>
      <c r="L157" s="63">
        <v>0.1</v>
      </c>
      <c r="M157" s="65" t="s">
        <v>338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34</v>
      </c>
      <c r="D158" s="60" t="s">
        <v>35</v>
      </c>
      <c r="E158" s="59">
        <v>30</v>
      </c>
      <c r="F158" s="59" t="s">
        <v>128</v>
      </c>
      <c r="G158" s="59">
        <v>406</v>
      </c>
      <c r="H158" s="59" t="s">
        <v>140</v>
      </c>
      <c r="I158" s="61" t="s">
        <v>130</v>
      </c>
      <c r="J158" s="62">
        <v>8</v>
      </c>
      <c r="K158" s="63" t="s">
        <v>307</v>
      </c>
      <c r="L158" s="63">
        <v>0.1</v>
      </c>
      <c r="M158" s="65" t="s">
        <v>337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34</v>
      </c>
      <c r="D159" s="60" t="s">
        <v>35</v>
      </c>
      <c r="E159" s="59">
        <v>30</v>
      </c>
      <c r="F159" s="59" t="s">
        <v>152</v>
      </c>
      <c r="G159" s="59">
        <v>3595</v>
      </c>
      <c r="H159" s="59" t="s">
        <v>309</v>
      </c>
      <c r="I159" s="61" t="s">
        <v>130</v>
      </c>
      <c r="J159" s="62">
        <v>0.67</v>
      </c>
      <c r="K159" s="63" t="s">
        <v>310</v>
      </c>
      <c r="L159" s="63">
        <v>0.1</v>
      </c>
      <c r="M159" s="65" t="s">
        <v>311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34</v>
      </c>
      <c r="D160" s="60" t="s">
        <v>35</v>
      </c>
      <c r="E160" s="59">
        <v>30</v>
      </c>
      <c r="F160" s="59" t="s">
        <v>164</v>
      </c>
      <c r="G160" s="59">
        <v>186</v>
      </c>
      <c r="H160" s="59" t="s">
        <v>165</v>
      </c>
      <c r="I160" s="61" t="s">
        <v>130</v>
      </c>
      <c r="J160" s="62">
        <v>0.28000000000000003</v>
      </c>
      <c r="K160" s="63" t="s">
        <v>330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34</v>
      </c>
      <c r="D161" s="60" t="s">
        <v>35</v>
      </c>
      <c r="E161" s="59">
        <v>30</v>
      </c>
      <c r="F161" s="59" t="s">
        <v>169</v>
      </c>
      <c r="G161" s="59">
        <v>68</v>
      </c>
      <c r="H161" s="59" t="s">
        <v>186</v>
      </c>
      <c r="I161" s="61" t="s">
        <v>171</v>
      </c>
      <c r="J161" s="62">
        <v>1000</v>
      </c>
      <c r="K161" s="63" t="s">
        <v>312</v>
      </c>
      <c r="L161" s="63">
        <v>0.02</v>
      </c>
      <c r="M161" s="65" t="s">
        <v>313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34</v>
      </c>
      <c r="D162" s="60" t="s">
        <v>35</v>
      </c>
      <c r="E162" s="59">
        <v>30</v>
      </c>
      <c r="F162" s="59" t="s">
        <v>194</v>
      </c>
      <c r="G162" s="59">
        <v>3598</v>
      </c>
      <c r="H162" s="59" t="s">
        <v>200</v>
      </c>
      <c r="I162" s="61" t="s">
        <v>171</v>
      </c>
      <c r="J162" s="62">
        <v>4.2016</v>
      </c>
      <c r="K162" s="63" t="s">
        <v>314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34</v>
      </c>
      <c r="D163" s="60" t="s">
        <v>35</v>
      </c>
      <c r="E163" s="59">
        <v>30</v>
      </c>
      <c r="F163" s="59" t="s">
        <v>166</v>
      </c>
      <c r="G163" s="59">
        <v>194</v>
      </c>
      <c r="H163" s="59" t="s">
        <v>167</v>
      </c>
      <c r="I163" s="61" t="s">
        <v>130</v>
      </c>
      <c r="J163" s="62">
        <v>8.3199999999999993E-3</v>
      </c>
      <c r="K163" s="63" t="s">
        <v>315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34</v>
      </c>
      <c r="D164" s="60" t="s">
        <v>35</v>
      </c>
      <c r="E164" s="59">
        <v>30</v>
      </c>
      <c r="F164" s="59" t="s">
        <v>145</v>
      </c>
      <c r="G164" s="59">
        <v>4155</v>
      </c>
      <c r="H164" s="59" t="s">
        <v>151</v>
      </c>
      <c r="I164" s="61" t="s">
        <v>130</v>
      </c>
      <c r="J164" s="62">
        <v>0.28000000000000003</v>
      </c>
      <c r="K164" s="63" t="s">
        <v>316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34</v>
      </c>
      <c r="D165" s="60" t="s">
        <v>35</v>
      </c>
      <c r="E165" s="59">
        <v>30</v>
      </c>
      <c r="F165" s="59" t="s">
        <v>204</v>
      </c>
      <c r="G165" s="59">
        <v>3635</v>
      </c>
      <c r="H165" s="59" t="s">
        <v>205</v>
      </c>
      <c r="I165" s="61" t="s">
        <v>171</v>
      </c>
      <c r="J165" s="62">
        <v>0.156</v>
      </c>
      <c r="K165" s="63" t="s">
        <v>318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34</v>
      </c>
      <c r="D166" s="60" t="s">
        <v>35</v>
      </c>
      <c r="E166" s="59">
        <v>30</v>
      </c>
      <c r="F166" s="59" t="s">
        <v>242</v>
      </c>
      <c r="G166" s="59">
        <v>6935</v>
      </c>
      <c r="H166" s="59" t="s">
        <v>274</v>
      </c>
      <c r="I166" s="61" t="s">
        <v>130</v>
      </c>
      <c r="J166" s="62">
        <v>3.3000000000000002E-2</v>
      </c>
      <c r="K166" s="63" t="s">
        <v>335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39</v>
      </c>
      <c r="D167" s="60" t="s">
        <v>40</v>
      </c>
      <c r="E167" s="59">
        <v>30</v>
      </c>
      <c r="F167" s="59" t="s">
        <v>128</v>
      </c>
      <c r="G167" s="59">
        <v>406</v>
      </c>
      <c r="H167" s="59" t="s">
        <v>140</v>
      </c>
      <c r="I167" s="61" t="s">
        <v>130</v>
      </c>
      <c r="J167" s="62">
        <v>8</v>
      </c>
      <c r="K167" s="63" t="s">
        <v>307</v>
      </c>
      <c r="L167" s="63">
        <v>0.1</v>
      </c>
      <c r="M167" s="65" t="s">
        <v>337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39</v>
      </c>
      <c r="D168" s="60" t="s">
        <v>40</v>
      </c>
      <c r="E168" s="59">
        <v>30</v>
      </c>
      <c r="F168" s="59" t="s">
        <v>152</v>
      </c>
      <c r="G168" s="59">
        <v>3595</v>
      </c>
      <c r="H168" s="59" t="s">
        <v>309</v>
      </c>
      <c r="I168" s="61" t="s">
        <v>130</v>
      </c>
      <c r="J168" s="62">
        <v>0.66839999999999999</v>
      </c>
      <c r="K168" s="63" t="s">
        <v>310</v>
      </c>
      <c r="L168" s="63">
        <v>0.1</v>
      </c>
      <c r="M168" s="65" t="s">
        <v>327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39</v>
      </c>
      <c r="D169" s="60" t="s">
        <v>40</v>
      </c>
      <c r="E169" s="59">
        <v>30</v>
      </c>
      <c r="F169" s="59" t="s">
        <v>164</v>
      </c>
      <c r="G169" s="59">
        <v>186</v>
      </c>
      <c r="H169" s="59" t="s">
        <v>165</v>
      </c>
      <c r="I169" s="61" t="s">
        <v>130</v>
      </c>
      <c r="J169" s="62">
        <v>0.12</v>
      </c>
      <c r="K169" s="63" t="s">
        <v>330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39</v>
      </c>
      <c r="D170" s="60" t="s">
        <v>40</v>
      </c>
      <c r="E170" s="59">
        <v>30</v>
      </c>
      <c r="F170" s="59" t="s">
        <v>169</v>
      </c>
      <c r="G170" s="59">
        <v>578</v>
      </c>
      <c r="H170" s="59" t="s">
        <v>192</v>
      </c>
      <c r="I170" s="61" t="s">
        <v>171</v>
      </c>
      <c r="J170" s="62">
        <v>1000</v>
      </c>
      <c r="K170" s="63" t="s">
        <v>312</v>
      </c>
      <c r="L170" s="63">
        <v>0.02</v>
      </c>
      <c r="M170" s="65" t="s">
        <v>313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39</v>
      </c>
      <c r="D171" s="60" t="s">
        <v>40</v>
      </c>
      <c r="E171" s="59">
        <v>30</v>
      </c>
      <c r="F171" s="59" t="s">
        <v>145</v>
      </c>
      <c r="G171" s="59">
        <v>4155</v>
      </c>
      <c r="H171" s="59" t="s">
        <v>151</v>
      </c>
      <c r="I171" s="61" t="s">
        <v>130</v>
      </c>
      <c r="J171" s="62">
        <v>0.2959</v>
      </c>
      <c r="K171" s="63" t="s">
        <v>316</v>
      </c>
      <c r="L171" s="63">
        <v>0.1</v>
      </c>
      <c r="M171" s="65" t="s">
        <v>327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39</v>
      </c>
      <c r="D172" s="60" t="s">
        <v>40</v>
      </c>
      <c r="E172" s="59">
        <v>30</v>
      </c>
      <c r="F172" s="59" t="s">
        <v>204</v>
      </c>
      <c r="G172" s="59">
        <v>3635</v>
      </c>
      <c r="H172" s="59" t="s">
        <v>205</v>
      </c>
      <c r="I172" s="61" t="s">
        <v>171</v>
      </c>
      <c r="J172" s="62">
        <v>0.156</v>
      </c>
      <c r="K172" s="63" t="s">
        <v>318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39</v>
      </c>
      <c r="D173" s="60" t="s">
        <v>40</v>
      </c>
      <c r="E173" s="59">
        <v>30</v>
      </c>
      <c r="F173" s="59" t="s">
        <v>194</v>
      </c>
      <c r="G173" s="59">
        <v>3598</v>
      </c>
      <c r="H173" s="59" t="s">
        <v>200</v>
      </c>
      <c r="I173" s="61" t="s">
        <v>171</v>
      </c>
      <c r="J173" s="62">
        <v>4.202</v>
      </c>
      <c r="K173" s="63" t="s">
        <v>314</v>
      </c>
      <c r="L173" s="63">
        <v>0.1</v>
      </c>
      <c r="M173" s="65" t="s">
        <v>339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85</v>
      </c>
      <c r="D174" s="60" t="s">
        <v>86</v>
      </c>
      <c r="E174" s="59">
        <v>30</v>
      </c>
      <c r="F174" s="59" t="s">
        <v>128</v>
      </c>
      <c r="G174" s="59">
        <v>406</v>
      </c>
      <c r="H174" s="59" t="s">
        <v>140</v>
      </c>
      <c r="I174" s="61" t="s">
        <v>130</v>
      </c>
      <c r="J174" s="62">
        <v>8</v>
      </c>
      <c r="K174" s="63" t="s">
        <v>307</v>
      </c>
      <c r="L174" s="63">
        <v>0.1</v>
      </c>
      <c r="M174" s="65" t="s">
        <v>337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85</v>
      </c>
      <c r="D175" s="60" t="s">
        <v>86</v>
      </c>
      <c r="E175" s="59">
        <v>30</v>
      </c>
      <c r="F175" s="59" t="s">
        <v>152</v>
      </c>
      <c r="G175" s="59">
        <v>3595</v>
      </c>
      <c r="H175" s="59" t="s">
        <v>309</v>
      </c>
      <c r="I175" s="61" t="s">
        <v>130</v>
      </c>
      <c r="J175" s="62">
        <v>0.66839999999999999</v>
      </c>
      <c r="K175" s="63" t="s">
        <v>310</v>
      </c>
      <c r="L175" s="63">
        <v>0.1</v>
      </c>
      <c r="M175" s="65" t="s">
        <v>311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85</v>
      </c>
      <c r="D176" s="60" t="s">
        <v>86</v>
      </c>
      <c r="E176" s="59">
        <v>30</v>
      </c>
      <c r="F176" s="59" t="s">
        <v>164</v>
      </c>
      <c r="G176" s="59">
        <v>186</v>
      </c>
      <c r="H176" s="59" t="s">
        <v>165</v>
      </c>
      <c r="I176" s="61" t="s">
        <v>130</v>
      </c>
      <c r="J176" s="62">
        <v>0.12</v>
      </c>
      <c r="K176" s="63" t="s">
        <v>330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85</v>
      </c>
      <c r="D177" s="60" t="s">
        <v>86</v>
      </c>
      <c r="E177" s="59">
        <v>30</v>
      </c>
      <c r="F177" s="59" t="s">
        <v>169</v>
      </c>
      <c r="G177" s="59">
        <v>578</v>
      </c>
      <c r="H177" s="59" t="s">
        <v>192</v>
      </c>
      <c r="I177" s="61" t="s">
        <v>171</v>
      </c>
      <c r="J177" s="62">
        <v>1000</v>
      </c>
      <c r="K177" s="63" t="s">
        <v>312</v>
      </c>
      <c r="L177" s="63">
        <v>0.02</v>
      </c>
      <c r="M177" s="65" t="s">
        <v>313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85</v>
      </c>
      <c r="D178" s="60" t="s">
        <v>86</v>
      </c>
      <c r="E178" s="59">
        <v>30</v>
      </c>
      <c r="F178" s="59" t="s">
        <v>194</v>
      </c>
      <c r="G178" s="59">
        <v>45</v>
      </c>
      <c r="H178" s="59" t="s">
        <v>201</v>
      </c>
      <c r="I178" s="61" t="s">
        <v>171</v>
      </c>
      <c r="J178" s="62">
        <v>6.6660000000000004</v>
      </c>
      <c r="K178" s="63" t="s">
        <v>314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85</v>
      </c>
      <c r="D179" s="60" t="s">
        <v>86</v>
      </c>
      <c r="E179" s="59">
        <v>30</v>
      </c>
      <c r="F179" s="59" t="s">
        <v>166</v>
      </c>
      <c r="G179" s="59">
        <v>194</v>
      </c>
      <c r="H179" s="59" t="s">
        <v>167</v>
      </c>
      <c r="I179" s="61" t="s">
        <v>130</v>
      </c>
      <c r="J179" s="62">
        <v>8.3199999999999993E-3</v>
      </c>
      <c r="K179" s="63" t="s">
        <v>315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85</v>
      </c>
      <c r="D180" s="60" t="s">
        <v>86</v>
      </c>
      <c r="E180" s="59">
        <v>30</v>
      </c>
      <c r="F180" s="59" t="s">
        <v>145</v>
      </c>
      <c r="G180" s="59">
        <v>4155</v>
      </c>
      <c r="H180" s="59" t="s">
        <v>151</v>
      </c>
      <c r="I180" s="61" t="s">
        <v>130</v>
      </c>
      <c r="J180" s="62">
        <v>0.2959</v>
      </c>
      <c r="K180" s="63" t="s">
        <v>316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85</v>
      </c>
      <c r="D181" s="60" t="s">
        <v>86</v>
      </c>
      <c r="E181" s="59">
        <v>30</v>
      </c>
      <c r="F181" s="59" t="s">
        <v>204</v>
      </c>
      <c r="G181" s="59">
        <v>3635</v>
      </c>
      <c r="H181" s="59" t="s">
        <v>205</v>
      </c>
      <c r="I181" s="61" t="s">
        <v>171</v>
      </c>
      <c r="J181" s="62">
        <v>0.156</v>
      </c>
      <c r="K181" s="63" t="s">
        <v>318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85</v>
      </c>
      <c r="D182" s="60" t="s">
        <v>86</v>
      </c>
      <c r="E182" s="59">
        <v>30</v>
      </c>
      <c r="F182" s="59" t="s">
        <v>319</v>
      </c>
      <c r="G182" s="59">
        <v>57</v>
      </c>
      <c r="H182" s="59" t="s">
        <v>340</v>
      </c>
      <c r="I182" s="61" t="s">
        <v>321</v>
      </c>
      <c r="J182" s="62">
        <v>6.6660000000000004</v>
      </c>
      <c r="K182" s="63" t="s">
        <v>322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85</v>
      </c>
      <c r="D183" s="60" t="s">
        <v>87</v>
      </c>
      <c r="E183" s="59">
        <v>30</v>
      </c>
      <c r="F183" s="59" t="s">
        <v>128</v>
      </c>
      <c r="G183" s="59">
        <v>406</v>
      </c>
      <c r="H183" s="59" t="s">
        <v>140</v>
      </c>
      <c r="I183" s="61" t="s">
        <v>130</v>
      </c>
      <c r="J183" s="62">
        <v>8</v>
      </c>
      <c r="K183" s="63" t="s">
        <v>307</v>
      </c>
      <c r="L183" s="63">
        <v>0.1</v>
      </c>
      <c r="M183" s="65" t="s">
        <v>337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85</v>
      </c>
      <c r="D184" s="60" t="s">
        <v>87</v>
      </c>
      <c r="E184" s="59">
        <v>30</v>
      </c>
      <c r="F184" s="59" t="s">
        <v>152</v>
      </c>
      <c r="G184" s="59">
        <v>3595</v>
      </c>
      <c r="H184" s="59" t="s">
        <v>309</v>
      </c>
      <c r="I184" s="61" t="s">
        <v>130</v>
      </c>
      <c r="J184" s="62">
        <v>0.67</v>
      </c>
      <c r="K184" s="63" t="s">
        <v>310</v>
      </c>
      <c r="L184" s="63">
        <v>0.1</v>
      </c>
      <c r="M184" s="65" t="s">
        <v>327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85</v>
      </c>
      <c r="D185" s="60" t="s">
        <v>87</v>
      </c>
      <c r="E185" s="59">
        <v>30</v>
      </c>
      <c r="F185" s="59" t="s">
        <v>194</v>
      </c>
      <c r="G185" s="59">
        <v>45</v>
      </c>
      <c r="H185" s="59" t="s">
        <v>201</v>
      </c>
      <c r="I185" s="61" t="s">
        <v>171</v>
      </c>
      <c r="J185" s="62">
        <v>6.6665999999999999</v>
      </c>
      <c r="K185" s="63" t="s">
        <v>314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85</v>
      </c>
      <c r="D186" s="60" t="s">
        <v>87</v>
      </c>
      <c r="E186" s="59">
        <v>30</v>
      </c>
      <c r="F186" s="59" t="s">
        <v>145</v>
      </c>
      <c r="G186" s="59">
        <v>4155</v>
      </c>
      <c r="H186" s="59" t="s">
        <v>151</v>
      </c>
      <c r="I186" s="61" t="s">
        <v>130</v>
      </c>
      <c r="J186" s="62">
        <v>0.28000000000000003</v>
      </c>
      <c r="K186" s="63" t="s">
        <v>316</v>
      </c>
      <c r="L186" s="63">
        <v>0.1</v>
      </c>
      <c r="M186" s="65" t="s">
        <v>327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85</v>
      </c>
      <c r="D187" s="60" t="s">
        <v>87</v>
      </c>
      <c r="E187" s="59">
        <v>30</v>
      </c>
      <c r="F187" s="59" t="s">
        <v>204</v>
      </c>
      <c r="G187" s="59">
        <v>3635</v>
      </c>
      <c r="H187" s="59" t="s">
        <v>205</v>
      </c>
      <c r="I187" s="61" t="s">
        <v>171</v>
      </c>
      <c r="J187" s="62">
        <v>0.156</v>
      </c>
      <c r="K187" s="63" t="s">
        <v>329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85</v>
      </c>
      <c r="D188" s="60" t="s">
        <v>87</v>
      </c>
      <c r="E188" s="59">
        <v>30</v>
      </c>
      <c r="F188" s="59" t="s">
        <v>319</v>
      </c>
      <c r="G188" s="59">
        <v>57</v>
      </c>
      <c r="H188" s="59" t="s">
        <v>340</v>
      </c>
      <c r="I188" s="61" t="s">
        <v>321</v>
      </c>
      <c r="J188" s="62">
        <v>6.6665999999999999</v>
      </c>
      <c r="K188" s="63" t="s">
        <v>322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85</v>
      </c>
      <c r="D189" s="60" t="s">
        <v>87</v>
      </c>
      <c r="E189" s="59">
        <v>30</v>
      </c>
      <c r="F189" s="59" t="s">
        <v>166</v>
      </c>
      <c r="G189" s="59">
        <v>194</v>
      </c>
      <c r="H189" s="59" t="s">
        <v>167</v>
      </c>
      <c r="I189" s="61" t="s">
        <v>130</v>
      </c>
      <c r="J189" s="62">
        <v>8.3199999999999993E-3</v>
      </c>
      <c r="K189" s="63" t="s">
        <v>166</v>
      </c>
      <c r="L189" s="63">
        <v>0.1</v>
      </c>
      <c r="M189" s="65" t="s">
        <v>338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83</v>
      </c>
      <c r="D190" s="60" t="s">
        <v>84</v>
      </c>
      <c r="E190" s="59">
        <v>30</v>
      </c>
      <c r="F190" s="59" t="s">
        <v>128</v>
      </c>
      <c r="G190" s="59">
        <v>406</v>
      </c>
      <c r="H190" s="59" t="s">
        <v>140</v>
      </c>
      <c r="I190" s="61" t="s">
        <v>130</v>
      </c>
      <c r="J190" s="62">
        <v>8</v>
      </c>
      <c r="K190" s="63" t="s">
        <v>307</v>
      </c>
      <c r="L190" s="63">
        <v>0.1</v>
      </c>
      <c r="M190" s="65" t="s">
        <v>337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83</v>
      </c>
      <c r="D191" s="60" t="s">
        <v>84</v>
      </c>
      <c r="E191" s="59">
        <v>30</v>
      </c>
      <c r="F191" s="59" t="s">
        <v>152</v>
      </c>
      <c r="G191" s="59">
        <v>3595</v>
      </c>
      <c r="H191" s="59" t="s">
        <v>309</v>
      </c>
      <c r="I191" s="61" t="s">
        <v>130</v>
      </c>
      <c r="J191" s="62">
        <v>0.67</v>
      </c>
      <c r="K191" s="63" t="s">
        <v>310</v>
      </c>
      <c r="L191" s="63">
        <v>0.1</v>
      </c>
      <c r="M191" s="65" t="s">
        <v>311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83</v>
      </c>
      <c r="D192" s="60" t="s">
        <v>84</v>
      </c>
      <c r="E192" s="59">
        <v>30</v>
      </c>
      <c r="F192" s="59" t="s">
        <v>164</v>
      </c>
      <c r="G192" s="59">
        <v>186</v>
      </c>
      <c r="H192" s="59" t="s">
        <v>165</v>
      </c>
      <c r="I192" s="61" t="s">
        <v>130</v>
      </c>
      <c r="J192" s="62">
        <v>0.28000000000000003</v>
      </c>
      <c r="K192" s="63" t="s">
        <v>330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83</v>
      </c>
      <c r="D193" s="60" t="s">
        <v>84</v>
      </c>
      <c r="E193" s="59">
        <v>30</v>
      </c>
      <c r="F193" s="59" t="s">
        <v>169</v>
      </c>
      <c r="G193" s="59">
        <v>3211</v>
      </c>
      <c r="H193" s="59" t="s">
        <v>179</v>
      </c>
      <c r="I193" s="61" t="s">
        <v>171</v>
      </c>
      <c r="J193" s="62">
        <v>1000</v>
      </c>
      <c r="K193" s="63" t="s">
        <v>312</v>
      </c>
      <c r="L193" s="63">
        <v>0.02</v>
      </c>
      <c r="M193" s="65" t="s">
        <v>313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83</v>
      </c>
      <c r="D194" s="60" t="s">
        <v>84</v>
      </c>
      <c r="E194" s="59">
        <v>30</v>
      </c>
      <c r="F194" s="59" t="s">
        <v>194</v>
      </c>
      <c r="G194" s="59">
        <v>3598</v>
      </c>
      <c r="H194" s="59" t="s">
        <v>200</v>
      </c>
      <c r="I194" s="61" t="s">
        <v>171</v>
      </c>
      <c r="J194" s="62">
        <v>4.2016</v>
      </c>
      <c r="K194" s="63" t="s">
        <v>314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83</v>
      </c>
      <c r="D195" s="60" t="s">
        <v>84</v>
      </c>
      <c r="E195" s="59">
        <v>30</v>
      </c>
      <c r="F195" s="59" t="s">
        <v>145</v>
      </c>
      <c r="G195" s="59">
        <v>4155</v>
      </c>
      <c r="H195" s="59" t="s">
        <v>151</v>
      </c>
      <c r="I195" s="61" t="s">
        <v>148</v>
      </c>
      <c r="J195" s="62">
        <v>0.28000000000000003</v>
      </c>
      <c r="K195" s="63" t="s">
        <v>316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83</v>
      </c>
      <c r="D196" s="60" t="s">
        <v>84</v>
      </c>
      <c r="E196" s="59">
        <v>30</v>
      </c>
      <c r="F196" s="59" t="s">
        <v>166</v>
      </c>
      <c r="G196" s="59">
        <v>194</v>
      </c>
      <c r="H196" s="59" t="s">
        <v>167</v>
      </c>
      <c r="I196" s="61" t="s">
        <v>130</v>
      </c>
      <c r="J196" s="62">
        <v>8.3219999999999995E-3</v>
      </c>
      <c r="K196" s="63" t="s">
        <v>315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83</v>
      </c>
      <c r="D197" s="60" t="s">
        <v>84</v>
      </c>
      <c r="E197" s="59">
        <v>30</v>
      </c>
      <c r="F197" s="59" t="s">
        <v>204</v>
      </c>
      <c r="G197" s="59">
        <v>3635</v>
      </c>
      <c r="H197" s="59" t="s">
        <v>205</v>
      </c>
      <c r="I197" s="61" t="s">
        <v>171</v>
      </c>
      <c r="J197" s="62">
        <v>0.156</v>
      </c>
      <c r="K197" s="63" t="s">
        <v>318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97</v>
      </c>
      <c r="D198" s="60" t="s">
        <v>98</v>
      </c>
      <c r="E198" s="59">
        <v>32</v>
      </c>
      <c r="F198" s="59" t="s">
        <v>128</v>
      </c>
      <c r="G198" s="59">
        <v>3935</v>
      </c>
      <c r="H198" s="59" t="s">
        <v>142</v>
      </c>
      <c r="I198" s="61" t="s">
        <v>130</v>
      </c>
      <c r="J198" s="62">
        <v>10.863200000000001</v>
      </c>
      <c r="K198" s="63" t="s">
        <v>307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97</v>
      </c>
      <c r="D199" s="60" t="s">
        <v>98</v>
      </c>
      <c r="E199" s="59">
        <v>32</v>
      </c>
      <c r="F199" s="59" t="s">
        <v>152</v>
      </c>
      <c r="G199" s="59">
        <v>3595</v>
      </c>
      <c r="H199" s="59" t="s">
        <v>309</v>
      </c>
      <c r="I199" s="61" t="s">
        <v>130</v>
      </c>
      <c r="J199" s="62">
        <v>0.78</v>
      </c>
      <c r="K199" s="63" t="s">
        <v>310</v>
      </c>
      <c r="L199" s="63">
        <v>0.1</v>
      </c>
      <c r="M199" s="65" t="s">
        <v>327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97</v>
      </c>
      <c r="D200" s="60" t="s">
        <v>98</v>
      </c>
      <c r="E200" s="59">
        <v>32</v>
      </c>
      <c r="F200" s="59" t="s">
        <v>164</v>
      </c>
      <c r="G200" s="59">
        <v>186</v>
      </c>
      <c r="H200" s="59" t="s">
        <v>165</v>
      </c>
      <c r="I200" s="61" t="s">
        <v>130</v>
      </c>
      <c r="J200" s="62">
        <v>0.7</v>
      </c>
      <c r="K200" s="63" t="s">
        <v>330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97</v>
      </c>
      <c r="D201" s="60" t="s">
        <v>98</v>
      </c>
      <c r="E201" s="59">
        <v>32</v>
      </c>
      <c r="F201" s="59" t="s">
        <v>169</v>
      </c>
      <c r="G201" s="59">
        <v>1285</v>
      </c>
      <c r="H201" s="59" t="s">
        <v>189</v>
      </c>
      <c r="I201" s="61" t="s">
        <v>171</v>
      </c>
      <c r="J201" s="62">
        <v>1000</v>
      </c>
      <c r="K201" s="63" t="s">
        <v>312</v>
      </c>
      <c r="L201" s="63">
        <v>0.02</v>
      </c>
      <c r="M201" s="65" t="s">
        <v>313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97</v>
      </c>
      <c r="D202" s="60" t="s">
        <v>98</v>
      </c>
      <c r="E202" s="59">
        <v>32</v>
      </c>
      <c r="F202" s="59" t="s">
        <v>194</v>
      </c>
      <c r="G202" s="59">
        <v>3988</v>
      </c>
      <c r="H202" s="59" t="s">
        <v>341</v>
      </c>
      <c r="I202" s="61" t="s">
        <v>171</v>
      </c>
      <c r="J202" s="62">
        <v>6.06</v>
      </c>
      <c r="K202" s="63" t="s">
        <v>314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97</v>
      </c>
      <c r="D203" s="60" t="s">
        <v>98</v>
      </c>
      <c r="E203" s="59">
        <v>32</v>
      </c>
      <c r="F203" s="59" t="s">
        <v>166</v>
      </c>
      <c r="G203" s="59">
        <v>194</v>
      </c>
      <c r="H203" s="59" t="s">
        <v>167</v>
      </c>
      <c r="I203" s="61" t="s">
        <v>130</v>
      </c>
      <c r="J203" s="62">
        <v>9.5999999999999992E-3</v>
      </c>
      <c r="K203" s="63" t="s">
        <v>315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97</v>
      </c>
      <c r="D204" s="60" t="s">
        <v>98</v>
      </c>
      <c r="E204" s="59">
        <v>32</v>
      </c>
      <c r="F204" s="59" t="s">
        <v>145</v>
      </c>
      <c r="G204" s="59">
        <v>4155</v>
      </c>
      <c r="H204" s="59" t="s">
        <v>151</v>
      </c>
      <c r="I204" s="61" t="s">
        <v>148</v>
      </c>
      <c r="J204" s="62">
        <v>0.17849999999999999</v>
      </c>
      <c r="K204" s="63" t="s">
        <v>316</v>
      </c>
      <c r="L204" s="63">
        <v>0.1</v>
      </c>
      <c r="M204" s="65" t="s">
        <v>327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97</v>
      </c>
      <c r="D205" s="60" t="s">
        <v>98</v>
      </c>
      <c r="E205" s="59">
        <v>32</v>
      </c>
      <c r="F205" s="59" t="s">
        <v>204</v>
      </c>
      <c r="G205" s="59">
        <v>3635</v>
      </c>
      <c r="H205" s="59" t="s">
        <v>205</v>
      </c>
      <c r="I205" s="61" t="s">
        <v>171</v>
      </c>
      <c r="J205" s="62">
        <v>0.16800000000000001</v>
      </c>
      <c r="K205" s="63" t="s">
        <v>318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95</v>
      </c>
      <c r="D206" s="60" t="s">
        <v>96</v>
      </c>
      <c r="E206" s="59">
        <v>32</v>
      </c>
      <c r="F206" s="59" t="s">
        <v>128</v>
      </c>
      <c r="G206" s="59">
        <v>3935</v>
      </c>
      <c r="H206" s="59" t="s">
        <v>142</v>
      </c>
      <c r="I206" s="61" t="s">
        <v>130</v>
      </c>
      <c r="J206" s="62">
        <v>10.863200000000001</v>
      </c>
      <c r="K206" s="63" t="s">
        <v>307</v>
      </c>
      <c r="L206" s="63">
        <v>0.1</v>
      </c>
      <c r="M206" s="63" t="s">
        <v>342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95</v>
      </c>
      <c r="D207" s="60" t="s">
        <v>96</v>
      </c>
      <c r="E207" s="59">
        <v>32</v>
      </c>
      <c r="F207" s="59" t="s">
        <v>152</v>
      </c>
      <c r="G207" s="59">
        <v>3595</v>
      </c>
      <c r="H207" s="59" t="s">
        <v>309</v>
      </c>
      <c r="I207" s="61" t="s">
        <v>130</v>
      </c>
      <c r="J207" s="62">
        <v>0.78</v>
      </c>
      <c r="K207" s="63" t="s">
        <v>310</v>
      </c>
      <c r="L207" s="63">
        <v>0.1</v>
      </c>
      <c r="M207" s="65" t="s">
        <v>311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95</v>
      </c>
      <c r="D208" s="60" t="s">
        <v>96</v>
      </c>
      <c r="E208" s="59">
        <v>32</v>
      </c>
      <c r="F208" s="59" t="s">
        <v>164</v>
      </c>
      <c r="G208" s="59">
        <v>186</v>
      </c>
      <c r="H208" s="59" t="s">
        <v>165</v>
      </c>
      <c r="I208" s="61" t="s">
        <v>130</v>
      </c>
      <c r="J208" s="62">
        <v>0.7</v>
      </c>
      <c r="K208" s="63" t="s">
        <v>330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95</v>
      </c>
      <c r="D209" s="60" t="s">
        <v>96</v>
      </c>
      <c r="E209" s="59">
        <v>32</v>
      </c>
      <c r="F209" s="59" t="s">
        <v>169</v>
      </c>
      <c r="G209" s="59">
        <v>1073</v>
      </c>
      <c r="H209" s="59" t="s">
        <v>188</v>
      </c>
      <c r="I209" s="61" t="s">
        <v>171</v>
      </c>
      <c r="J209" s="62">
        <v>1000</v>
      </c>
      <c r="K209" s="63" t="s">
        <v>312</v>
      </c>
      <c r="L209" s="63">
        <v>0.02</v>
      </c>
      <c r="M209" s="65" t="s">
        <v>313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95</v>
      </c>
      <c r="D210" s="60" t="s">
        <v>96</v>
      </c>
      <c r="E210" s="59">
        <v>32</v>
      </c>
      <c r="F210" s="59" t="s">
        <v>194</v>
      </c>
      <c r="G210" s="59">
        <v>3988</v>
      </c>
      <c r="H210" s="59" t="s">
        <v>341</v>
      </c>
      <c r="I210" s="61" t="s">
        <v>171</v>
      </c>
      <c r="J210" s="62">
        <v>6.06</v>
      </c>
      <c r="K210" s="63" t="s">
        <v>314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95</v>
      </c>
      <c r="D211" s="60" t="s">
        <v>96</v>
      </c>
      <c r="E211" s="59">
        <v>32</v>
      </c>
      <c r="F211" s="59" t="s">
        <v>166</v>
      </c>
      <c r="G211" s="59">
        <v>194</v>
      </c>
      <c r="H211" s="59" t="s">
        <v>167</v>
      </c>
      <c r="I211" s="61" t="s">
        <v>130</v>
      </c>
      <c r="J211" s="62">
        <v>9.5999999999999992E-3</v>
      </c>
      <c r="K211" s="63" t="s">
        <v>315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95</v>
      </c>
      <c r="D212" s="60" t="s">
        <v>96</v>
      </c>
      <c r="E212" s="59">
        <v>32</v>
      </c>
      <c r="F212" s="59" t="s">
        <v>145</v>
      </c>
      <c r="G212" s="59">
        <v>4155</v>
      </c>
      <c r="H212" s="59" t="s">
        <v>151</v>
      </c>
      <c r="I212" s="61" t="s">
        <v>130</v>
      </c>
      <c r="J212" s="62">
        <v>0.17849999999999999</v>
      </c>
      <c r="K212" s="63" t="s">
        <v>316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95</v>
      </c>
      <c r="D213" s="60" t="s">
        <v>96</v>
      </c>
      <c r="E213" s="59">
        <v>32</v>
      </c>
      <c r="F213" s="59" t="s">
        <v>204</v>
      </c>
      <c r="G213" s="59">
        <v>3635</v>
      </c>
      <c r="H213" s="59" t="s">
        <v>205</v>
      </c>
      <c r="I213" s="61" t="s">
        <v>171</v>
      </c>
      <c r="J213" s="62">
        <v>0.16800000000000001</v>
      </c>
      <c r="K213" s="63" t="s">
        <v>318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99</v>
      </c>
      <c r="D214" s="60" t="s">
        <v>103</v>
      </c>
      <c r="E214" s="59">
        <v>35</v>
      </c>
      <c r="F214" s="59" t="s">
        <v>128</v>
      </c>
      <c r="G214" s="59">
        <v>3503</v>
      </c>
      <c r="H214" s="59" t="s">
        <v>143</v>
      </c>
      <c r="I214" s="61" t="s">
        <v>130</v>
      </c>
      <c r="J214" s="62">
        <v>12.82</v>
      </c>
      <c r="K214" s="63" t="s">
        <v>307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99</v>
      </c>
      <c r="D215" s="60" t="s">
        <v>103</v>
      </c>
      <c r="E215" s="59">
        <v>35</v>
      </c>
      <c r="F215" s="59" t="s">
        <v>152</v>
      </c>
      <c r="G215" s="59">
        <v>4156</v>
      </c>
      <c r="H215" s="59" t="s">
        <v>158</v>
      </c>
      <c r="I215" s="61" t="s">
        <v>130</v>
      </c>
      <c r="J215" s="62">
        <v>1.2</v>
      </c>
      <c r="K215" s="63" t="s">
        <v>310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99</v>
      </c>
      <c r="D216" s="60" t="s">
        <v>103</v>
      </c>
      <c r="E216" s="59">
        <v>35</v>
      </c>
      <c r="F216" s="59" t="s">
        <v>152</v>
      </c>
      <c r="G216" s="59"/>
      <c r="H216" s="59" t="s">
        <v>343</v>
      </c>
      <c r="I216" s="61" t="s">
        <v>130</v>
      </c>
      <c r="J216" s="62">
        <v>0.78</v>
      </c>
      <c r="K216" s="63" t="s">
        <v>310</v>
      </c>
      <c r="L216" s="63">
        <v>0.1</v>
      </c>
      <c r="M216" s="65" t="s">
        <v>344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99</v>
      </c>
      <c r="D217" s="60" t="s">
        <v>103</v>
      </c>
      <c r="E217" s="59">
        <v>35</v>
      </c>
      <c r="F217" s="59" t="s">
        <v>169</v>
      </c>
      <c r="G217" s="59">
        <v>1073</v>
      </c>
      <c r="H217" s="59" t="s">
        <v>188</v>
      </c>
      <c r="I217" s="61" t="s">
        <v>171</v>
      </c>
      <c r="J217" s="62">
        <v>1000</v>
      </c>
      <c r="K217" s="63" t="s">
        <v>312</v>
      </c>
      <c r="L217" s="63">
        <v>0.02</v>
      </c>
      <c r="M217" s="65" t="s">
        <v>313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99</v>
      </c>
      <c r="D218" s="60" t="s">
        <v>103</v>
      </c>
      <c r="E218" s="59">
        <v>35</v>
      </c>
      <c r="F218" s="59" t="s">
        <v>194</v>
      </c>
      <c r="G218" s="59">
        <v>3988</v>
      </c>
      <c r="H218" s="59" t="s">
        <v>341</v>
      </c>
      <c r="I218" s="61" t="s">
        <v>171</v>
      </c>
      <c r="J218" s="62">
        <v>6.06</v>
      </c>
      <c r="K218" s="63" t="s">
        <v>314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99</v>
      </c>
      <c r="D219" s="60" t="s">
        <v>103</v>
      </c>
      <c r="E219" s="59">
        <v>35</v>
      </c>
      <c r="F219" s="59" t="s">
        <v>166</v>
      </c>
      <c r="G219" s="59">
        <v>194</v>
      </c>
      <c r="H219" s="59" t="s">
        <v>167</v>
      </c>
      <c r="I219" s="61" t="s">
        <v>130</v>
      </c>
      <c r="J219" s="62">
        <v>1.333E-2</v>
      </c>
      <c r="K219" s="63" t="s">
        <v>315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99</v>
      </c>
      <c r="D220" s="60" t="s">
        <v>103</v>
      </c>
      <c r="E220" s="59">
        <v>35</v>
      </c>
      <c r="F220" s="59" t="s">
        <v>204</v>
      </c>
      <c r="G220" s="59">
        <v>3635</v>
      </c>
      <c r="H220" s="59" t="s">
        <v>205</v>
      </c>
      <c r="I220" s="61" t="s">
        <v>171</v>
      </c>
      <c r="J220" s="62">
        <v>0.16800000000000001</v>
      </c>
      <c r="K220" s="63" t="s">
        <v>318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99</v>
      </c>
      <c r="D221" s="60" t="s">
        <v>103</v>
      </c>
      <c r="E221" s="59">
        <v>35</v>
      </c>
      <c r="F221" s="59" t="s">
        <v>145</v>
      </c>
      <c r="G221" s="59">
        <v>4155</v>
      </c>
      <c r="H221" s="59" t="s">
        <v>151</v>
      </c>
      <c r="I221" s="61" t="s">
        <v>130</v>
      </c>
      <c r="J221" s="62">
        <v>0.5</v>
      </c>
      <c r="K221" s="63" t="s">
        <v>316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99</v>
      </c>
      <c r="D222" s="60" t="s">
        <v>103</v>
      </c>
      <c r="E222" s="59">
        <v>35</v>
      </c>
      <c r="F222" s="59" t="s">
        <v>164</v>
      </c>
      <c r="G222" s="59">
        <v>186</v>
      </c>
      <c r="H222" s="59" t="s">
        <v>165</v>
      </c>
      <c r="I222" s="61" t="s">
        <v>130</v>
      </c>
      <c r="J222" s="62">
        <v>0.7</v>
      </c>
      <c r="K222" s="63" t="s">
        <v>330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99</v>
      </c>
      <c r="D223" s="60" t="s">
        <v>104</v>
      </c>
      <c r="E223" s="59">
        <v>35</v>
      </c>
      <c r="F223" s="59" t="s">
        <v>128</v>
      </c>
      <c r="G223" s="59">
        <v>3503</v>
      </c>
      <c r="H223" s="59" t="s">
        <v>143</v>
      </c>
      <c r="I223" s="61" t="s">
        <v>130</v>
      </c>
      <c r="J223" s="62">
        <v>12.82</v>
      </c>
      <c r="K223" s="63" t="s">
        <v>307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99</v>
      </c>
      <c r="D224" s="60" t="s">
        <v>104</v>
      </c>
      <c r="E224" s="59">
        <v>35</v>
      </c>
      <c r="F224" s="59" t="s">
        <v>152</v>
      </c>
      <c r="G224" s="59">
        <v>4156</v>
      </c>
      <c r="H224" s="59" t="s">
        <v>158</v>
      </c>
      <c r="I224" s="61" t="s">
        <v>130</v>
      </c>
      <c r="J224" s="62">
        <v>1.2</v>
      </c>
      <c r="K224" s="63" t="s">
        <v>310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99</v>
      </c>
      <c r="D225" s="60" t="s">
        <v>104</v>
      </c>
      <c r="E225" s="59">
        <v>35</v>
      </c>
      <c r="F225" s="59" t="s">
        <v>152</v>
      </c>
      <c r="G225" s="59"/>
      <c r="H225" s="59" t="s">
        <v>343</v>
      </c>
      <c r="I225" s="61" t="s">
        <v>130</v>
      </c>
      <c r="J225" s="62">
        <v>0.78</v>
      </c>
      <c r="K225" s="63" t="s">
        <v>310</v>
      </c>
      <c r="L225" s="63">
        <v>0.1</v>
      </c>
      <c r="M225" s="65" t="s">
        <v>344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99</v>
      </c>
      <c r="D226" s="60" t="s">
        <v>104</v>
      </c>
      <c r="E226" s="59">
        <v>35</v>
      </c>
      <c r="F226" s="59" t="s">
        <v>169</v>
      </c>
      <c r="G226" s="59">
        <v>1073</v>
      </c>
      <c r="H226" s="59" t="s">
        <v>188</v>
      </c>
      <c r="I226" s="61" t="s">
        <v>171</v>
      </c>
      <c r="J226" s="62">
        <v>1000</v>
      </c>
      <c r="K226" s="63" t="s">
        <v>312</v>
      </c>
      <c r="L226" s="63">
        <v>0.02</v>
      </c>
      <c r="M226" s="65" t="s">
        <v>313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99</v>
      </c>
      <c r="D227" s="60" t="s">
        <v>104</v>
      </c>
      <c r="E227" s="59">
        <v>35</v>
      </c>
      <c r="F227" s="59" t="s">
        <v>194</v>
      </c>
      <c r="G227" s="59">
        <v>3988</v>
      </c>
      <c r="H227" s="59" t="s">
        <v>341</v>
      </c>
      <c r="I227" s="61" t="s">
        <v>171</v>
      </c>
      <c r="J227" s="62">
        <v>6.06</v>
      </c>
      <c r="K227" s="63" t="s">
        <v>314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99</v>
      </c>
      <c r="D228" s="60" t="s">
        <v>104</v>
      </c>
      <c r="E228" s="59">
        <v>35</v>
      </c>
      <c r="F228" s="59" t="s">
        <v>166</v>
      </c>
      <c r="G228" s="59">
        <v>194</v>
      </c>
      <c r="H228" s="59" t="s">
        <v>167</v>
      </c>
      <c r="I228" s="61" t="s">
        <v>130</v>
      </c>
      <c r="J228" s="62">
        <v>1.333E-2</v>
      </c>
      <c r="K228" s="63" t="s">
        <v>315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99</v>
      </c>
      <c r="D229" s="60" t="s">
        <v>104</v>
      </c>
      <c r="E229" s="59">
        <v>35</v>
      </c>
      <c r="F229" s="59" t="s">
        <v>204</v>
      </c>
      <c r="G229" s="59">
        <v>3635</v>
      </c>
      <c r="H229" s="59" t="s">
        <v>205</v>
      </c>
      <c r="I229" s="61" t="s">
        <v>171</v>
      </c>
      <c r="J229" s="62">
        <v>0.16800000000000001</v>
      </c>
      <c r="K229" s="63" t="s">
        <v>318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99</v>
      </c>
      <c r="D230" s="60" t="s">
        <v>104</v>
      </c>
      <c r="E230" s="59">
        <v>35</v>
      </c>
      <c r="F230" s="59" t="s">
        <v>145</v>
      </c>
      <c r="G230" s="59">
        <v>4155</v>
      </c>
      <c r="H230" s="59" t="s">
        <v>151</v>
      </c>
      <c r="I230" s="61" t="s">
        <v>130</v>
      </c>
      <c r="J230" s="62">
        <v>0.5</v>
      </c>
      <c r="K230" s="63" t="s">
        <v>316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99</v>
      </c>
      <c r="D231" s="60" t="s">
        <v>104</v>
      </c>
      <c r="E231" s="59">
        <v>35</v>
      </c>
      <c r="F231" s="59" t="s">
        <v>164</v>
      </c>
      <c r="G231" s="59">
        <v>186</v>
      </c>
      <c r="H231" s="59" t="s">
        <v>165</v>
      </c>
      <c r="I231" s="61" t="s">
        <v>130</v>
      </c>
      <c r="J231" s="62">
        <v>0.7</v>
      </c>
      <c r="K231" s="63" t="s">
        <v>330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99</v>
      </c>
      <c r="D232" s="60" t="s">
        <v>100</v>
      </c>
      <c r="E232" s="59">
        <v>35</v>
      </c>
      <c r="F232" s="59" t="s">
        <v>128</v>
      </c>
      <c r="G232" s="59">
        <v>3503</v>
      </c>
      <c r="H232" s="59" t="s">
        <v>143</v>
      </c>
      <c r="I232" s="61" t="s">
        <v>130</v>
      </c>
      <c r="J232" s="62">
        <v>12.82</v>
      </c>
      <c r="K232" s="63" t="s">
        <v>307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99</v>
      </c>
      <c r="D233" s="60" t="s">
        <v>100</v>
      </c>
      <c r="E233" s="59">
        <v>35</v>
      </c>
      <c r="F233" s="59" t="s">
        <v>152</v>
      </c>
      <c r="G233" s="59">
        <v>3595</v>
      </c>
      <c r="H233" s="59" t="s">
        <v>309</v>
      </c>
      <c r="I233" s="61" t="s">
        <v>130</v>
      </c>
      <c r="J233" s="62">
        <v>0.78</v>
      </c>
      <c r="K233" s="63" t="s">
        <v>310</v>
      </c>
      <c r="L233" s="63">
        <v>0.1</v>
      </c>
      <c r="M233" s="65" t="s">
        <v>311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99</v>
      </c>
      <c r="D234" s="60" t="s">
        <v>100</v>
      </c>
      <c r="E234" s="59">
        <v>35</v>
      </c>
      <c r="F234" s="59" t="s">
        <v>169</v>
      </c>
      <c r="G234" s="59">
        <v>578</v>
      </c>
      <c r="H234" s="59" t="s">
        <v>192</v>
      </c>
      <c r="I234" s="61" t="s">
        <v>171</v>
      </c>
      <c r="J234" s="62">
        <v>1000</v>
      </c>
      <c r="K234" s="63" t="s">
        <v>312</v>
      </c>
      <c r="L234" s="63">
        <v>0.02</v>
      </c>
      <c r="M234" s="65" t="s">
        <v>313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99</v>
      </c>
      <c r="D235" s="60" t="s">
        <v>100</v>
      </c>
      <c r="E235" s="59">
        <v>35</v>
      </c>
      <c r="F235" s="59" t="s">
        <v>194</v>
      </c>
      <c r="G235" s="59">
        <v>3988</v>
      </c>
      <c r="H235" s="59" t="s">
        <v>341</v>
      </c>
      <c r="I235" s="61" t="s">
        <v>171</v>
      </c>
      <c r="J235" s="62">
        <v>6.06</v>
      </c>
      <c r="K235" s="63" t="s">
        <v>314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99</v>
      </c>
      <c r="D236" s="60" t="s">
        <v>100</v>
      </c>
      <c r="E236" s="59">
        <v>35</v>
      </c>
      <c r="F236" s="59" t="s">
        <v>166</v>
      </c>
      <c r="G236" s="59">
        <v>194</v>
      </c>
      <c r="H236" s="59" t="s">
        <v>167</v>
      </c>
      <c r="I236" s="61" t="s">
        <v>130</v>
      </c>
      <c r="J236" s="62">
        <v>1.3299999999999999E-2</v>
      </c>
      <c r="K236" s="63" t="s">
        <v>315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99</v>
      </c>
      <c r="D237" s="60" t="s">
        <v>100</v>
      </c>
      <c r="E237" s="59">
        <v>35</v>
      </c>
      <c r="F237" s="59" t="s">
        <v>145</v>
      </c>
      <c r="G237" s="59">
        <v>4155</v>
      </c>
      <c r="H237" s="59" t="s">
        <v>151</v>
      </c>
      <c r="I237" s="61" t="s">
        <v>130</v>
      </c>
      <c r="J237" s="62">
        <v>0.16</v>
      </c>
      <c r="K237" s="63" t="s">
        <v>316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99</v>
      </c>
      <c r="D238" s="60" t="s">
        <v>100</v>
      </c>
      <c r="E238" s="59">
        <v>35</v>
      </c>
      <c r="F238" s="59" t="s">
        <v>331</v>
      </c>
      <c r="G238" s="59">
        <v>495</v>
      </c>
      <c r="H238" s="59" t="s">
        <v>332</v>
      </c>
      <c r="I238" s="61" t="s">
        <v>321</v>
      </c>
      <c r="J238" s="62">
        <v>6.06</v>
      </c>
      <c r="K238" s="63" t="s">
        <v>333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99</v>
      </c>
      <c r="D239" s="60" t="s">
        <v>100</v>
      </c>
      <c r="E239" s="59">
        <v>35</v>
      </c>
      <c r="F239" s="59" t="s">
        <v>204</v>
      </c>
      <c r="G239" s="59">
        <v>3635</v>
      </c>
      <c r="H239" s="59" t="s">
        <v>205</v>
      </c>
      <c r="I239" s="61" t="s">
        <v>171</v>
      </c>
      <c r="J239" s="62">
        <v>0.16800000000000001</v>
      </c>
      <c r="K239" s="63" t="s">
        <v>318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99</v>
      </c>
      <c r="D240" s="60" t="s">
        <v>102</v>
      </c>
      <c r="E240" s="59">
        <v>35</v>
      </c>
      <c r="F240" s="59" t="s">
        <v>128</v>
      </c>
      <c r="G240" s="59">
        <v>3503</v>
      </c>
      <c r="H240" s="59" t="s">
        <v>143</v>
      </c>
      <c r="I240" s="61" t="s">
        <v>130</v>
      </c>
      <c r="J240" s="62">
        <v>12.82</v>
      </c>
      <c r="K240" s="63" t="s">
        <v>307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99</v>
      </c>
      <c r="D241" s="60" t="s">
        <v>102</v>
      </c>
      <c r="E241" s="59">
        <v>35</v>
      </c>
      <c r="F241" s="59" t="s">
        <v>152</v>
      </c>
      <c r="G241" s="59">
        <v>3595</v>
      </c>
      <c r="H241" s="59" t="s">
        <v>309</v>
      </c>
      <c r="I241" s="61" t="s">
        <v>130</v>
      </c>
      <c r="J241" s="62">
        <v>0.78</v>
      </c>
      <c r="K241" s="63" t="s">
        <v>310</v>
      </c>
      <c r="L241" s="63">
        <v>0.1</v>
      </c>
      <c r="M241" s="65" t="s">
        <v>311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99</v>
      </c>
      <c r="D242" s="60" t="s">
        <v>102</v>
      </c>
      <c r="E242" s="59">
        <v>35</v>
      </c>
      <c r="F242" s="59" t="s">
        <v>169</v>
      </c>
      <c r="G242" s="59">
        <v>578</v>
      </c>
      <c r="H242" s="59" t="s">
        <v>192</v>
      </c>
      <c r="I242" s="61" t="s">
        <v>171</v>
      </c>
      <c r="J242" s="62">
        <v>1000</v>
      </c>
      <c r="K242" s="63" t="s">
        <v>312</v>
      </c>
      <c r="L242" s="63">
        <v>0.02</v>
      </c>
      <c r="M242" s="65" t="s">
        <v>313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99</v>
      </c>
      <c r="D243" s="60" t="s">
        <v>102</v>
      </c>
      <c r="E243" s="59">
        <v>35</v>
      </c>
      <c r="F243" s="59" t="s">
        <v>194</v>
      </c>
      <c r="G243" s="59">
        <v>3988</v>
      </c>
      <c r="H243" s="59" t="s">
        <v>341</v>
      </c>
      <c r="I243" s="61" t="s">
        <v>171</v>
      </c>
      <c r="J243" s="62">
        <v>6.06</v>
      </c>
      <c r="K243" s="63" t="s">
        <v>314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99</v>
      </c>
      <c r="D244" s="60" t="s">
        <v>102</v>
      </c>
      <c r="E244" s="59">
        <v>35</v>
      </c>
      <c r="F244" s="59" t="s">
        <v>166</v>
      </c>
      <c r="G244" s="59">
        <v>194</v>
      </c>
      <c r="H244" s="59" t="s">
        <v>167</v>
      </c>
      <c r="I244" s="61" t="s">
        <v>130</v>
      </c>
      <c r="J244" s="62">
        <v>1.3299999999999999E-2</v>
      </c>
      <c r="K244" s="63" t="s">
        <v>315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99</v>
      </c>
      <c r="D245" s="60" t="s">
        <v>102</v>
      </c>
      <c r="E245" s="59">
        <v>35</v>
      </c>
      <c r="F245" s="59" t="s">
        <v>145</v>
      </c>
      <c r="G245" s="59">
        <v>4155</v>
      </c>
      <c r="H245" s="59" t="s">
        <v>151</v>
      </c>
      <c r="I245" s="61" t="s">
        <v>130</v>
      </c>
      <c r="J245" s="62">
        <v>0.16</v>
      </c>
      <c r="K245" s="63" t="s">
        <v>316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99</v>
      </c>
      <c r="D246" s="60" t="s">
        <v>102</v>
      </c>
      <c r="E246" s="59">
        <v>35</v>
      </c>
      <c r="F246" s="59" t="s">
        <v>204</v>
      </c>
      <c r="G246" s="59">
        <v>3635</v>
      </c>
      <c r="H246" s="59" t="s">
        <v>205</v>
      </c>
      <c r="I246" s="61" t="s">
        <v>171</v>
      </c>
      <c r="J246" s="62">
        <v>0.16800000000000001</v>
      </c>
      <c r="K246" s="63" t="s">
        <v>318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99</v>
      </c>
      <c r="D247" s="60" t="s">
        <v>102</v>
      </c>
      <c r="E247" s="59">
        <v>35</v>
      </c>
      <c r="F247" s="59" t="s">
        <v>331</v>
      </c>
      <c r="G247" s="59">
        <v>495</v>
      </c>
      <c r="H247" s="59" t="s">
        <v>332</v>
      </c>
      <c r="I247" s="61" t="s">
        <v>321</v>
      </c>
      <c r="J247" s="62">
        <v>6.06</v>
      </c>
      <c r="K247" s="63" t="s">
        <v>333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50</v>
      </c>
      <c r="D248" s="60" t="s">
        <v>51</v>
      </c>
      <c r="E248" s="59" t="s">
        <v>52</v>
      </c>
      <c r="F248" s="59" t="s">
        <v>209</v>
      </c>
      <c r="G248" s="59">
        <v>2680</v>
      </c>
      <c r="H248" s="59" t="s">
        <v>210</v>
      </c>
      <c r="I248" s="61" t="s">
        <v>130</v>
      </c>
      <c r="J248" s="62">
        <v>22</v>
      </c>
      <c r="K248" s="63" t="s">
        <v>345</v>
      </c>
      <c r="L248" s="63">
        <v>0.15</v>
      </c>
      <c r="M248" s="65" t="s">
        <v>313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50</v>
      </c>
      <c r="D249" s="60" t="s">
        <v>51</v>
      </c>
      <c r="E249" s="59" t="s">
        <v>52</v>
      </c>
      <c r="F249" s="59" t="s">
        <v>346</v>
      </c>
      <c r="G249" s="59">
        <v>5977</v>
      </c>
      <c r="H249" s="59" t="s">
        <v>203</v>
      </c>
      <c r="I249" s="61" t="s">
        <v>171</v>
      </c>
      <c r="J249" s="62">
        <v>1.087</v>
      </c>
      <c r="K249" s="63" t="s">
        <v>347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50</v>
      </c>
      <c r="D250" s="60" t="s">
        <v>51</v>
      </c>
      <c r="E250" s="59" t="s">
        <v>52</v>
      </c>
      <c r="F250" s="59" t="s">
        <v>225</v>
      </c>
      <c r="G250" s="59">
        <v>2267</v>
      </c>
      <c r="H250" s="59" t="s">
        <v>226</v>
      </c>
      <c r="I250" s="61" t="s">
        <v>171</v>
      </c>
      <c r="J250" s="62">
        <v>8.6959999999999997</v>
      </c>
      <c r="K250" s="63" t="s">
        <v>237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50</v>
      </c>
      <c r="D251" s="60" t="s">
        <v>51</v>
      </c>
      <c r="E251" s="59" t="s">
        <v>52</v>
      </c>
      <c r="F251" s="59" t="s">
        <v>204</v>
      </c>
      <c r="G251" s="59">
        <v>3635</v>
      </c>
      <c r="H251" s="59" t="s">
        <v>205</v>
      </c>
      <c r="I251" s="61" t="s">
        <v>171</v>
      </c>
      <c r="J251" s="62">
        <v>2.7E-2</v>
      </c>
      <c r="K251" s="63" t="s">
        <v>318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50</v>
      </c>
      <c r="D252" s="60" t="s">
        <v>51</v>
      </c>
      <c r="E252" s="59" t="s">
        <v>52</v>
      </c>
      <c r="F252" s="59" t="s">
        <v>228</v>
      </c>
      <c r="G252" s="59">
        <v>3043</v>
      </c>
      <c r="H252" s="59" t="s">
        <v>228</v>
      </c>
      <c r="I252" s="61" t="s">
        <v>229</v>
      </c>
      <c r="J252" s="62">
        <v>5.0000000000000001E-3</v>
      </c>
      <c r="K252" s="63" t="s">
        <v>348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28</v>
      </c>
      <c r="D253" s="60" t="s">
        <v>43</v>
      </c>
      <c r="E253" s="59" t="s">
        <v>44</v>
      </c>
      <c r="F253" s="59" t="s">
        <v>209</v>
      </c>
      <c r="G253" s="59">
        <v>2680</v>
      </c>
      <c r="H253" s="59" t="s">
        <v>210</v>
      </c>
      <c r="I253" s="61" t="s">
        <v>130</v>
      </c>
      <c r="J253" s="62">
        <v>17.100000000000001</v>
      </c>
      <c r="K253" s="63" t="s">
        <v>345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28</v>
      </c>
      <c r="D254" s="60" t="s">
        <v>43</v>
      </c>
      <c r="E254" s="59" t="s">
        <v>44</v>
      </c>
      <c r="F254" s="59" t="s">
        <v>349</v>
      </c>
      <c r="G254" s="59">
        <v>4070</v>
      </c>
      <c r="H254" s="59" t="s">
        <v>214</v>
      </c>
      <c r="I254" s="61" t="s">
        <v>130</v>
      </c>
      <c r="J254" s="62">
        <v>0.9</v>
      </c>
      <c r="K254" s="63" t="s">
        <v>350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28</v>
      </c>
      <c r="D255" s="60" t="s">
        <v>43</v>
      </c>
      <c r="E255" s="59" t="s">
        <v>44</v>
      </c>
      <c r="F255" s="59" t="s">
        <v>225</v>
      </c>
      <c r="G255" s="59">
        <v>2267</v>
      </c>
      <c r="H255" s="59" t="s">
        <v>226</v>
      </c>
      <c r="I255" s="61" t="s">
        <v>171</v>
      </c>
      <c r="J255" s="62">
        <v>8.3330000000000002</v>
      </c>
      <c r="K255" s="63" t="s">
        <v>237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28</v>
      </c>
      <c r="D256" s="60" t="s">
        <v>43</v>
      </c>
      <c r="E256" s="59" t="s">
        <v>44</v>
      </c>
      <c r="F256" s="59" t="s">
        <v>228</v>
      </c>
      <c r="G256" s="59">
        <v>3043</v>
      </c>
      <c r="H256" s="59" t="s">
        <v>228</v>
      </c>
      <c r="I256" s="61" t="s">
        <v>229</v>
      </c>
      <c r="J256" s="62">
        <v>5.0000000000000001E-3</v>
      </c>
      <c r="K256" s="63" t="s">
        <v>348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28</v>
      </c>
      <c r="D257" s="60" t="s">
        <v>105</v>
      </c>
      <c r="E257" s="59" t="s">
        <v>44</v>
      </c>
      <c r="F257" s="59" t="s">
        <v>209</v>
      </c>
      <c r="G257" s="59">
        <v>2680</v>
      </c>
      <c r="H257" s="59" t="s">
        <v>210</v>
      </c>
      <c r="I257" s="61" t="s">
        <v>130</v>
      </c>
      <c r="J257" s="62">
        <v>17.46</v>
      </c>
      <c r="K257" s="63" t="s">
        <v>345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28</v>
      </c>
      <c r="D258" s="60" t="s">
        <v>105</v>
      </c>
      <c r="E258" s="59" t="s">
        <v>44</v>
      </c>
      <c r="F258" s="59" t="s">
        <v>349</v>
      </c>
      <c r="G258" s="59">
        <v>7412</v>
      </c>
      <c r="H258" s="59" t="s">
        <v>220</v>
      </c>
      <c r="I258" s="61" t="s">
        <v>130</v>
      </c>
      <c r="J258" s="62">
        <v>0.54</v>
      </c>
      <c r="K258" s="63" t="s">
        <v>350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28</v>
      </c>
      <c r="D259" s="60" t="s">
        <v>105</v>
      </c>
      <c r="E259" s="59" t="s">
        <v>44</v>
      </c>
      <c r="F259" s="59" t="s">
        <v>225</v>
      </c>
      <c r="G259" s="59">
        <v>2267</v>
      </c>
      <c r="H259" s="59" t="s">
        <v>226</v>
      </c>
      <c r="I259" s="61" t="s">
        <v>171</v>
      </c>
      <c r="J259" s="62">
        <v>8.3330000000000002</v>
      </c>
      <c r="K259" s="63" t="s">
        <v>237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28</v>
      </c>
      <c r="D260" s="60" t="s">
        <v>105</v>
      </c>
      <c r="E260" s="59" t="s">
        <v>44</v>
      </c>
      <c r="F260" s="59" t="s">
        <v>228</v>
      </c>
      <c r="G260" s="59">
        <v>3043</v>
      </c>
      <c r="H260" s="59" t="s">
        <v>228</v>
      </c>
      <c r="I260" s="61" t="s">
        <v>229</v>
      </c>
      <c r="J260" s="62">
        <v>5.0000000000000001E-3</v>
      </c>
      <c r="K260" s="63" t="s">
        <v>348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28</v>
      </c>
      <c r="D261" s="60" t="s">
        <v>106</v>
      </c>
      <c r="E261" s="59" t="s">
        <v>44</v>
      </c>
      <c r="F261" s="59" t="s">
        <v>209</v>
      </c>
      <c r="G261" s="59">
        <v>2680</v>
      </c>
      <c r="H261" s="59" t="s">
        <v>210</v>
      </c>
      <c r="I261" s="61" t="s">
        <v>130</v>
      </c>
      <c r="J261" s="62">
        <v>17.100000000000001</v>
      </c>
      <c r="K261" s="63" t="s">
        <v>345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28</v>
      </c>
      <c r="D262" s="60" t="s">
        <v>106</v>
      </c>
      <c r="E262" s="59" t="s">
        <v>44</v>
      </c>
      <c r="F262" s="59" t="s">
        <v>349</v>
      </c>
      <c r="G262" s="59">
        <v>5816</v>
      </c>
      <c r="H262" s="59" t="s">
        <v>217</v>
      </c>
      <c r="I262" s="61" t="s">
        <v>130</v>
      </c>
      <c r="J262" s="62">
        <v>0.9</v>
      </c>
      <c r="K262" s="63" t="s">
        <v>350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28</v>
      </c>
      <c r="D263" s="60" t="s">
        <v>106</v>
      </c>
      <c r="E263" s="59" t="s">
        <v>44</v>
      </c>
      <c r="F263" s="59" t="s">
        <v>225</v>
      </c>
      <c r="G263" s="59">
        <v>2267</v>
      </c>
      <c r="H263" s="59" t="s">
        <v>226</v>
      </c>
      <c r="I263" s="61" t="s">
        <v>171</v>
      </c>
      <c r="J263" s="62">
        <v>8.3330000000000002</v>
      </c>
      <c r="K263" s="63" t="s">
        <v>237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28</v>
      </c>
      <c r="D264" s="60" t="s">
        <v>106</v>
      </c>
      <c r="E264" s="59" t="s">
        <v>44</v>
      </c>
      <c r="F264" s="59" t="s">
        <v>228</v>
      </c>
      <c r="G264" s="59">
        <v>3043</v>
      </c>
      <c r="H264" s="59" t="s">
        <v>228</v>
      </c>
      <c r="I264" s="61" t="s">
        <v>229</v>
      </c>
      <c r="J264" s="62">
        <v>5.0000000000000001E-3</v>
      </c>
      <c r="K264" s="63" t="s">
        <v>348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50</v>
      </c>
      <c r="D265" s="60" t="s">
        <v>48</v>
      </c>
      <c r="E265" s="59" t="s">
        <v>46</v>
      </c>
      <c r="F265" s="59" t="s">
        <v>209</v>
      </c>
      <c r="G265" s="59">
        <v>2680</v>
      </c>
      <c r="H265" s="59" t="s">
        <v>210</v>
      </c>
      <c r="I265" s="61" t="s">
        <v>130</v>
      </c>
      <c r="J265" s="62">
        <v>18</v>
      </c>
      <c r="K265" s="63" t="s">
        <v>345</v>
      </c>
      <c r="L265" s="63">
        <v>0.15</v>
      </c>
      <c r="M265" s="65" t="s">
        <v>313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50</v>
      </c>
      <c r="D266" s="60" t="s">
        <v>48</v>
      </c>
      <c r="E266" s="59" t="s">
        <v>46</v>
      </c>
      <c r="F266" s="59" t="s">
        <v>346</v>
      </c>
      <c r="G266" s="59">
        <v>5977</v>
      </c>
      <c r="H266" s="59" t="s">
        <v>203</v>
      </c>
      <c r="I266" s="61" t="s">
        <v>171</v>
      </c>
      <c r="J266" s="62">
        <v>1.667</v>
      </c>
      <c r="K266" s="63" t="s">
        <v>347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50</v>
      </c>
      <c r="D267" s="60" t="s">
        <v>48</v>
      </c>
      <c r="E267" s="59" t="s">
        <v>46</v>
      </c>
      <c r="F267" s="59" t="s">
        <v>225</v>
      </c>
      <c r="G267" s="59">
        <v>2267</v>
      </c>
      <c r="H267" s="59" t="s">
        <v>226</v>
      </c>
      <c r="I267" s="61" t="s">
        <v>171</v>
      </c>
      <c r="J267" s="62">
        <v>10</v>
      </c>
      <c r="K267" s="63" t="s">
        <v>237</v>
      </c>
      <c r="L267" s="63">
        <v>0.15</v>
      </c>
      <c r="M267" s="65" t="s">
        <v>313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50</v>
      </c>
      <c r="D268" s="60" t="s">
        <v>48</v>
      </c>
      <c r="E268" s="59" t="s">
        <v>46</v>
      </c>
      <c r="F268" s="59" t="s">
        <v>204</v>
      </c>
      <c r="G268" s="59">
        <v>3635</v>
      </c>
      <c r="H268" s="59" t="s">
        <v>205</v>
      </c>
      <c r="I268" s="61" t="s">
        <v>171</v>
      </c>
      <c r="J268" s="62">
        <v>4.2000000000000003E-2</v>
      </c>
      <c r="K268" s="63" t="s">
        <v>318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50</v>
      </c>
      <c r="D269" s="60" t="s">
        <v>48</v>
      </c>
      <c r="E269" s="59" t="s">
        <v>46</v>
      </c>
      <c r="F269" s="59" t="s">
        <v>228</v>
      </c>
      <c r="G269" s="59">
        <v>3043</v>
      </c>
      <c r="H269" s="59" t="s">
        <v>228</v>
      </c>
      <c r="I269" s="61" t="s">
        <v>229</v>
      </c>
      <c r="J269" s="62">
        <v>5.0000000000000001E-3</v>
      </c>
      <c r="K269" s="63" t="s">
        <v>348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28</v>
      </c>
      <c r="D270" s="60" t="s">
        <v>55</v>
      </c>
      <c r="E270" s="59" t="s">
        <v>54</v>
      </c>
      <c r="F270" s="59" t="s">
        <v>209</v>
      </c>
      <c r="G270" s="59">
        <v>2680</v>
      </c>
      <c r="H270" s="59" t="s">
        <v>210</v>
      </c>
      <c r="I270" s="61" t="s">
        <v>130</v>
      </c>
      <c r="J270" s="62">
        <v>23.75</v>
      </c>
      <c r="K270" s="63" t="s">
        <v>345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28</v>
      </c>
      <c r="D271" s="60" t="s">
        <v>55</v>
      </c>
      <c r="E271" s="59" t="s">
        <v>54</v>
      </c>
      <c r="F271" s="59" t="s">
        <v>349</v>
      </c>
      <c r="G271" s="59">
        <v>4070</v>
      </c>
      <c r="H271" s="59" t="s">
        <v>214</v>
      </c>
      <c r="I271" s="61" t="s">
        <v>130</v>
      </c>
      <c r="J271" s="62">
        <v>1.25</v>
      </c>
      <c r="K271" s="63" t="s">
        <v>350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28</v>
      </c>
      <c r="D272" s="60" t="s">
        <v>55</v>
      </c>
      <c r="E272" s="59" t="s">
        <v>54</v>
      </c>
      <c r="F272" s="59" t="s">
        <v>225</v>
      </c>
      <c r="G272" s="59">
        <v>3006</v>
      </c>
      <c r="H272" s="59" t="s">
        <v>238</v>
      </c>
      <c r="I272" s="61" t="s">
        <v>171</v>
      </c>
      <c r="J272" s="62">
        <v>8.3330000000000002</v>
      </c>
      <c r="K272" s="63" t="s">
        <v>237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28</v>
      </c>
      <c r="D273" s="60" t="s">
        <v>55</v>
      </c>
      <c r="E273" s="59" t="s">
        <v>54</v>
      </c>
      <c r="F273" s="59" t="s">
        <v>228</v>
      </c>
      <c r="G273" s="59">
        <v>3043</v>
      </c>
      <c r="H273" s="59" t="s">
        <v>228</v>
      </c>
      <c r="I273" s="61" t="s">
        <v>229</v>
      </c>
      <c r="J273" s="62">
        <v>5.0000000000000001E-3</v>
      </c>
      <c r="K273" s="63" t="s">
        <v>348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28</v>
      </c>
      <c r="D274" s="60" t="s">
        <v>53</v>
      </c>
      <c r="E274" s="59" t="s">
        <v>54</v>
      </c>
      <c r="F274" s="59" t="s">
        <v>209</v>
      </c>
      <c r="G274" s="59">
        <v>2680</v>
      </c>
      <c r="H274" s="59" t="s">
        <v>210</v>
      </c>
      <c r="I274" s="61" t="s">
        <v>130</v>
      </c>
      <c r="J274" s="62">
        <v>23.75</v>
      </c>
      <c r="K274" s="63" t="s">
        <v>345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28</v>
      </c>
      <c r="D275" s="60" t="s">
        <v>53</v>
      </c>
      <c r="E275" s="59" t="s">
        <v>54</v>
      </c>
      <c r="F275" s="59" t="s">
        <v>349</v>
      </c>
      <c r="G275" s="59">
        <v>5816</v>
      </c>
      <c r="H275" s="59" t="s">
        <v>217</v>
      </c>
      <c r="I275" s="61" t="s">
        <v>130</v>
      </c>
      <c r="J275" s="62">
        <v>1.25</v>
      </c>
      <c r="K275" s="63" t="s">
        <v>350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28</v>
      </c>
      <c r="D276" s="60" t="s">
        <v>53</v>
      </c>
      <c r="E276" s="59" t="s">
        <v>54</v>
      </c>
      <c r="F276" s="59" t="s">
        <v>225</v>
      </c>
      <c r="G276" s="59">
        <v>3006</v>
      </c>
      <c r="H276" s="59" t="s">
        <v>238</v>
      </c>
      <c r="I276" s="61" t="s">
        <v>171</v>
      </c>
      <c r="J276" s="62">
        <v>8.3330000000000002</v>
      </c>
      <c r="K276" s="63" t="s">
        <v>237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28</v>
      </c>
      <c r="D277" s="60" t="s">
        <v>53</v>
      </c>
      <c r="E277" s="59" t="s">
        <v>54</v>
      </c>
      <c r="F277" s="59" t="s">
        <v>228</v>
      </c>
      <c r="G277" s="59">
        <v>3043</v>
      </c>
      <c r="H277" s="59" t="s">
        <v>228</v>
      </c>
      <c r="I277" s="61" t="s">
        <v>229</v>
      </c>
      <c r="J277" s="62">
        <v>5.0000000000000001E-3</v>
      </c>
      <c r="K277" s="63" t="s">
        <v>348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28</v>
      </c>
      <c r="D278" s="60" t="s">
        <v>107</v>
      </c>
      <c r="E278" s="59" t="s">
        <v>54</v>
      </c>
      <c r="F278" s="59" t="s">
        <v>209</v>
      </c>
      <c r="G278" s="59">
        <v>2680</v>
      </c>
      <c r="H278" s="59" t="s">
        <v>210</v>
      </c>
      <c r="I278" s="61" t="s">
        <v>130</v>
      </c>
      <c r="J278" s="62">
        <v>24.25</v>
      </c>
      <c r="K278" s="63" t="s">
        <v>345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28</v>
      </c>
      <c r="D279" s="60" t="s">
        <v>107</v>
      </c>
      <c r="E279" s="59" t="s">
        <v>54</v>
      </c>
      <c r="F279" s="59" t="s">
        <v>349</v>
      </c>
      <c r="G279" s="59">
        <v>7412</v>
      </c>
      <c r="H279" s="59" t="s">
        <v>220</v>
      </c>
      <c r="I279" s="61" t="s">
        <v>130</v>
      </c>
      <c r="J279" s="62">
        <v>0.75</v>
      </c>
      <c r="K279" s="63" t="s">
        <v>350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28</v>
      </c>
      <c r="D280" s="60" t="s">
        <v>107</v>
      </c>
      <c r="E280" s="59" t="s">
        <v>54</v>
      </c>
      <c r="F280" s="59" t="s">
        <v>225</v>
      </c>
      <c r="G280" s="59">
        <v>3006</v>
      </c>
      <c r="H280" s="59" t="s">
        <v>238</v>
      </c>
      <c r="I280" s="61" t="s">
        <v>171</v>
      </c>
      <c r="J280" s="62">
        <v>8.3330000000000002</v>
      </c>
      <c r="K280" s="63" t="s">
        <v>237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28</v>
      </c>
      <c r="D281" s="60" t="s">
        <v>107</v>
      </c>
      <c r="E281" s="59" t="s">
        <v>54</v>
      </c>
      <c r="F281" s="59" t="s">
        <v>228</v>
      </c>
      <c r="G281" s="59">
        <v>3043</v>
      </c>
      <c r="H281" s="59" t="s">
        <v>228</v>
      </c>
      <c r="I281" s="61" t="s">
        <v>229</v>
      </c>
      <c r="J281" s="62">
        <v>5.0000000000000001E-3</v>
      </c>
      <c r="K281" s="63" t="s">
        <v>348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39</v>
      </c>
      <c r="D282" s="60" t="s">
        <v>108</v>
      </c>
      <c r="E282" s="59" t="s">
        <v>109</v>
      </c>
      <c r="F282" s="59" t="s">
        <v>209</v>
      </c>
      <c r="G282" s="59">
        <v>2680</v>
      </c>
      <c r="H282" s="59" t="s">
        <v>210</v>
      </c>
      <c r="I282" s="61" t="s">
        <v>130</v>
      </c>
      <c r="J282" s="62">
        <v>25</v>
      </c>
      <c r="K282" s="63" t="s">
        <v>345</v>
      </c>
      <c r="L282" s="63">
        <v>0.15</v>
      </c>
      <c r="M282" s="65" t="s">
        <v>313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39</v>
      </c>
      <c r="D283" s="60" t="s">
        <v>108</v>
      </c>
      <c r="E283" s="59" t="s">
        <v>109</v>
      </c>
      <c r="F283" s="59" t="s">
        <v>346</v>
      </c>
      <c r="G283" s="59">
        <v>3621</v>
      </c>
      <c r="H283" s="59" t="s">
        <v>351</v>
      </c>
      <c r="I283" s="61" t="s">
        <v>171</v>
      </c>
      <c r="J283" s="62">
        <v>7.1429999999999998</v>
      </c>
      <c r="K283" s="63" t="s">
        <v>347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39</v>
      </c>
      <c r="D284" s="60" t="s">
        <v>108</v>
      </c>
      <c r="E284" s="59" t="s">
        <v>109</v>
      </c>
      <c r="F284" s="59" t="s">
        <v>225</v>
      </c>
      <c r="G284" s="59">
        <v>3006</v>
      </c>
      <c r="H284" s="59" t="s">
        <v>238</v>
      </c>
      <c r="I284" s="61" t="s">
        <v>171</v>
      </c>
      <c r="J284" s="62">
        <v>11.111000000000001</v>
      </c>
      <c r="K284" s="63" t="s">
        <v>237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39</v>
      </c>
      <c r="D285" s="60" t="s">
        <v>108</v>
      </c>
      <c r="E285" s="59" t="s">
        <v>109</v>
      </c>
      <c r="F285" s="59" t="s">
        <v>204</v>
      </c>
      <c r="G285" s="59">
        <v>3635</v>
      </c>
      <c r="H285" s="59" t="s">
        <v>205</v>
      </c>
      <c r="I285" s="61" t="s">
        <v>171</v>
      </c>
      <c r="J285" s="62">
        <v>0.17899999999999999</v>
      </c>
      <c r="K285" s="63" t="s">
        <v>318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39</v>
      </c>
      <c r="D286" s="60" t="s">
        <v>108</v>
      </c>
      <c r="E286" s="59" t="s">
        <v>109</v>
      </c>
      <c r="F286" s="59" t="s">
        <v>228</v>
      </c>
      <c r="G286" s="59">
        <v>3043</v>
      </c>
      <c r="H286" s="59" t="s">
        <v>228</v>
      </c>
      <c r="I286" s="61" t="s">
        <v>229</v>
      </c>
      <c r="J286" s="62">
        <v>5.0000000000000001E-3</v>
      </c>
      <c r="K286" s="63" t="s">
        <v>348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39</v>
      </c>
      <c r="D287" s="60" t="s">
        <v>110</v>
      </c>
      <c r="E287" s="59" t="s">
        <v>111</v>
      </c>
      <c r="F287" s="59" t="s">
        <v>209</v>
      </c>
      <c r="G287" s="59">
        <v>2680</v>
      </c>
      <c r="H287" s="59" t="s">
        <v>210</v>
      </c>
      <c r="I287" s="61" t="s">
        <v>130</v>
      </c>
      <c r="J287" s="62">
        <v>50</v>
      </c>
      <c r="K287" s="63" t="s">
        <v>345</v>
      </c>
      <c r="L287" s="63">
        <v>0.15</v>
      </c>
      <c r="M287" s="65" t="s">
        <v>313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39</v>
      </c>
      <c r="D288" s="60" t="s">
        <v>110</v>
      </c>
      <c r="E288" s="59" t="s">
        <v>111</v>
      </c>
      <c r="F288" s="59" t="s">
        <v>346</v>
      </c>
      <c r="G288" s="59">
        <v>3621</v>
      </c>
      <c r="H288" s="59" t="s">
        <v>351</v>
      </c>
      <c r="I288" s="61" t="s">
        <v>171</v>
      </c>
      <c r="J288" s="62">
        <v>2.778</v>
      </c>
      <c r="K288" s="63" t="s">
        <v>347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39</v>
      </c>
      <c r="D289" s="60" t="s">
        <v>110</v>
      </c>
      <c r="E289" s="59" t="s">
        <v>111</v>
      </c>
      <c r="F289" s="59" t="s">
        <v>225</v>
      </c>
      <c r="G289" s="59">
        <v>3006</v>
      </c>
      <c r="H289" s="59" t="s">
        <v>238</v>
      </c>
      <c r="I289" s="61" t="s">
        <v>171</v>
      </c>
      <c r="J289" s="62">
        <v>16.667000000000002</v>
      </c>
      <c r="K289" s="63" t="s">
        <v>237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39</v>
      </c>
      <c r="D290" s="60" t="s">
        <v>110</v>
      </c>
      <c r="E290" s="59" t="s">
        <v>111</v>
      </c>
      <c r="F290" s="59" t="s">
        <v>204</v>
      </c>
      <c r="G290" s="59">
        <v>3635</v>
      </c>
      <c r="H290" s="59" t="s">
        <v>205</v>
      </c>
      <c r="I290" s="61" t="s">
        <v>171</v>
      </c>
      <c r="J290" s="62">
        <v>6.9000000000000006E-2</v>
      </c>
      <c r="K290" s="63" t="s">
        <v>318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39</v>
      </c>
      <c r="D291" s="60" t="s">
        <v>110</v>
      </c>
      <c r="E291" s="59" t="s">
        <v>111</v>
      </c>
      <c r="F291" s="59" t="s">
        <v>228</v>
      </c>
      <c r="G291" s="59">
        <v>3043</v>
      </c>
      <c r="H291" s="59" t="s">
        <v>228</v>
      </c>
      <c r="I291" s="61" t="s">
        <v>229</v>
      </c>
      <c r="J291" s="62">
        <v>5.0000000000000001E-3</v>
      </c>
      <c r="K291" s="63" t="s">
        <v>348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28</v>
      </c>
      <c r="D292" s="60" t="s">
        <v>56</v>
      </c>
      <c r="E292" s="59" t="s">
        <v>54</v>
      </c>
      <c r="F292" s="59" t="s">
        <v>209</v>
      </c>
      <c r="G292" s="59">
        <v>2680</v>
      </c>
      <c r="H292" s="59" t="s">
        <v>210</v>
      </c>
      <c r="I292" s="61" t="s">
        <v>130</v>
      </c>
      <c r="J292" s="62">
        <v>23.75</v>
      </c>
      <c r="K292" s="63" t="s">
        <v>345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28</v>
      </c>
      <c r="D293" s="60" t="s">
        <v>56</v>
      </c>
      <c r="E293" s="59" t="s">
        <v>54</v>
      </c>
      <c r="F293" s="59" t="s">
        <v>225</v>
      </c>
      <c r="G293" s="59">
        <v>3006</v>
      </c>
      <c r="H293" s="59" t="s">
        <v>238</v>
      </c>
      <c r="I293" s="61" t="s">
        <v>171</v>
      </c>
      <c r="J293" s="62">
        <v>8.3330000000000002</v>
      </c>
      <c r="K293" s="63" t="s">
        <v>237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28</v>
      </c>
      <c r="D294" s="60" t="s">
        <v>56</v>
      </c>
      <c r="E294" s="59" t="s">
        <v>54</v>
      </c>
      <c r="F294" s="59" t="s">
        <v>228</v>
      </c>
      <c r="G294" s="59">
        <v>3043</v>
      </c>
      <c r="H294" s="59" t="s">
        <v>228</v>
      </c>
      <c r="I294" s="61" t="s">
        <v>229</v>
      </c>
      <c r="J294" s="62">
        <v>5.0000000000000001E-3</v>
      </c>
      <c r="K294" s="63" t="s">
        <v>348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352</v>
      </c>
      <c r="D295" s="60" t="s">
        <v>92</v>
      </c>
      <c r="E295" s="59">
        <v>30</v>
      </c>
      <c r="F295" s="59" t="s">
        <v>128</v>
      </c>
      <c r="G295" s="59">
        <v>2</v>
      </c>
      <c r="H295" s="59" t="s">
        <v>139</v>
      </c>
      <c r="I295" s="61" t="s">
        <v>130</v>
      </c>
      <c r="J295" s="62">
        <v>8</v>
      </c>
      <c r="K295" s="63" t="s">
        <v>128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352</v>
      </c>
      <c r="D296" s="60" t="s">
        <v>92</v>
      </c>
      <c r="E296" s="59">
        <v>30</v>
      </c>
      <c r="F296" s="59" t="s">
        <v>152</v>
      </c>
      <c r="G296" s="59">
        <v>3595</v>
      </c>
      <c r="H296" s="59" t="s">
        <v>309</v>
      </c>
      <c r="I296" s="61" t="s">
        <v>130</v>
      </c>
      <c r="J296" s="62">
        <v>0.67</v>
      </c>
      <c r="K296" s="63" t="s">
        <v>152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352</v>
      </c>
      <c r="D297" s="60" t="s">
        <v>92</v>
      </c>
      <c r="E297" s="59">
        <v>30</v>
      </c>
      <c r="F297" s="59" t="s">
        <v>194</v>
      </c>
      <c r="G297" s="59">
        <v>45</v>
      </c>
      <c r="H297" s="59" t="s">
        <v>353</v>
      </c>
      <c r="I297" s="61" t="s">
        <v>321</v>
      </c>
      <c r="J297" s="62">
        <v>6.6665999999999999</v>
      </c>
      <c r="K297" s="63" t="s">
        <v>194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352</v>
      </c>
      <c r="D298" s="60" t="s">
        <v>92</v>
      </c>
      <c r="E298" s="59">
        <v>30</v>
      </c>
      <c r="F298" s="59" t="s">
        <v>166</v>
      </c>
      <c r="G298" s="59">
        <v>4165</v>
      </c>
      <c r="H298" s="59" t="s">
        <v>354</v>
      </c>
      <c r="I298" s="61" t="s">
        <v>130</v>
      </c>
      <c r="J298" s="62">
        <v>8.3199999999999993E-3</v>
      </c>
      <c r="K298" s="63" t="s">
        <v>166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352</v>
      </c>
      <c r="D299" s="60" t="s">
        <v>92</v>
      </c>
      <c r="E299" s="59">
        <v>30</v>
      </c>
      <c r="F299" s="59" t="s">
        <v>319</v>
      </c>
      <c r="G299" s="59">
        <v>57</v>
      </c>
      <c r="H299" s="59" t="s">
        <v>340</v>
      </c>
      <c r="I299" s="61" t="s">
        <v>321</v>
      </c>
      <c r="J299" s="62">
        <v>6.6665999999999999</v>
      </c>
      <c r="K299" s="63" t="s">
        <v>319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352</v>
      </c>
      <c r="D300" s="60" t="s">
        <v>92</v>
      </c>
      <c r="E300" s="59">
        <v>30</v>
      </c>
      <c r="F300" s="59" t="s">
        <v>145</v>
      </c>
      <c r="G300" s="59">
        <v>4155</v>
      </c>
      <c r="H300" s="59" t="s">
        <v>151</v>
      </c>
      <c r="I300" s="61" t="s">
        <v>130</v>
      </c>
      <c r="J300" s="62">
        <v>0.28000000000000003</v>
      </c>
      <c r="K300" s="63" t="s">
        <v>145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352</v>
      </c>
      <c r="D301" s="60" t="s">
        <v>92</v>
      </c>
      <c r="E301" s="59">
        <v>30</v>
      </c>
      <c r="F301" s="59" t="s">
        <v>204</v>
      </c>
      <c r="G301" s="59">
        <v>3635</v>
      </c>
      <c r="H301" s="59" t="s">
        <v>205</v>
      </c>
      <c r="I301" s="61" t="s">
        <v>171</v>
      </c>
      <c r="J301" s="62">
        <v>0.156</v>
      </c>
      <c r="K301" s="63" t="s">
        <v>204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81</v>
      </c>
      <c r="D302" s="60" t="s">
        <v>82</v>
      </c>
      <c r="E302" s="59">
        <v>25</v>
      </c>
      <c r="F302" s="59" t="s">
        <v>128</v>
      </c>
      <c r="G302" s="59">
        <v>6</v>
      </c>
      <c r="H302" s="59" t="s">
        <v>137</v>
      </c>
      <c r="I302" s="61" t="s">
        <v>130</v>
      </c>
      <c r="J302" s="62">
        <v>5.9170999999999996</v>
      </c>
      <c r="K302" s="63" t="s">
        <v>128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81</v>
      </c>
      <c r="D303" s="60" t="s">
        <v>82</v>
      </c>
      <c r="E303" s="59">
        <v>25</v>
      </c>
      <c r="F303" s="59" t="s">
        <v>164</v>
      </c>
      <c r="G303" s="59">
        <v>186</v>
      </c>
      <c r="H303" s="59" t="s">
        <v>165</v>
      </c>
      <c r="I303" s="61" t="s">
        <v>130</v>
      </c>
      <c r="J303" s="62">
        <v>0.09</v>
      </c>
      <c r="K303" s="63" t="s">
        <v>164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81</v>
      </c>
      <c r="D304" s="60" t="s">
        <v>82</v>
      </c>
      <c r="E304" s="59">
        <v>25</v>
      </c>
      <c r="F304" s="59" t="s">
        <v>169</v>
      </c>
      <c r="G304" s="59">
        <v>3522</v>
      </c>
      <c r="H304" s="59" t="s">
        <v>190</v>
      </c>
      <c r="I304" s="61" t="s">
        <v>171</v>
      </c>
      <c r="J304" s="62">
        <v>1000</v>
      </c>
      <c r="K304" s="63" t="s">
        <v>169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81</v>
      </c>
      <c r="D305" s="60" t="s">
        <v>82</v>
      </c>
      <c r="E305" s="59">
        <v>25</v>
      </c>
      <c r="F305" s="59" t="s">
        <v>194</v>
      </c>
      <c r="G305" s="59">
        <v>3598</v>
      </c>
      <c r="H305" s="59" t="s">
        <v>355</v>
      </c>
      <c r="I305" s="61" t="s">
        <v>171</v>
      </c>
      <c r="J305" s="62">
        <v>2.9761000000000002</v>
      </c>
      <c r="K305" s="63" t="s">
        <v>194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81</v>
      </c>
      <c r="D306" s="60" t="s">
        <v>82</v>
      </c>
      <c r="E306" s="59">
        <v>25</v>
      </c>
      <c r="F306" s="59" t="s">
        <v>166</v>
      </c>
      <c r="G306" s="59">
        <v>194</v>
      </c>
      <c r="H306" s="59" t="s">
        <v>167</v>
      </c>
      <c r="I306" s="61" t="s">
        <v>130</v>
      </c>
      <c r="J306" s="62">
        <v>8.3199999999999993E-3</v>
      </c>
      <c r="K306" s="63" t="s">
        <v>166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81</v>
      </c>
      <c r="D307" s="60" t="s">
        <v>82</v>
      </c>
      <c r="E307" s="59">
        <v>25</v>
      </c>
      <c r="F307" s="59" t="s">
        <v>145</v>
      </c>
      <c r="G307" s="59">
        <v>4155</v>
      </c>
      <c r="H307" s="59" t="s">
        <v>151</v>
      </c>
      <c r="I307" s="61" t="s">
        <v>130</v>
      </c>
      <c r="J307" s="62">
        <v>0.42020000000000002</v>
      </c>
      <c r="K307" s="63" t="s">
        <v>145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81</v>
      </c>
      <c r="D308" s="60" t="s">
        <v>82</v>
      </c>
      <c r="E308" s="59">
        <v>25</v>
      </c>
      <c r="F308" s="59" t="s">
        <v>204</v>
      </c>
      <c r="G308" s="59">
        <v>3635</v>
      </c>
      <c r="H308" s="59" t="s">
        <v>205</v>
      </c>
      <c r="I308" s="61" t="s">
        <v>171</v>
      </c>
      <c r="J308" s="62">
        <v>7.9000000000000001E-2</v>
      </c>
      <c r="K308" s="63" t="s">
        <v>204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28</v>
      </c>
      <c r="D309" s="60" t="s">
        <v>30</v>
      </c>
      <c r="E309" s="59">
        <v>25</v>
      </c>
      <c r="F309" s="59" t="s">
        <v>128</v>
      </c>
      <c r="G309" s="59">
        <v>6</v>
      </c>
      <c r="H309" s="59" t="s">
        <v>137</v>
      </c>
      <c r="I309" s="61" t="s">
        <v>130</v>
      </c>
      <c r="J309" s="62">
        <v>5.9169999999999998</v>
      </c>
      <c r="K309" s="63" t="s">
        <v>307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28</v>
      </c>
      <c r="D310" s="60" t="s">
        <v>30</v>
      </c>
      <c r="E310" s="59">
        <v>25</v>
      </c>
      <c r="F310" s="59" t="s">
        <v>152</v>
      </c>
      <c r="G310" s="59">
        <v>3595</v>
      </c>
      <c r="H310" s="59" t="s">
        <v>309</v>
      </c>
      <c r="I310" s="61" t="s">
        <v>130</v>
      </c>
      <c r="J310" s="62">
        <v>0.61199999999999999</v>
      </c>
      <c r="K310" s="63" t="s">
        <v>310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28</v>
      </c>
      <c r="D311" s="60" t="s">
        <v>30</v>
      </c>
      <c r="E311" s="59">
        <v>25</v>
      </c>
      <c r="F311" s="59" t="s">
        <v>169</v>
      </c>
      <c r="G311" s="59">
        <v>68</v>
      </c>
      <c r="H311" s="59" t="s">
        <v>186</v>
      </c>
      <c r="I311" s="61" t="s">
        <v>171</v>
      </c>
      <c r="J311" s="62">
        <v>1000</v>
      </c>
      <c r="K311" s="63" t="s">
        <v>312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28</v>
      </c>
      <c r="D312" s="60" t="s">
        <v>30</v>
      </c>
      <c r="E312" s="59">
        <v>25</v>
      </c>
      <c r="F312" s="59" t="s">
        <v>194</v>
      </c>
      <c r="G312" s="59">
        <v>3598</v>
      </c>
      <c r="H312" s="59" t="s">
        <v>200</v>
      </c>
      <c r="I312" s="61" t="s">
        <v>171</v>
      </c>
      <c r="J312" s="62">
        <v>2.976</v>
      </c>
      <c r="K312" s="63" t="s">
        <v>314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28</v>
      </c>
      <c r="D313" s="60" t="s">
        <v>30</v>
      </c>
      <c r="E313" s="59">
        <v>25</v>
      </c>
      <c r="F313" s="59" t="s">
        <v>166</v>
      </c>
      <c r="G313" s="59">
        <v>194</v>
      </c>
      <c r="H313" s="59" t="s">
        <v>167</v>
      </c>
      <c r="I313" s="61" t="s">
        <v>130</v>
      </c>
      <c r="J313" s="62">
        <v>6.1500000000000001E-3</v>
      </c>
      <c r="K313" s="63" t="s">
        <v>315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28</v>
      </c>
      <c r="D314" s="60" t="s">
        <v>30</v>
      </c>
      <c r="E314" s="59">
        <v>25</v>
      </c>
      <c r="F314" s="59" t="s">
        <v>145</v>
      </c>
      <c r="G314" s="59">
        <v>4155</v>
      </c>
      <c r="H314" s="59" t="s">
        <v>151</v>
      </c>
      <c r="I314" s="61" t="s">
        <v>148</v>
      </c>
      <c r="J314" s="62">
        <v>0.29199999999999998</v>
      </c>
      <c r="K314" s="63" t="s">
        <v>316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28</v>
      </c>
      <c r="D315" s="60" t="s">
        <v>30</v>
      </c>
      <c r="E315" s="59">
        <v>25</v>
      </c>
      <c r="F315" s="59" t="s">
        <v>204</v>
      </c>
      <c r="G315" s="59">
        <v>3635</v>
      </c>
      <c r="H315" s="59" t="s">
        <v>205</v>
      </c>
      <c r="I315" s="61" t="s">
        <v>171</v>
      </c>
      <c r="J315" s="62">
        <v>7.9000000000000001E-2</v>
      </c>
      <c r="K315" s="63" t="s">
        <v>318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93</v>
      </c>
      <c r="D316" s="60" t="s">
        <v>94</v>
      </c>
      <c r="E316" s="59">
        <v>30</v>
      </c>
      <c r="F316" s="59" t="s">
        <v>128</v>
      </c>
      <c r="G316" s="59">
        <v>2</v>
      </c>
      <c r="H316" s="59" t="s">
        <v>139</v>
      </c>
      <c r="I316" s="61" t="s">
        <v>130</v>
      </c>
      <c r="J316" s="62">
        <v>8</v>
      </c>
      <c r="K316" s="63" t="s">
        <v>128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93</v>
      </c>
      <c r="D317" s="60" t="s">
        <v>94</v>
      </c>
      <c r="E317" s="59">
        <v>30</v>
      </c>
      <c r="F317" s="59" t="s">
        <v>152</v>
      </c>
      <c r="G317" s="59">
        <v>3595</v>
      </c>
      <c r="H317" s="59" t="s">
        <v>309</v>
      </c>
      <c r="I317" s="61" t="s">
        <v>130</v>
      </c>
      <c r="J317" s="62">
        <v>0.67</v>
      </c>
      <c r="K317" s="63" t="s">
        <v>152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93</v>
      </c>
      <c r="D318" s="60" t="s">
        <v>94</v>
      </c>
      <c r="E318" s="59">
        <v>30</v>
      </c>
      <c r="F318" s="59" t="s">
        <v>164</v>
      </c>
      <c r="G318" s="59">
        <v>186</v>
      </c>
      <c r="H318" s="59" t="s">
        <v>165</v>
      </c>
      <c r="I318" s="61" t="s">
        <v>130</v>
      </c>
      <c r="J318" s="62">
        <v>0.28000000000000003</v>
      </c>
      <c r="K318" s="63" t="s">
        <v>164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93</v>
      </c>
      <c r="D319" s="60" t="s">
        <v>94</v>
      </c>
      <c r="E319" s="59">
        <v>30</v>
      </c>
      <c r="F319" s="59" t="s">
        <v>169</v>
      </c>
      <c r="G319" s="59">
        <v>578</v>
      </c>
      <c r="H319" s="59" t="s">
        <v>356</v>
      </c>
      <c r="I319" s="61" t="s">
        <v>321</v>
      </c>
      <c r="J319" s="62">
        <v>1000</v>
      </c>
      <c r="K319" s="63" t="s">
        <v>169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93</v>
      </c>
      <c r="D320" s="60" t="s">
        <v>94</v>
      </c>
      <c r="E320" s="59">
        <v>30</v>
      </c>
      <c r="F320" s="59" t="s">
        <v>194</v>
      </c>
      <c r="G320" s="59">
        <v>3988</v>
      </c>
      <c r="H320" s="59" t="s">
        <v>357</v>
      </c>
      <c r="I320" s="61" t="s">
        <v>321</v>
      </c>
      <c r="J320" s="62">
        <v>4.2016</v>
      </c>
      <c r="K320" s="63" t="s">
        <v>194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93</v>
      </c>
      <c r="D321" s="60" t="s">
        <v>94</v>
      </c>
      <c r="E321" s="59">
        <v>30</v>
      </c>
      <c r="F321" s="59" t="s">
        <v>166</v>
      </c>
      <c r="G321" s="59">
        <v>4165</v>
      </c>
      <c r="H321" s="59" t="s">
        <v>354</v>
      </c>
      <c r="I321" s="61" t="s">
        <v>130</v>
      </c>
      <c r="J321" s="62">
        <v>8.3199999999999993E-3</v>
      </c>
      <c r="K321" s="63" t="s">
        <v>166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93</v>
      </c>
      <c r="D322" s="60" t="s">
        <v>94</v>
      </c>
      <c r="E322" s="59">
        <v>30</v>
      </c>
      <c r="F322" s="59" t="s">
        <v>145</v>
      </c>
      <c r="G322" s="59">
        <v>4155</v>
      </c>
      <c r="H322" s="59" t="s">
        <v>151</v>
      </c>
      <c r="I322" s="61" t="s">
        <v>130</v>
      </c>
      <c r="J322" s="62">
        <v>0.28000000000000003</v>
      </c>
      <c r="K322" s="63" t="s">
        <v>145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93</v>
      </c>
      <c r="D323" s="60" t="s">
        <v>94</v>
      </c>
      <c r="E323" s="59">
        <v>30</v>
      </c>
      <c r="F323" s="59" t="s">
        <v>204</v>
      </c>
      <c r="G323" s="59">
        <v>3635</v>
      </c>
      <c r="H323" s="59" t="s">
        <v>205</v>
      </c>
      <c r="I323" s="61" t="s">
        <v>171</v>
      </c>
      <c r="J323" s="62">
        <v>0.156</v>
      </c>
      <c r="K323" s="63" t="s">
        <v>204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93</v>
      </c>
      <c r="D324" s="60" t="s">
        <v>94</v>
      </c>
      <c r="E324" s="59">
        <v>30</v>
      </c>
      <c r="F324" s="59" t="s">
        <v>242</v>
      </c>
      <c r="G324" s="59">
        <v>6935</v>
      </c>
      <c r="H324" s="59" t="s">
        <v>274</v>
      </c>
      <c r="I324" s="61" t="s">
        <v>130</v>
      </c>
      <c r="J324" s="62">
        <v>3.3000000000000002E-2</v>
      </c>
      <c r="K324" s="63" t="s">
        <v>242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28</v>
      </c>
      <c r="D325" s="60" t="s">
        <v>63</v>
      </c>
      <c r="E325" s="59">
        <v>19</v>
      </c>
      <c r="F325" s="59" t="s">
        <v>128</v>
      </c>
      <c r="G325" s="59">
        <v>19</v>
      </c>
      <c r="H325" s="59" t="s">
        <v>135</v>
      </c>
      <c r="I325" s="61" t="s">
        <v>130</v>
      </c>
      <c r="J325" s="62">
        <v>3.367</v>
      </c>
      <c r="K325" s="63" t="s">
        <v>128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28</v>
      </c>
      <c r="D326" s="60" t="s">
        <v>63</v>
      </c>
      <c r="E326" s="59">
        <v>19</v>
      </c>
      <c r="F326" s="59" t="s">
        <v>152</v>
      </c>
      <c r="G326" s="59">
        <v>3595</v>
      </c>
      <c r="H326" s="59" t="s">
        <v>358</v>
      </c>
      <c r="I326" s="61" t="s">
        <v>130</v>
      </c>
      <c r="J326" s="62">
        <v>0.31</v>
      </c>
      <c r="K326" s="63" t="s">
        <v>152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28</v>
      </c>
      <c r="D327" s="60" t="s">
        <v>63</v>
      </c>
      <c r="E327" s="59">
        <v>19</v>
      </c>
      <c r="F327" s="59" t="s">
        <v>169</v>
      </c>
      <c r="G327" s="59">
        <v>80</v>
      </c>
      <c r="H327" s="59" t="s">
        <v>176</v>
      </c>
      <c r="I327" s="61" t="s">
        <v>321</v>
      </c>
      <c r="J327" s="62">
        <v>1000</v>
      </c>
      <c r="K327" s="63" t="s">
        <v>169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28</v>
      </c>
      <c r="D328" s="60" t="s">
        <v>63</v>
      </c>
      <c r="E328" s="59">
        <v>19</v>
      </c>
      <c r="F328" s="59" t="s">
        <v>194</v>
      </c>
      <c r="G328" s="59">
        <v>3619</v>
      </c>
      <c r="H328" s="59" t="s">
        <v>359</v>
      </c>
      <c r="I328" s="61" t="s">
        <v>321</v>
      </c>
      <c r="J328" s="62">
        <v>1.7</v>
      </c>
      <c r="K328" s="63" t="s">
        <v>194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28</v>
      </c>
      <c r="D329" s="60" t="s">
        <v>63</v>
      </c>
      <c r="E329" s="59">
        <v>19</v>
      </c>
      <c r="F329" s="59" t="s">
        <v>166</v>
      </c>
      <c r="G329" s="59">
        <v>194</v>
      </c>
      <c r="H329" s="59" t="s">
        <v>167</v>
      </c>
      <c r="I329" s="61" t="s">
        <v>130</v>
      </c>
      <c r="J329" s="62">
        <v>3.3999999999999998E-3</v>
      </c>
      <c r="K329" s="63" t="s">
        <v>166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28</v>
      </c>
      <c r="D330" s="60" t="s">
        <v>63</v>
      </c>
      <c r="E330" s="59">
        <v>19</v>
      </c>
      <c r="F330" s="59" t="s">
        <v>145</v>
      </c>
      <c r="G330" s="59">
        <v>4155</v>
      </c>
      <c r="H330" s="59" t="s">
        <v>151</v>
      </c>
      <c r="I330" s="61" t="s">
        <v>148</v>
      </c>
      <c r="J330" s="62">
        <v>0.1449</v>
      </c>
      <c r="K330" s="63" t="s">
        <v>145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28</v>
      </c>
      <c r="D331" s="60" t="s">
        <v>63</v>
      </c>
      <c r="E331" s="59">
        <v>19</v>
      </c>
      <c r="F331" s="59" t="s">
        <v>204</v>
      </c>
      <c r="G331" s="59">
        <v>3635</v>
      </c>
      <c r="H331" s="59" t="s">
        <v>205</v>
      </c>
      <c r="I331" s="61" t="s">
        <v>171</v>
      </c>
      <c r="J331" s="62">
        <v>5.8999999999999997E-2</v>
      </c>
      <c r="K331" s="63" t="s">
        <v>204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28</v>
      </c>
      <c r="D332" s="60" t="s">
        <v>62</v>
      </c>
      <c r="E332" s="59">
        <v>19</v>
      </c>
      <c r="F332" s="59" t="s">
        <v>128</v>
      </c>
      <c r="G332" s="59">
        <v>19</v>
      </c>
      <c r="H332" s="59" t="s">
        <v>135</v>
      </c>
      <c r="I332" s="61" t="s">
        <v>130</v>
      </c>
      <c r="J332" s="62">
        <v>3.367</v>
      </c>
      <c r="K332" s="63" t="s">
        <v>128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28</v>
      </c>
      <c r="D333" s="60" t="s">
        <v>62</v>
      </c>
      <c r="E333" s="59">
        <v>19</v>
      </c>
      <c r="F333" s="59" t="s">
        <v>152</v>
      </c>
      <c r="G333" s="59">
        <v>3595</v>
      </c>
      <c r="H333" s="59" t="s">
        <v>358</v>
      </c>
      <c r="I333" s="61" t="s">
        <v>130</v>
      </c>
      <c r="J333" s="62">
        <v>0.31</v>
      </c>
      <c r="K333" s="63" t="s">
        <v>152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28</v>
      </c>
      <c r="D334" s="60" t="s">
        <v>62</v>
      </c>
      <c r="E334" s="59">
        <v>19</v>
      </c>
      <c r="F334" s="59" t="s">
        <v>169</v>
      </c>
      <c r="G334" s="59">
        <v>80</v>
      </c>
      <c r="H334" s="59" t="s">
        <v>176</v>
      </c>
      <c r="I334" s="61" t="s">
        <v>321</v>
      </c>
      <c r="J334" s="62">
        <v>1000</v>
      </c>
      <c r="K334" s="63" t="s">
        <v>169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28</v>
      </c>
      <c r="D335" s="60" t="s">
        <v>62</v>
      </c>
      <c r="E335" s="59">
        <v>19</v>
      </c>
      <c r="F335" s="59" t="s">
        <v>194</v>
      </c>
      <c r="G335" s="59">
        <v>3619</v>
      </c>
      <c r="H335" s="59" t="s">
        <v>359</v>
      </c>
      <c r="I335" s="61" t="s">
        <v>321</v>
      </c>
      <c r="J335" s="62">
        <v>1.7</v>
      </c>
      <c r="K335" s="63" t="s">
        <v>194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28</v>
      </c>
      <c r="D336" s="60" t="s">
        <v>62</v>
      </c>
      <c r="E336" s="59">
        <v>19</v>
      </c>
      <c r="F336" s="59" t="s">
        <v>166</v>
      </c>
      <c r="G336" s="59">
        <v>194</v>
      </c>
      <c r="H336" s="59" t="s">
        <v>167</v>
      </c>
      <c r="I336" s="61" t="s">
        <v>130</v>
      </c>
      <c r="J336" s="62">
        <v>3.3999999999999998E-3</v>
      </c>
      <c r="K336" s="63" t="s">
        <v>166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28</v>
      </c>
      <c r="D337" s="60" t="s">
        <v>62</v>
      </c>
      <c r="E337" s="59">
        <v>19</v>
      </c>
      <c r="F337" s="59" t="s">
        <v>145</v>
      </c>
      <c r="G337" s="59">
        <v>4155</v>
      </c>
      <c r="H337" s="59" t="s">
        <v>151</v>
      </c>
      <c r="I337" s="61" t="s">
        <v>148</v>
      </c>
      <c r="J337" s="62">
        <v>0.1449</v>
      </c>
      <c r="K337" s="63" t="s">
        <v>145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28</v>
      </c>
      <c r="D338" s="60" t="s">
        <v>62</v>
      </c>
      <c r="E338" s="59">
        <v>19</v>
      </c>
      <c r="F338" s="59" t="s">
        <v>204</v>
      </c>
      <c r="G338" s="59">
        <v>3635</v>
      </c>
      <c r="H338" s="59" t="s">
        <v>205</v>
      </c>
      <c r="I338" s="61" t="s">
        <v>171</v>
      </c>
      <c r="J338" s="62">
        <v>5.8999999999999997E-2</v>
      </c>
      <c r="K338" s="63" t="s">
        <v>204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39</v>
      </c>
      <c r="D339" t="s">
        <v>45</v>
      </c>
      <c r="E339" t="s">
        <v>46</v>
      </c>
      <c r="F339" t="s">
        <v>209</v>
      </c>
      <c r="G339">
        <v>2680</v>
      </c>
      <c r="H339" t="s">
        <v>210</v>
      </c>
      <c r="I339" t="s">
        <v>130</v>
      </c>
      <c r="J339">
        <v>17.100000000000001</v>
      </c>
      <c r="K339" t="s">
        <v>345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39</v>
      </c>
      <c r="D340" s="60" t="s">
        <v>45</v>
      </c>
      <c r="E340" s="59" t="s">
        <v>46</v>
      </c>
      <c r="F340" s="59" t="s">
        <v>349</v>
      </c>
      <c r="G340" s="59">
        <v>5816</v>
      </c>
      <c r="H340" s="59" t="s">
        <v>217</v>
      </c>
      <c r="I340" s="61" t="s">
        <v>130</v>
      </c>
      <c r="J340" s="62">
        <v>0.9</v>
      </c>
      <c r="K340" s="63" t="s">
        <v>360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39</v>
      </c>
      <c r="D341" s="60" t="s">
        <v>45</v>
      </c>
      <c r="E341" s="59" t="s">
        <v>46</v>
      </c>
      <c r="F341" s="59" t="s">
        <v>346</v>
      </c>
      <c r="G341" s="59">
        <v>5977</v>
      </c>
      <c r="H341" s="59" t="s">
        <v>203</v>
      </c>
      <c r="I341" s="61" t="s">
        <v>171</v>
      </c>
      <c r="J341" s="62">
        <v>1.667</v>
      </c>
      <c r="K341" s="63" t="s">
        <v>347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39</v>
      </c>
      <c r="D342" s="60" t="s">
        <v>45</v>
      </c>
      <c r="E342" s="59" t="s">
        <v>46</v>
      </c>
      <c r="F342" s="59" t="s">
        <v>225</v>
      </c>
      <c r="G342" s="59">
        <v>2267</v>
      </c>
      <c r="H342" s="59" t="s">
        <v>226</v>
      </c>
      <c r="I342" s="61" t="s">
        <v>171</v>
      </c>
      <c r="J342" s="62">
        <v>10</v>
      </c>
      <c r="K342" s="63" t="s">
        <v>237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39</v>
      </c>
      <c r="D343" s="60" t="s">
        <v>45</v>
      </c>
      <c r="E343" s="59" t="s">
        <v>46</v>
      </c>
      <c r="F343" s="59" t="s">
        <v>204</v>
      </c>
      <c r="G343" s="59">
        <v>3635</v>
      </c>
      <c r="H343" s="59" t="s">
        <v>205</v>
      </c>
      <c r="I343" s="61" t="s">
        <v>171</v>
      </c>
      <c r="J343" s="62">
        <v>4.2000000000000003E-2</v>
      </c>
      <c r="K343" s="63" t="s">
        <v>318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39</v>
      </c>
      <c r="D344" s="60" t="s">
        <v>45</v>
      </c>
      <c r="E344" s="59" t="s">
        <v>46</v>
      </c>
      <c r="F344" s="59" t="s">
        <v>228</v>
      </c>
      <c r="G344" s="59">
        <v>3043</v>
      </c>
      <c r="H344" s="59" t="s">
        <v>228</v>
      </c>
      <c r="I344" s="61" t="s">
        <v>229</v>
      </c>
      <c r="J344" s="62">
        <v>5.0000000000000001E-3</v>
      </c>
      <c r="K344" s="63" t="s">
        <v>348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>
      <c r="A345" s="59">
        <v>8016</v>
      </c>
      <c r="B345" s="59"/>
      <c r="C345" s="59" t="s">
        <v>361</v>
      </c>
      <c r="D345" s="60" t="s">
        <v>362</v>
      </c>
      <c r="E345" s="59" t="s">
        <v>44</v>
      </c>
      <c r="F345" s="59" t="s">
        <v>209</v>
      </c>
      <c r="G345" s="59">
        <v>2680</v>
      </c>
      <c r="H345" s="59" t="s">
        <v>210</v>
      </c>
      <c r="I345" s="61" t="s">
        <v>130</v>
      </c>
      <c r="J345" s="62">
        <v>17.100000000000001</v>
      </c>
      <c r="K345" s="63" t="s">
        <v>345</v>
      </c>
      <c r="L345" s="63">
        <v>0.15</v>
      </c>
      <c r="M345" s="65" t="s">
        <v>363</v>
      </c>
      <c r="N345" s="63"/>
      <c r="O345" s="63"/>
      <c r="P345" s="63"/>
      <c r="Q345" s="64"/>
    </row>
    <row r="346" spans="1:17" ht="15" customHeight="1" x14ac:dyDescent="0.25">
      <c r="A346" s="59">
        <v>8016</v>
      </c>
      <c r="B346" s="59"/>
      <c r="C346" s="59" t="s">
        <v>361</v>
      </c>
      <c r="D346" s="60" t="s">
        <v>362</v>
      </c>
      <c r="E346" s="59" t="s">
        <v>44</v>
      </c>
      <c r="F346" s="59" t="s">
        <v>349</v>
      </c>
      <c r="G346" s="59">
        <v>4070</v>
      </c>
      <c r="H346" s="59" t="s">
        <v>214</v>
      </c>
      <c r="I346" s="61" t="s">
        <v>130</v>
      </c>
      <c r="J346" s="62">
        <v>0.9</v>
      </c>
      <c r="K346" s="63" t="s">
        <v>360</v>
      </c>
      <c r="L346" s="63">
        <v>0.15</v>
      </c>
      <c r="M346" s="65" t="s">
        <v>363</v>
      </c>
      <c r="N346" s="63"/>
      <c r="O346" s="63"/>
      <c r="P346" s="63"/>
      <c r="Q346" s="64"/>
    </row>
    <row r="347" spans="1:17" ht="15" customHeight="1" x14ac:dyDescent="0.25">
      <c r="A347" s="59">
        <v>8017</v>
      </c>
      <c r="B347" s="59"/>
      <c r="C347" s="59" t="s">
        <v>364</v>
      </c>
      <c r="D347" s="60" t="s">
        <v>365</v>
      </c>
      <c r="E347" s="59" t="s">
        <v>109</v>
      </c>
      <c r="F347" s="59" t="s">
        <v>209</v>
      </c>
      <c r="G347" s="59">
        <v>2680</v>
      </c>
      <c r="H347" s="59" t="s">
        <v>210</v>
      </c>
      <c r="I347" s="61" t="s">
        <v>130</v>
      </c>
      <c r="J347" s="62">
        <v>25</v>
      </c>
      <c r="K347" s="63" t="s">
        <v>345</v>
      </c>
      <c r="L347" s="63">
        <v>0.15</v>
      </c>
      <c r="M347" s="65" t="s">
        <v>363</v>
      </c>
      <c r="N347" s="63"/>
      <c r="O347" s="63"/>
      <c r="P347" s="63"/>
      <c r="Q347" s="64"/>
    </row>
    <row r="348" spans="1:17" ht="15" customHeight="1" x14ac:dyDescent="0.25">
      <c r="A348" s="59">
        <v>8018</v>
      </c>
      <c r="B348" s="59"/>
      <c r="C348" s="59" t="s">
        <v>361</v>
      </c>
      <c r="D348" s="60" t="s">
        <v>366</v>
      </c>
      <c r="E348" s="59" t="s">
        <v>54</v>
      </c>
      <c r="F348" s="59" t="s">
        <v>209</v>
      </c>
      <c r="G348" s="59">
        <v>2680</v>
      </c>
      <c r="H348" s="59" t="s">
        <v>210</v>
      </c>
      <c r="I348" s="61" t="s">
        <v>130</v>
      </c>
      <c r="J348" s="62">
        <v>24.25</v>
      </c>
      <c r="K348" s="63" t="s">
        <v>345</v>
      </c>
      <c r="L348" s="63">
        <v>0.15</v>
      </c>
      <c r="M348" s="65" t="s">
        <v>363</v>
      </c>
      <c r="N348" s="63"/>
      <c r="O348" s="63"/>
      <c r="P348" s="63"/>
      <c r="Q348" s="64"/>
    </row>
    <row r="349" spans="1:17" ht="15" customHeight="1" x14ac:dyDescent="0.25">
      <c r="A349" s="59">
        <v>8018</v>
      </c>
      <c r="B349" s="59"/>
      <c r="C349" s="59" t="s">
        <v>361</v>
      </c>
      <c r="D349" s="60" t="s">
        <v>366</v>
      </c>
      <c r="E349" s="59" t="s">
        <v>54</v>
      </c>
      <c r="F349" s="59" t="s">
        <v>349</v>
      </c>
      <c r="G349" s="59">
        <v>7412</v>
      </c>
      <c r="H349" s="59" t="s">
        <v>220</v>
      </c>
      <c r="I349" s="61" t="s">
        <v>130</v>
      </c>
      <c r="J349" s="62">
        <v>0.75</v>
      </c>
      <c r="K349" s="63" t="s">
        <v>360</v>
      </c>
      <c r="L349" s="63">
        <v>0.15</v>
      </c>
      <c r="M349" s="65" t="s">
        <v>363</v>
      </c>
      <c r="N349" s="63"/>
      <c r="O349" s="63"/>
      <c r="P349" s="63"/>
      <c r="Q349" s="64"/>
    </row>
    <row r="350" spans="1:17" ht="15" customHeight="1" x14ac:dyDescent="0.25">
      <c r="A350" s="59">
        <v>8019</v>
      </c>
      <c r="B350" s="59"/>
      <c r="C350" s="59" t="s">
        <v>361</v>
      </c>
      <c r="D350" s="60" t="s">
        <v>367</v>
      </c>
      <c r="E350" s="59" t="s">
        <v>44</v>
      </c>
      <c r="F350" s="59" t="s">
        <v>209</v>
      </c>
      <c r="G350" s="59">
        <v>2680</v>
      </c>
      <c r="H350" s="59" t="s">
        <v>210</v>
      </c>
      <c r="I350" s="61" t="s">
        <v>130</v>
      </c>
      <c r="J350" s="62">
        <v>17.46</v>
      </c>
      <c r="K350" s="63" t="s">
        <v>345</v>
      </c>
      <c r="L350" s="63">
        <v>0.15</v>
      </c>
      <c r="M350" s="65" t="s">
        <v>363</v>
      </c>
      <c r="N350" s="63"/>
      <c r="O350" s="63"/>
      <c r="P350" s="63"/>
      <c r="Q350" s="64"/>
    </row>
    <row r="351" spans="1:17" ht="15" customHeight="1" x14ac:dyDescent="0.25">
      <c r="A351" s="59">
        <v>8019</v>
      </c>
      <c r="B351" s="59"/>
      <c r="C351" s="59" t="s">
        <v>361</v>
      </c>
      <c r="D351" s="60" t="s">
        <v>367</v>
      </c>
      <c r="E351" s="59" t="s">
        <v>44</v>
      </c>
      <c r="F351" s="59" t="s">
        <v>349</v>
      </c>
      <c r="G351" s="59">
        <v>7412</v>
      </c>
      <c r="H351" s="59" t="s">
        <v>220</v>
      </c>
      <c r="I351" s="61" t="s">
        <v>130</v>
      </c>
      <c r="J351" s="62">
        <v>0.54</v>
      </c>
      <c r="K351" s="63" t="s">
        <v>360</v>
      </c>
      <c r="L351" s="63">
        <v>0.15</v>
      </c>
      <c r="M351" s="65" t="s">
        <v>363</v>
      </c>
      <c r="N351" s="63"/>
      <c r="O351" s="63"/>
      <c r="P351" s="63"/>
      <c r="Q351" s="64"/>
    </row>
    <row r="352" spans="1:17" ht="15" customHeight="1" x14ac:dyDescent="0.25">
      <c r="A352" s="59">
        <v>8020</v>
      </c>
      <c r="B352" s="59"/>
      <c r="C352" s="59" t="s">
        <v>368</v>
      </c>
      <c r="D352" s="60" t="s">
        <v>369</v>
      </c>
      <c r="E352" s="59" t="s">
        <v>52</v>
      </c>
      <c r="F352" s="59" t="s">
        <v>209</v>
      </c>
      <c r="G352" s="59">
        <v>2680</v>
      </c>
      <c r="H352" s="59" t="s">
        <v>210</v>
      </c>
      <c r="I352" s="61" t="s">
        <v>130</v>
      </c>
      <c r="J352" s="62">
        <v>22</v>
      </c>
      <c r="K352" s="63" t="s">
        <v>345</v>
      </c>
      <c r="L352" s="63">
        <v>0.15</v>
      </c>
      <c r="M352" s="65" t="s">
        <v>363</v>
      </c>
      <c r="N352" s="63"/>
      <c r="O352" s="63"/>
      <c r="P352" s="63"/>
      <c r="Q352" s="64"/>
    </row>
    <row r="353" spans="1:17" ht="15" customHeight="1" x14ac:dyDescent="0.25">
      <c r="A353" s="59">
        <v>8021</v>
      </c>
      <c r="B353" s="59"/>
      <c r="C353" s="59" t="s">
        <v>364</v>
      </c>
      <c r="D353" s="60" t="s">
        <v>370</v>
      </c>
      <c r="E353" s="59" t="s">
        <v>44</v>
      </c>
      <c r="F353" s="59" t="s">
        <v>209</v>
      </c>
      <c r="G353" s="59">
        <v>2680</v>
      </c>
      <c r="H353" s="59" t="s">
        <v>210</v>
      </c>
      <c r="I353" s="61" t="s">
        <v>130</v>
      </c>
      <c r="J353" s="62">
        <v>17.100000000000001</v>
      </c>
      <c r="K353" s="63" t="s">
        <v>345</v>
      </c>
      <c r="L353" s="63">
        <v>0.15</v>
      </c>
      <c r="M353" s="65" t="s">
        <v>363</v>
      </c>
      <c r="N353" s="63"/>
      <c r="O353" s="63"/>
      <c r="P353" s="63"/>
      <c r="Q353" s="64"/>
    </row>
    <row r="354" spans="1:17" ht="15" customHeight="1" x14ac:dyDescent="0.25">
      <c r="A354" s="59">
        <v>8021</v>
      </c>
      <c r="B354" s="59"/>
      <c r="C354" s="59" t="s">
        <v>364</v>
      </c>
      <c r="D354" s="60" t="s">
        <v>370</v>
      </c>
      <c r="E354" s="59" t="s">
        <v>44</v>
      </c>
      <c r="F354" s="59" t="s">
        <v>349</v>
      </c>
      <c r="G354" s="59">
        <v>4070</v>
      </c>
      <c r="H354" s="59" t="s">
        <v>214</v>
      </c>
      <c r="I354" s="61" t="s">
        <v>130</v>
      </c>
      <c r="J354" s="62">
        <v>0.9</v>
      </c>
      <c r="K354" s="63" t="s">
        <v>360</v>
      </c>
      <c r="L354" s="63">
        <v>0.15</v>
      </c>
      <c r="M354" s="65" t="s">
        <v>363</v>
      </c>
      <c r="N354" s="63"/>
      <c r="O354" s="63"/>
      <c r="P354" s="63"/>
      <c r="Q354" s="64"/>
    </row>
    <row r="355" spans="1:17" ht="15" customHeight="1" x14ac:dyDescent="0.25">
      <c r="A355" s="59">
        <v>8022</v>
      </c>
      <c r="B355" s="59"/>
      <c r="C355" s="59" t="s">
        <v>364</v>
      </c>
      <c r="D355" s="60" t="s">
        <v>371</v>
      </c>
      <c r="E355" s="59" t="s">
        <v>54</v>
      </c>
      <c r="F355" s="59" t="s">
        <v>209</v>
      </c>
      <c r="G355" s="59">
        <v>2680</v>
      </c>
      <c r="H355" s="59" t="s">
        <v>210</v>
      </c>
      <c r="I355" s="61" t="s">
        <v>130</v>
      </c>
      <c r="J355" s="62">
        <v>23.75</v>
      </c>
      <c r="K355" s="63" t="s">
        <v>345</v>
      </c>
      <c r="L355" s="63">
        <v>0.15</v>
      </c>
      <c r="M355" s="65" t="s">
        <v>363</v>
      </c>
      <c r="N355" s="63"/>
      <c r="O355" s="63"/>
      <c r="P355" s="63"/>
      <c r="Q355" s="64"/>
    </row>
    <row r="356" spans="1:17" ht="15" customHeight="1" x14ac:dyDescent="0.25">
      <c r="A356" s="59">
        <v>8022</v>
      </c>
      <c r="B356" s="59"/>
      <c r="C356" s="59" t="s">
        <v>364</v>
      </c>
      <c r="D356" s="60" t="s">
        <v>371</v>
      </c>
      <c r="E356" s="59" t="s">
        <v>54</v>
      </c>
      <c r="F356" s="59" t="s">
        <v>349</v>
      </c>
      <c r="G356" s="59">
        <v>4070</v>
      </c>
      <c r="H356" s="59" t="s">
        <v>214</v>
      </c>
      <c r="I356" s="61" t="s">
        <v>130</v>
      </c>
      <c r="J356" s="62">
        <v>1.25</v>
      </c>
      <c r="K356" s="63" t="s">
        <v>360</v>
      </c>
      <c r="L356" s="63">
        <v>0.15</v>
      </c>
      <c r="M356" s="65" t="s">
        <v>363</v>
      </c>
      <c r="N356" s="63"/>
      <c r="O356" s="63"/>
      <c r="P356" s="63"/>
      <c r="Q356" s="64"/>
    </row>
    <row r="357" spans="1:17" x14ac:dyDescent="0.25">
      <c r="A357" s="59">
        <v>8023</v>
      </c>
      <c r="B357" s="59"/>
      <c r="C357" s="59" t="s">
        <v>364</v>
      </c>
      <c r="D357" s="60" t="s">
        <v>372</v>
      </c>
      <c r="E357" s="59" t="s">
        <v>46</v>
      </c>
      <c r="F357" s="59" t="s">
        <v>209</v>
      </c>
      <c r="G357" s="59">
        <v>2680</v>
      </c>
      <c r="H357" s="59" t="s">
        <v>210</v>
      </c>
      <c r="I357" s="61" t="s">
        <v>130</v>
      </c>
      <c r="J357" s="62">
        <v>18</v>
      </c>
      <c r="K357" s="63" t="s">
        <v>345</v>
      </c>
      <c r="L357" s="63">
        <v>0.15</v>
      </c>
      <c r="M357" s="65" t="s">
        <v>363</v>
      </c>
      <c r="N357" s="63"/>
      <c r="O357" s="63"/>
      <c r="P357" s="63"/>
      <c r="Q357" s="64"/>
    </row>
    <row r="358" spans="1:17" x14ac:dyDescent="0.25">
      <c r="A358" s="59">
        <v>8024</v>
      </c>
      <c r="B358" s="59"/>
      <c r="C358" s="59" t="s">
        <v>368</v>
      </c>
      <c r="D358" s="60" t="s">
        <v>373</v>
      </c>
      <c r="E358" s="59" t="s">
        <v>111</v>
      </c>
      <c r="F358" s="59" t="s">
        <v>209</v>
      </c>
      <c r="G358" s="59">
        <v>2680</v>
      </c>
      <c r="H358" s="59" t="s">
        <v>210</v>
      </c>
      <c r="I358" s="61" t="s">
        <v>130</v>
      </c>
      <c r="J358" s="62">
        <v>47.5</v>
      </c>
      <c r="K358" s="63" t="s">
        <v>345</v>
      </c>
      <c r="L358" s="63">
        <v>0.15</v>
      </c>
      <c r="M358" s="65" t="s">
        <v>363</v>
      </c>
      <c r="N358" s="63"/>
      <c r="O358" s="63"/>
      <c r="P358" s="63"/>
      <c r="Q358" s="64"/>
    </row>
    <row r="359" spans="1:17" x14ac:dyDescent="0.25">
      <c r="A359" s="59">
        <v>8024</v>
      </c>
      <c r="B359" s="59"/>
      <c r="C359" s="59" t="s">
        <v>368</v>
      </c>
      <c r="D359" s="60" t="s">
        <v>373</v>
      </c>
      <c r="E359" s="59" t="s">
        <v>111</v>
      </c>
      <c r="F359" s="59" t="s">
        <v>349</v>
      </c>
      <c r="G359" s="59">
        <v>6135</v>
      </c>
      <c r="H359" s="59" t="s">
        <v>218</v>
      </c>
      <c r="I359" s="61" t="s">
        <v>130</v>
      </c>
      <c r="J359" s="62">
        <v>2.5</v>
      </c>
      <c r="K359" s="63" t="s">
        <v>360</v>
      </c>
      <c r="L359" s="63">
        <v>0.15</v>
      </c>
      <c r="M359" s="65" t="s">
        <v>363</v>
      </c>
      <c r="N359" s="63"/>
      <c r="O359" s="63"/>
      <c r="P359" s="63"/>
      <c r="Q359" s="64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90" zoomScale="130" zoomScaleNormal="130" workbookViewId="0">
      <selection activeCell="A94" sqref="A94:J10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20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11" customWidth="1"/>
    <col min="11" max="11" width="18" style="216" customWidth="1"/>
  </cols>
  <sheetData>
    <row r="1" spans="1:11" ht="19.5" customHeight="1" x14ac:dyDescent="0.35">
      <c r="A1" s="275" t="s">
        <v>374</v>
      </c>
      <c r="B1" s="269"/>
      <c r="C1" s="269"/>
      <c r="D1" s="269"/>
      <c r="E1" s="269"/>
      <c r="F1" s="269"/>
      <c r="G1" s="269"/>
      <c r="H1" s="269"/>
      <c r="I1" s="68" t="s">
        <v>113</v>
      </c>
      <c r="J1" s="69">
        <f ca="1">TODAY()</f>
        <v>46223</v>
      </c>
    </row>
    <row r="2" spans="1:11" s="70" customFormat="1" ht="37.5" customHeight="1" x14ac:dyDescent="0.25">
      <c r="A2" s="12" t="s">
        <v>121</v>
      </c>
      <c r="B2" s="12" t="s">
        <v>7</v>
      </c>
      <c r="C2" s="12" t="s">
        <v>375</v>
      </c>
      <c r="D2" s="12" t="s">
        <v>123</v>
      </c>
      <c r="E2" s="15" t="s">
        <v>376</v>
      </c>
      <c r="F2" s="15" t="s">
        <v>377</v>
      </c>
      <c r="G2" s="15" t="s">
        <v>378</v>
      </c>
      <c r="H2" s="15" t="s">
        <v>379</v>
      </c>
      <c r="I2" s="15" t="s">
        <v>380</v>
      </c>
      <c r="J2" s="209" t="s">
        <v>381</v>
      </c>
      <c r="K2" s="217"/>
    </row>
    <row r="3" spans="1:11" ht="15" customHeight="1" x14ac:dyDescent="0.25">
      <c r="A3" s="35">
        <v>31</v>
      </c>
      <c r="B3" s="35" t="s">
        <v>382</v>
      </c>
      <c r="C3" s="36" t="s">
        <v>131</v>
      </c>
      <c r="D3" s="35" t="s">
        <v>130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10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382</v>
      </c>
      <c r="C4" s="36" t="s">
        <v>132</v>
      </c>
      <c r="D4" s="35" t="s">
        <v>130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10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382</v>
      </c>
      <c r="C5" s="36" t="s">
        <v>135</v>
      </c>
      <c r="D5" s="35" t="s">
        <v>130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10">
        <f>IFERROR(IF(AVERAGEIF(TableBOM[Item ID],A5,TableBOM[Per 1000 Units])=0,"-",ROUND((H5+I5)/(AVERAGEIF(TableBOM[Item ID],A5,TableBOM[Per 1000 Units])/1000),0)),"-")</f>
        <v>126225</v>
      </c>
      <c r="K5" s="218"/>
    </row>
    <row r="6" spans="1:11" ht="15" customHeight="1" x14ac:dyDescent="0.25">
      <c r="A6" s="35">
        <v>4179</v>
      </c>
      <c r="B6" s="35" t="s">
        <v>382</v>
      </c>
      <c r="C6" s="36" t="s">
        <v>136</v>
      </c>
      <c r="D6" s="35" t="s">
        <v>130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10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382</v>
      </c>
      <c r="C7" s="36" t="s">
        <v>137</v>
      </c>
      <c r="D7" s="35" t="s">
        <v>130</v>
      </c>
      <c r="E7" s="37">
        <v>325</v>
      </c>
      <c r="F7" s="37">
        <v>165</v>
      </c>
      <c r="G7" s="37">
        <v>465</v>
      </c>
      <c r="H7" s="38">
        <f t="shared" si="0"/>
        <v>25</v>
      </c>
      <c r="I7" s="37">
        <v>0</v>
      </c>
      <c r="J7" s="210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35">
        <v>406</v>
      </c>
      <c r="B8" s="35" t="s">
        <v>382</v>
      </c>
      <c r="C8" s="36" t="s">
        <v>140</v>
      </c>
      <c r="D8" s="35" t="s">
        <v>130</v>
      </c>
      <c r="E8" s="37">
        <v>275</v>
      </c>
      <c r="F8" s="37">
        <v>373</v>
      </c>
      <c r="G8" s="37">
        <v>648</v>
      </c>
      <c r="H8" s="38">
        <f t="shared" si="0"/>
        <v>0</v>
      </c>
      <c r="I8" s="37"/>
      <c r="J8" s="210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5">
        <v>3935</v>
      </c>
      <c r="B9" s="35" t="s">
        <v>382</v>
      </c>
      <c r="C9" s="36" t="s">
        <v>142</v>
      </c>
      <c r="D9" s="35" t="s">
        <v>130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10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382</v>
      </c>
      <c r="C10" s="36" t="s">
        <v>143</v>
      </c>
      <c r="D10" s="35" t="s">
        <v>130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10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383</v>
      </c>
      <c r="B12" s="73"/>
      <c r="C12" s="73"/>
      <c r="D12" s="73"/>
      <c r="E12" s="73"/>
      <c r="F12" s="73"/>
      <c r="G12" s="73"/>
      <c r="H12" s="68" t="s">
        <v>113</v>
      </c>
      <c r="I12" s="73"/>
      <c r="J12" s="69">
        <f ca="1">TODAY()</f>
        <v>46223</v>
      </c>
    </row>
    <row r="13" spans="1:11" ht="36" customHeight="1" x14ac:dyDescent="0.25">
      <c r="A13" s="12" t="s">
        <v>121</v>
      </c>
      <c r="B13" s="12" t="s">
        <v>7</v>
      </c>
      <c r="C13" s="12" t="s">
        <v>375</v>
      </c>
      <c r="D13" s="12" t="s">
        <v>123</v>
      </c>
      <c r="E13" s="12" t="s">
        <v>376</v>
      </c>
      <c r="F13" s="12" t="s">
        <v>377</v>
      </c>
      <c r="G13" s="12" t="s">
        <v>378</v>
      </c>
      <c r="H13" s="12" t="s">
        <v>379</v>
      </c>
      <c r="I13" s="12" t="s">
        <v>380</v>
      </c>
      <c r="J13" s="212" t="s">
        <v>381</v>
      </c>
    </row>
    <row r="14" spans="1:11" ht="15" customHeight="1" x14ac:dyDescent="0.25">
      <c r="A14" s="205">
        <v>184</v>
      </c>
      <c r="B14" s="205" t="s">
        <v>316</v>
      </c>
      <c r="C14" s="206" t="s">
        <v>384</v>
      </c>
      <c r="D14" s="205" t="s">
        <v>130</v>
      </c>
      <c r="E14" s="207">
        <v>0</v>
      </c>
      <c r="F14" s="207">
        <v>0</v>
      </c>
      <c r="G14" s="207">
        <v>0</v>
      </c>
      <c r="H14" s="208">
        <f t="shared" ref="H14:H45" si="1">E14+F14-G14</f>
        <v>0</v>
      </c>
      <c r="I14" s="207"/>
      <c r="J14" s="213" t="str">
        <f>IFERROR(IF(AVERAGEIF(TableBOM[Item ID],A14,TableBOM[Per 1000 Units])=0,"-",ROUND((H14+I14)/(AVERAGEIF(TableBOM[Item ID],A14,TableBOM[Per 1000 Units])/1000),0)),"-")</f>
        <v>-</v>
      </c>
      <c r="K14" s="216" t="s">
        <v>385</v>
      </c>
    </row>
    <row r="15" spans="1:11" ht="15" customHeight="1" x14ac:dyDescent="0.25">
      <c r="A15" s="195">
        <v>185</v>
      </c>
      <c r="B15" s="195" t="s">
        <v>316</v>
      </c>
      <c r="C15" s="196" t="s">
        <v>147</v>
      </c>
      <c r="D15" s="195" t="s">
        <v>148</v>
      </c>
      <c r="E15" s="197">
        <v>100</v>
      </c>
      <c r="F15" s="197">
        <v>0</v>
      </c>
      <c r="G15" s="197">
        <v>75</v>
      </c>
      <c r="H15" s="198">
        <f t="shared" si="1"/>
        <v>25</v>
      </c>
      <c r="I15" s="197"/>
      <c r="J15" s="214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95">
        <v>188</v>
      </c>
      <c r="B16" s="195" t="s">
        <v>316</v>
      </c>
      <c r="C16" s="196" t="s">
        <v>386</v>
      </c>
      <c r="D16" s="195" t="s">
        <v>130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214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5">
        <v>1065</v>
      </c>
      <c r="B17" s="205" t="s">
        <v>316</v>
      </c>
      <c r="C17" s="206" t="s">
        <v>387</v>
      </c>
      <c r="D17" s="205" t="s">
        <v>130</v>
      </c>
      <c r="E17" s="207">
        <v>0</v>
      </c>
      <c r="F17" s="207">
        <v>0</v>
      </c>
      <c r="G17" s="207">
        <v>0</v>
      </c>
      <c r="H17" s="208">
        <f t="shared" si="1"/>
        <v>0</v>
      </c>
      <c r="I17" s="207"/>
      <c r="J17" s="213" t="str">
        <f>IFERROR(IF(AVERAGEIF(TableBOM[Item ID],A17,TableBOM[Per 1000 Units])=0,"-",ROUND((H17+I17)/(AVERAGEIF(TableBOM[Item ID],A17,TableBOM[Per 1000 Units])/1000),0)),"-")</f>
        <v>-</v>
      </c>
      <c r="K17" s="216" t="s">
        <v>385</v>
      </c>
    </row>
    <row r="18" spans="1:16" ht="15" customHeight="1" x14ac:dyDescent="0.25">
      <c r="A18" s="195">
        <v>4155</v>
      </c>
      <c r="B18" s="195" t="s">
        <v>316</v>
      </c>
      <c r="C18" s="196" t="s">
        <v>388</v>
      </c>
      <c r="D18" s="195" t="s">
        <v>130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214">
        <f>IFERROR(IF(AVERAGEIF(TableBOM[Item ID],A18,TableBOM[Per 1000 Units])=0,"-",ROUND((H18+I18)/(AVERAGEIF(TableBOM[Item ID],A18,TableBOM[Per 1000 Units])/1000),0)),"-")</f>
        <v>384304</v>
      </c>
    </row>
    <row r="19" spans="1:16" ht="15" customHeight="1" x14ac:dyDescent="0.25">
      <c r="A19" s="205">
        <v>170</v>
      </c>
      <c r="B19" s="205" t="s">
        <v>310</v>
      </c>
      <c r="C19" s="206" t="s">
        <v>153</v>
      </c>
      <c r="D19" s="205" t="s">
        <v>130</v>
      </c>
      <c r="E19" s="207">
        <v>0</v>
      </c>
      <c r="F19" s="207">
        <v>0</v>
      </c>
      <c r="G19" s="207">
        <v>0</v>
      </c>
      <c r="H19" s="208">
        <f t="shared" si="1"/>
        <v>0</v>
      </c>
      <c r="I19" s="207"/>
      <c r="J19" s="213" t="str">
        <f>IFERROR(IF(AVERAGEIF(TableBOM[Item ID],A19,TableBOM[Per 1000 Units])=0,"-",ROUND((H19+I19)/(AVERAGEIF(TableBOM[Item ID],A19,TableBOM[Per 1000 Units])/1000),0)),"-")</f>
        <v>-</v>
      </c>
      <c r="K19" s="216" t="s">
        <v>385</v>
      </c>
    </row>
    <row r="20" spans="1:16" ht="15" customHeight="1" x14ac:dyDescent="0.25">
      <c r="A20" s="195">
        <v>175</v>
      </c>
      <c r="B20" s="195" t="s">
        <v>310</v>
      </c>
      <c r="C20" s="196" t="s">
        <v>154</v>
      </c>
      <c r="D20" s="195" t="s">
        <v>130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214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310</v>
      </c>
      <c r="C21" s="196" t="s">
        <v>155</v>
      </c>
      <c r="D21" s="195" t="s">
        <v>130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214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310</v>
      </c>
      <c r="C22" s="196" t="s">
        <v>156</v>
      </c>
      <c r="D22" s="195" t="s">
        <v>130</v>
      </c>
      <c r="E22" s="197">
        <v>60</v>
      </c>
      <c r="F22" s="197">
        <v>180</v>
      </c>
      <c r="G22" s="197">
        <v>150</v>
      </c>
      <c r="H22" s="198">
        <f t="shared" si="1"/>
        <v>90</v>
      </c>
      <c r="I22" s="197"/>
      <c r="J22" s="214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95">
        <v>3869</v>
      </c>
      <c r="B23" s="195" t="s">
        <v>310</v>
      </c>
      <c r="C23" s="196" t="s">
        <v>157</v>
      </c>
      <c r="D23" s="195" t="s">
        <v>130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214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5">
        <v>4156</v>
      </c>
      <c r="B24" s="205" t="s">
        <v>310</v>
      </c>
      <c r="C24" s="206" t="s">
        <v>158</v>
      </c>
      <c r="D24" s="205" t="s">
        <v>130</v>
      </c>
      <c r="E24" s="207">
        <v>0</v>
      </c>
      <c r="F24" s="207">
        <v>0</v>
      </c>
      <c r="G24" s="207">
        <v>0</v>
      </c>
      <c r="H24" s="208">
        <f t="shared" si="1"/>
        <v>0</v>
      </c>
      <c r="I24" s="207"/>
      <c r="J24" s="213">
        <f>IFERROR(IF(AVERAGEIF(TableBOM[Item ID],A24,TableBOM[Per 1000 Units])=0,"-",ROUND((H24+I24)/(AVERAGEIF(TableBOM[Item ID],A24,TableBOM[Per 1000 Units])/1000),0)),"-")</f>
        <v>0</v>
      </c>
      <c r="K24" s="216" t="s">
        <v>385</v>
      </c>
    </row>
    <row r="25" spans="1:16" ht="15" customHeight="1" x14ac:dyDescent="0.25">
      <c r="A25" s="195">
        <v>4157</v>
      </c>
      <c r="B25" s="195" t="s">
        <v>310</v>
      </c>
      <c r="C25" s="196" t="s">
        <v>159</v>
      </c>
      <c r="D25" s="195" t="s">
        <v>130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214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310</v>
      </c>
      <c r="C26" s="196" t="s">
        <v>160</v>
      </c>
      <c r="D26" s="195" t="s">
        <v>130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214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310</v>
      </c>
      <c r="C27" s="196" t="s">
        <v>161</v>
      </c>
      <c r="D27" s="195" t="s">
        <v>148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214" t="str">
        <f>IFERROR(IF(AVERAGEIF(TableBOM[Item ID],A27,TableBOM[Per 1000 Units])=0,"-",ROUND((H27+I27)/(AVERAGEIF(TableBOM[Item ID],A27,TableBOM[Per 1000 Units])/1000),0)),"-")</f>
        <v>-</v>
      </c>
      <c r="K27" s="219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310</v>
      </c>
      <c r="C28" s="196" t="s">
        <v>162</v>
      </c>
      <c r="D28" s="195" t="s">
        <v>130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214" t="str">
        <f>IFERROR(IF(AVERAGEIF(TableBOM[Item ID],A28,TableBOM[Per 1000 Units])=0,"-",ROUND((H28+I28)/(AVERAGEIF(TableBOM[Item ID],A28,TableBOM[Per 1000 Units])/1000),0)),"-")</f>
        <v>-</v>
      </c>
      <c r="K28" s="219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310</v>
      </c>
      <c r="C29" s="196" t="s">
        <v>163</v>
      </c>
      <c r="D29" s="195" t="s">
        <v>130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214" t="str">
        <f>IFERROR(IF(AVERAGEIF(TableBOM[Item ID],A29,TableBOM[Per 1000 Units])=0,"-",ROUND((H29+I29)/(AVERAGEIF(TableBOM[Item ID],A29,TableBOM[Per 1000 Units])/1000),0)),"-")</f>
        <v>-</v>
      </c>
      <c r="K29" s="220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330</v>
      </c>
      <c r="C30" s="196" t="s">
        <v>165</v>
      </c>
      <c r="D30" s="195" t="s">
        <v>130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214">
        <f>IFERROR(IF(AVERAGEIF(TableBOM[Item ID],A30,TableBOM[Per 1000 Units])=0,"-",ROUND((H30+I30)/(AVERAGEIF(TableBOM[Item ID],A30,TableBOM[Per 1000 Units])/1000),0)),"-")</f>
        <v>203975</v>
      </c>
      <c r="K30" s="219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389</v>
      </c>
      <c r="C31" s="196" t="s">
        <v>167</v>
      </c>
      <c r="D31" s="195" t="s">
        <v>130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214">
        <f>IFERROR(IF(AVERAGEIF(TableBOM[Item ID],A31,TableBOM[Per 1000 Units])=0,"-",ROUND((H31+I31)/(AVERAGEIF(TableBOM[Item ID],A31,TableBOM[Per 1000 Units])/1000),0)),"-")</f>
        <v>2992940</v>
      </c>
      <c r="K31" s="219"/>
      <c r="L31" s="199"/>
      <c r="M31" s="199"/>
      <c r="N31" s="199"/>
      <c r="O31" s="199"/>
      <c r="P31" s="199"/>
    </row>
    <row r="32" spans="1:16" ht="15" customHeight="1" x14ac:dyDescent="0.25">
      <c r="A32" s="205">
        <v>69</v>
      </c>
      <c r="B32" s="205" t="s">
        <v>390</v>
      </c>
      <c r="C32" s="206" t="s">
        <v>170</v>
      </c>
      <c r="D32" s="205" t="s">
        <v>171</v>
      </c>
      <c r="E32" s="207">
        <v>0</v>
      </c>
      <c r="F32" s="207">
        <v>0</v>
      </c>
      <c r="G32" s="207">
        <v>0</v>
      </c>
      <c r="H32" s="208">
        <f t="shared" si="1"/>
        <v>0</v>
      </c>
      <c r="I32" s="207"/>
      <c r="J32" s="213">
        <f>IFERROR(IF(AVERAGEIF(TableBOM[Item ID],A32,TableBOM[Per 1000 Units])=0,"-",ROUND((H32+I32)/(AVERAGEIF(TableBOM[Item ID],A32,TableBOM[Per 1000 Units])/1000),0)),"-")</f>
        <v>0</v>
      </c>
      <c r="K32" s="219" t="s">
        <v>385</v>
      </c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390</v>
      </c>
      <c r="C33" s="196" t="s">
        <v>173</v>
      </c>
      <c r="D33" s="195" t="s">
        <v>321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214" t="str">
        <f>IFERROR(IF(AVERAGEIF(TableBOM[Item ID],A33,TableBOM[Per 1000 Units])=0,"-",ROUND((H33+I33)/(AVERAGEIF(TableBOM[Item ID],A33,TableBOM[Per 1000 Units])/1000),0)),"-")</f>
        <v>-</v>
      </c>
      <c r="K33" s="220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390</v>
      </c>
      <c r="C34" s="196" t="s">
        <v>174</v>
      </c>
      <c r="D34" s="195" t="s">
        <v>321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214" t="str">
        <f>IFERROR(IF(AVERAGEIF(TableBOM[Item ID],A34,TableBOM[Per 1000 Units])=0,"-",ROUND((H34+I34)/(AVERAGEIF(TableBOM[Item ID],A34,TableBOM[Per 1000 Units])/1000),0)),"-")</f>
        <v>-</v>
      </c>
      <c r="K34" s="219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390</v>
      </c>
      <c r="C35" s="196" t="s">
        <v>175</v>
      </c>
      <c r="D35" s="195" t="s">
        <v>321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214" t="str">
        <f>IFERROR(IF(AVERAGEIF(TableBOM[Item ID],A35,TableBOM[Per 1000 Units])=0,"-",ROUND((H35+I35)/(AVERAGEIF(TableBOM[Item ID],A35,TableBOM[Per 1000 Units])/1000),0)),"-")</f>
        <v>-</v>
      </c>
      <c r="K35" s="219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390</v>
      </c>
      <c r="C36" s="196" t="s">
        <v>176</v>
      </c>
      <c r="D36" s="195" t="s">
        <v>171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214">
        <f>IFERROR(IF(AVERAGEIF(TableBOM[Item ID],A36,TableBOM[Per 1000 Units])=0,"-",ROUND((H36+I36)/(AVERAGEIF(TableBOM[Item ID],A36,TableBOM[Per 1000 Units])/1000),0)),"-")</f>
        <v>100000</v>
      </c>
      <c r="K36" s="220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390</v>
      </c>
      <c r="C37" s="196" t="s">
        <v>177</v>
      </c>
      <c r="D37" s="195" t="s">
        <v>171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214">
        <f>IFERROR(IF(AVERAGEIF(TableBOM[Item ID],A37,TableBOM[Per 1000 Units])=0,"-",ROUND((H37+I37)/(AVERAGEIF(TableBOM[Item ID],A37,TableBOM[Per 1000 Units])/1000),0)),"-")</f>
        <v>553124</v>
      </c>
      <c r="K37" s="220"/>
      <c r="L37" s="200"/>
      <c r="M37" s="200"/>
      <c r="N37" s="200"/>
      <c r="O37" s="200"/>
      <c r="P37" s="200"/>
    </row>
    <row r="38" spans="1:16" ht="15" customHeight="1" x14ac:dyDescent="0.25">
      <c r="A38" s="205">
        <v>1800</v>
      </c>
      <c r="B38" s="205" t="s">
        <v>390</v>
      </c>
      <c r="C38" s="206" t="s">
        <v>178</v>
      </c>
      <c r="D38" s="205" t="s">
        <v>171</v>
      </c>
      <c r="E38" s="207">
        <v>0</v>
      </c>
      <c r="F38" s="207">
        <v>0</v>
      </c>
      <c r="G38" s="207">
        <v>0</v>
      </c>
      <c r="H38" s="208">
        <f t="shared" si="1"/>
        <v>0</v>
      </c>
      <c r="I38" s="207"/>
      <c r="J38" s="213" t="str">
        <f>IFERROR(IF(AVERAGEIF(TableBOM[Item ID],A38,TableBOM[Per 1000 Units])=0,"-",ROUND((H38+I38)/(AVERAGEIF(TableBOM[Item ID],A38,TableBOM[Per 1000 Units])/1000),0)),"-")</f>
        <v>-</v>
      </c>
      <c r="K38" s="220" t="s">
        <v>385</v>
      </c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390</v>
      </c>
      <c r="C39" s="196" t="s">
        <v>179</v>
      </c>
      <c r="D39" s="195" t="s">
        <v>171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214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390</v>
      </c>
      <c r="C40" s="196" t="s">
        <v>180</v>
      </c>
      <c r="D40" s="195" t="s">
        <v>171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214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5">
        <v>4044</v>
      </c>
      <c r="B41" s="205" t="s">
        <v>390</v>
      </c>
      <c r="C41" s="206" t="s">
        <v>181</v>
      </c>
      <c r="D41" s="205" t="s">
        <v>171</v>
      </c>
      <c r="E41" s="207">
        <v>0</v>
      </c>
      <c r="F41" s="207">
        <v>0</v>
      </c>
      <c r="G41" s="207">
        <v>0</v>
      </c>
      <c r="H41" s="208">
        <f t="shared" si="1"/>
        <v>0</v>
      </c>
      <c r="I41" s="207"/>
      <c r="J41" s="213" t="str">
        <f>IFERROR(IF(AVERAGEIF(TableBOM[Item ID],A41,TableBOM[Per 1000 Units])=0,"-",ROUND((H41+I41)/(AVERAGEIF(TableBOM[Item ID],A41,TableBOM[Per 1000 Units])/1000),0)),"-")</f>
        <v>-</v>
      </c>
      <c r="K41" s="216" t="s">
        <v>385</v>
      </c>
    </row>
    <row r="42" spans="1:16" ht="15" customHeight="1" x14ac:dyDescent="0.25">
      <c r="A42" s="195">
        <v>4088</v>
      </c>
      <c r="B42" s="195" t="s">
        <v>390</v>
      </c>
      <c r="C42" s="196" t="s">
        <v>182</v>
      </c>
      <c r="D42" s="195" t="s">
        <v>171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214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390</v>
      </c>
      <c r="C43" s="196" t="s">
        <v>183</v>
      </c>
      <c r="D43" s="195" t="s">
        <v>171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214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5">
        <v>6971</v>
      </c>
      <c r="B44" s="205" t="s">
        <v>390</v>
      </c>
      <c r="C44" s="206" t="s">
        <v>184</v>
      </c>
      <c r="D44" s="205" t="s">
        <v>171</v>
      </c>
      <c r="E44" s="207">
        <v>0</v>
      </c>
      <c r="F44" s="207">
        <v>0</v>
      </c>
      <c r="G44" s="207">
        <v>0</v>
      </c>
      <c r="H44" s="208">
        <f t="shared" si="1"/>
        <v>0</v>
      </c>
      <c r="I44" s="207"/>
      <c r="J44" s="213">
        <f>IFERROR(IF(AVERAGEIF(TableBOM[Item ID],A44,TableBOM[Per 1000 Units])=0,"-",ROUND((H44+I44)/(AVERAGEIF(TableBOM[Item ID],A44,TableBOM[Per 1000 Units])/1000),0)),"-")</f>
        <v>0</v>
      </c>
      <c r="K44" s="219" t="s">
        <v>385</v>
      </c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390</v>
      </c>
      <c r="C45" s="196" t="s">
        <v>185</v>
      </c>
      <c r="D45" s="195" t="s">
        <v>171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214">
        <f>IFERROR(IF(AVERAGEIF(TableBOM[Item ID],A45,TableBOM[Per 1000 Units])=0,"-",ROUND((H45+I45)/(AVERAGEIF(TableBOM[Item ID],A45,TableBOM[Per 1000 Units])/1000),0)),"-")</f>
        <v>47000</v>
      </c>
      <c r="K45" s="220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390</v>
      </c>
      <c r="C46" s="196" t="s">
        <v>186</v>
      </c>
      <c r="D46" s="195" t="s">
        <v>171</v>
      </c>
      <c r="E46" s="197">
        <v>270000</v>
      </c>
      <c r="F46" s="197">
        <v>0</v>
      </c>
      <c r="G46" s="197">
        <v>140000</v>
      </c>
      <c r="H46" s="198">
        <f t="shared" ref="H46:H77" si="2">E46+F46-G46</f>
        <v>130000</v>
      </c>
      <c r="I46" s="197"/>
      <c r="J46" s="214">
        <f>IFERROR(IF(AVERAGEIF(TableBOM[Item ID],A46,TableBOM[Per 1000 Units])=0,"-",ROUND((H46+I46)/(AVERAGEIF(TableBOM[Item ID],A46,TableBOM[Per 1000 Units])/1000),0)),"-")</f>
        <v>130000</v>
      </c>
      <c r="K46" s="219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390</v>
      </c>
      <c r="C47" s="196" t="s">
        <v>187</v>
      </c>
      <c r="D47" s="195" t="s">
        <v>321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214" t="str">
        <f>IFERROR(IF(AVERAGEIF(TableBOM[Item ID],A47,TableBOM[Per 1000 Units])=0,"-",ROUND((H47+I47)/(AVERAGEIF(TableBOM[Item ID],A47,TableBOM[Per 1000 Units])/1000),0)),"-")</f>
        <v>-</v>
      </c>
      <c r="K47" s="219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390</v>
      </c>
      <c r="C48" s="196" t="s">
        <v>188</v>
      </c>
      <c r="D48" s="195" t="s">
        <v>171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214">
        <f>IFERROR(IF(AVERAGEIF(TableBOM[Item ID],A48,TableBOM[Per 1000 Units])=0,"-",ROUND((H48+I48)/(AVERAGEIF(TableBOM[Item ID],A48,TableBOM[Per 1000 Units])/1000),0)),"-")</f>
        <v>95000</v>
      </c>
      <c r="K48" s="219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390</v>
      </c>
      <c r="C49" s="196" t="s">
        <v>189</v>
      </c>
      <c r="D49" s="195" t="s">
        <v>171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214">
        <f>IFERROR(IF(AVERAGEIF(TableBOM[Item ID],A49,TableBOM[Per 1000 Units])=0,"-",ROUND((H49+I49)/(AVERAGEIF(TableBOM[Item ID],A49,TableBOM[Per 1000 Units])/1000),0)),"-")</f>
        <v>38000</v>
      </c>
      <c r="K49" s="220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390</v>
      </c>
      <c r="C50" s="196" t="s">
        <v>190</v>
      </c>
      <c r="D50" s="195" t="s">
        <v>171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214">
        <f>IFERROR(IF(AVERAGEIF(TableBOM[Item ID],A50,TableBOM[Per 1000 Units])=0,"-",ROUND((H50+I50)/(AVERAGEIF(TableBOM[Item ID],A50,TableBOM[Per 1000 Units])/1000),0)),"-")</f>
        <v>75000</v>
      </c>
      <c r="K50" s="220"/>
      <c r="L50" s="200"/>
      <c r="M50" s="200"/>
      <c r="N50" s="200"/>
      <c r="O50" s="200"/>
      <c r="P50" s="200"/>
    </row>
    <row r="51" spans="1:16" ht="15" customHeight="1" x14ac:dyDescent="0.25">
      <c r="A51" s="205">
        <v>3866</v>
      </c>
      <c r="B51" s="205" t="s">
        <v>390</v>
      </c>
      <c r="C51" s="206" t="s">
        <v>191</v>
      </c>
      <c r="D51" s="205" t="s">
        <v>171</v>
      </c>
      <c r="E51" s="207">
        <v>0</v>
      </c>
      <c r="F51" s="207">
        <v>0</v>
      </c>
      <c r="G51" s="207">
        <v>0</v>
      </c>
      <c r="H51" s="208">
        <f t="shared" si="2"/>
        <v>0</v>
      </c>
      <c r="I51" s="207"/>
      <c r="J51" s="213" t="str">
        <f>IFERROR(IF(AVERAGEIF(TableBOM[Item ID],A51,TableBOM[Per 1000 Units])=0,"-",ROUND((H51+I51)/(AVERAGEIF(TableBOM[Item ID],A51,TableBOM[Per 1000 Units])/1000),0)),"-")</f>
        <v>-</v>
      </c>
      <c r="K51" s="220" t="s">
        <v>385</v>
      </c>
      <c r="L51" s="200"/>
      <c r="M51" s="200"/>
      <c r="N51" s="200"/>
      <c r="O51" s="200"/>
      <c r="P51" s="200"/>
    </row>
    <row r="52" spans="1:16" ht="15" customHeight="1" x14ac:dyDescent="0.25">
      <c r="A52" s="205">
        <v>578</v>
      </c>
      <c r="B52" s="205" t="s">
        <v>390</v>
      </c>
      <c r="C52" s="206" t="s">
        <v>192</v>
      </c>
      <c r="D52" s="205" t="s">
        <v>171</v>
      </c>
      <c r="E52" s="207">
        <v>0</v>
      </c>
      <c r="F52" s="207">
        <v>0</v>
      </c>
      <c r="G52" s="207">
        <v>0</v>
      </c>
      <c r="H52" s="208">
        <f t="shared" si="2"/>
        <v>0</v>
      </c>
      <c r="I52" s="207"/>
      <c r="J52" s="213">
        <f>IFERROR(IF(AVERAGEIF(TableBOM[Item ID],A52,TableBOM[Per 1000 Units])=0,"-",ROUND((H52+I52)/(AVERAGEIF(TableBOM[Item ID],A52,TableBOM[Per 1000 Units])/1000),0)),"-")</f>
        <v>0</v>
      </c>
      <c r="K52" s="219" t="s">
        <v>385</v>
      </c>
      <c r="L52" s="199"/>
      <c r="M52" s="199"/>
      <c r="N52" s="199"/>
      <c r="O52" s="199"/>
      <c r="P52" s="199"/>
    </row>
    <row r="53" spans="1:16" ht="15" customHeight="1" x14ac:dyDescent="0.25">
      <c r="A53" s="205">
        <v>36</v>
      </c>
      <c r="B53" s="205" t="s">
        <v>236</v>
      </c>
      <c r="C53" s="206" t="s">
        <v>196</v>
      </c>
      <c r="D53" s="205" t="s">
        <v>171</v>
      </c>
      <c r="E53" s="207">
        <v>0</v>
      </c>
      <c r="F53" s="207">
        <v>0</v>
      </c>
      <c r="G53" s="207">
        <v>0</v>
      </c>
      <c r="H53" s="208">
        <f t="shared" si="2"/>
        <v>0</v>
      </c>
      <c r="I53" s="207"/>
      <c r="J53" s="213">
        <f>IFERROR(IF(AVERAGEIF(TableBOM[Item ID],A53,TableBOM[Per 1000 Units])=0,"-",ROUND((H53+I53)/(AVERAGEIF(TableBOM[Item ID],A53,TableBOM[Per 1000 Units])/1000),0)),"-")</f>
        <v>0</v>
      </c>
      <c r="K53" s="219" t="s">
        <v>385</v>
      </c>
      <c r="L53" s="199"/>
      <c r="M53" s="199"/>
      <c r="N53" s="199"/>
      <c r="O53" s="199"/>
      <c r="P53" s="199"/>
    </row>
    <row r="54" spans="1:16" ht="15" customHeight="1" x14ac:dyDescent="0.25">
      <c r="A54" s="205">
        <v>200</v>
      </c>
      <c r="B54" s="205" t="s">
        <v>236</v>
      </c>
      <c r="C54" s="206" t="s">
        <v>197</v>
      </c>
      <c r="D54" s="205" t="s">
        <v>171</v>
      </c>
      <c r="E54" s="207">
        <v>0</v>
      </c>
      <c r="F54" s="207">
        <v>0</v>
      </c>
      <c r="G54" s="207">
        <v>0</v>
      </c>
      <c r="H54" s="208">
        <f t="shared" si="2"/>
        <v>0</v>
      </c>
      <c r="I54" s="207"/>
      <c r="J54" s="213">
        <f>IFERROR(IF(AVERAGEIF(TableBOM[Item ID],A54,TableBOM[Per 1000 Units])=0,"-",ROUND((H54+I54)/(AVERAGEIF(TableBOM[Item ID],A54,TableBOM[Per 1000 Units])/1000),0)),"-")</f>
        <v>0</v>
      </c>
      <c r="K54" s="219" t="s">
        <v>385</v>
      </c>
      <c r="L54" s="199"/>
      <c r="M54" s="199"/>
      <c r="N54" s="199"/>
      <c r="O54" s="199"/>
      <c r="P54" s="199"/>
    </row>
    <row r="55" spans="1:16" ht="15" customHeight="1" x14ac:dyDescent="0.25">
      <c r="A55" s="205">
        <v>39</v>
      </c>
      <c r="B55" s="205" t="s">
        <v>236</v>
      </c>
      <c r="C55" s="206" t="s">
        <v>198</v>
      </c>
      <c r="D55" s="205" t="s">
        <v>171</v>
      </c>
      <c r="E55" s="207">
        <v>0</v>
      </c>
      <c r="F55" s="207">
        <v>0</v>
      </c>
      <c r="G55" s="207">
        <v>0</v>
      </c>
      <c r="H55" s="208">
        <f t="shared" si="2"/>
        <v>0</v>
      </c>
      <c r="I55" s="207"/>
      <c r="J55" s="213">
        <f>IFERROR(IF(AVERAGEIF(TableBOM[Item ID],A55,TableBOM[Per 1000 Units])=0,"-",ROUND((H55+I55)/(AVERAGEIF(TableBOM[Item ID],A55,TableBOM[Per 1000 Units])/1000),0)),"-")</f>
        <v>0</v>
      </c>
      <c r="K55" s="220" t="s">
        <v>385</v>
      </c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236</v>
      </c>
      <c r="C56" s="196" t="s">
        <v>199</v>
      </c>
      <c r="D56" s="195" t="s">
        <v>171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214">
        <f>IFERROR(IF(AVERAGEIF(TableBOM[Item ID],A56,TableBOM[Per 1000 Units])=0,"-",ROUND((H56+I56)/(AVERAGEIF(TableBOM[Item ID],A56,TableBOM[Per 1000 Units])/1000),0)),"-")</f>
        <v>140955</v>
      </c>
      <c r="K56" s="219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236</v>
      </c>
      <c r="C57" s="196" t="s">
        <v>200</v>
      </c>
      <c r="D57" s="195" t="s">
        <v>171</v>
      </c>
      <c r="E57" s="197">
        <v>360</v>
      </c>
      <c r="F57" s="197">
        <v>783</v>
      </c>
      <c r="G57" s="197">
        <v>360</v>
      </c>
      <c r="H57" s="198">
        <f t="shared" si="2"/>
        <v>783</v>
      </c>
      <c r="I57" s="197"/>
      <c r="J57" s="214">
        <f>IFERROR(IF(AVERAGEIF(TableBOM[Item ID],A57,TableBOM[Per 1000 Units])=0,"-",ROUND((H57+I57)/(AVERAGEIF(TableBOM[Item ID],A57,TableBOM[Per 1000 Units])/1000),0)),"-")</f>
        <v>233512</v>
      </c>
      <c r="K57" s="219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236</v>
      </c>
      <c r="C58" s="196" t="s">
        <v>201</v>
      </c>
      <c r="D58" s="195" t="s">
        <v>171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214">
        <f>IFERROR(IF(AVERAGEIF(TableBOM[Item ID],A58,TableBOM[Per 1000 Units])=0,"-",ROUND((H58+I58)/(AVERAGEIF(TableBOM[Item ID],A58,TableBOM[Per 1000 Units])/1000),0)),"-")</f>
        <v>69002</v>
      </c>
      <c r="K58" s="219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236</v>
      </c>
      <c r="C59" s="196" t="s">
        <v>202</v>
      </c>
      <c r="D59" s="195" t="s">
        <v>171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214">
        <f>IFERROR(IF(AVERAGEIF(TableBOM[Item ID],A59,TableBOM[Per 1000 Units])=0,"-",ROUND((H59+I59)/(AVERAGEIF(TableBOM[Item ID],A59,TableBOM[Per 1000 Units])/1000),0)),"-")</f>
        <v>60229</v>
      </c>
      <c r="K59" s="220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236</v>
      </c>
      <c r="C60" s="196" t="s">
        <v>203</v>
      </c>
      <c r="D60" s="195" t="s">
        <v>171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214">
        <f>IFERROR(IF(AVERAGEIF(TableBOM[Item ID],A60,TableBOM[Per 1000 Units])=0,"-",ROUND((H60+I60)/(AVERAGEIF(TableBOM[Item ID],A60,TableBOM[Per 1000 Units])/1000),0)),"-")</f>
        <v>41393</v>
      </c>
      <c r="K60" s="220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329</v>
      </c>
      <c r="C61" s="196" t="s">
        <v>205</v>
      </c>
      <c r="D61" s="195" t="s">
        <v>171</v>
      </c>
      <c r="E61" s="197">
        <v>525</v>
      </c>
      <c r="F61" s="197">
        <v>0</v>
      </c>
      <c r="G61" s="197">
        <v>36</v>
      </c>
      <c r="H61" s="198">
        <f t="shared" si="2"/>
        <v>489</v>
      </c>
      <c r="I61" s="197"/>
      <c r="J61" s="214">
        <f>IFERROR(IF(AVERAGEIF(TableBOM[Item ID],A61,TableBOM[Per 1000 Units])=0,"-",ROUND((H61+I61)/(AVERAGEIF(TableBOM[Item ID],A61,TableBOM[Per 1000 Units])/1000),0)),"-")</f>
        <v>1370854</v>
      </c>
      <c r="K61" s="220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317</v>
      </c>
      <c r="C62" s="196" t="s">
        <v>207</v>
      </c>
      <c r="D62" s="195" t="s">
        <v>148</v>
      </c>
      <c r="E62" s="197">
        <v>175</v>
      </c>
      <c r="F62" s="197">
        <v>0</v>
      </c>
      <c r="G62" s="197">
        <v>50</v>
      </c>
      <c r="H62" s="198">
        <f t="shared" si="2"/>
        <v>125</v>
      </c>
      <c r="I62" s="197"/>
      <c r="J62" s="214">
        <f>IFERROR(IF(AVERAGEIF(TableBOM[Item ID],A62,TableBOM[Per 1000 Units])=0,"-",ROUND((H62+I62)/(AVERAGEIF(TableBOM[Item ID],A62,TableBOM[Per 1000 Units])/1000),0)),"-")</f>
        <v>2083333</v>
      </c>
      <c r="K62" s="220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317</v>
      </c>
      <c r="C63" s="196" t="s">
        <v>391</v>
      </c>
      <c r="D63" s="195" t="s">
        <v>148</v>
      </c>
      <c r="E63" s="197">
        <v>100</v>
      </c>
      <c r="F63" s="197">
        <v>0</v>
      </c>
      <c r="G63" s="197">
        <v>75</v>
      </c>
      <c r="H63" s="198">
        <f t="shared" si="2"/>
        <v>25</v>
      </c>
      <c r="I63" s="197">
        <v>0</v>
      </c>
      <c r="J63" s="214">
        <f>IFERROR(IF(AVERAGEIF(TableBOM[Item ID],A62,TableBOM[Per 1000 Units])=0,"-",ROUND((H63+I63)/(AVERAGEIF(TableBOM[Item ID],A62,TableBOM[Per 1000 Units])/1000),0)),"-")</f>
        <v>416667</v>
      </c>
      <c r="K63" s="219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335</v>
      </c>
      <c r="C64" s="196" t="s">
        <v>268</v>
      </c>
      <c r="D64" s="195" t="s">
        <v>130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214" t="str">
        <f>IFERROR(IF(AVERAGEIF(TableBOM[Item ID],A64,TableBOM[Per 1000 Units])=0,"-",ROUND((H64+I64)/(AVERAGEIF(TableBOM[Item ID],A64,TableBOM[Per 1000 Units])/1000),0)),"-")</f>
        <v>-</v>
      </c>
      <c r="K64" s="220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335</v>
      </c>
      <c r="C65" s="196" t="s">
        <v>269</v>
      </c>
      <c r="D65" s="195" t="s">
        <v>130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214" t="str">
        <f>IFERROR(IF(AVERAGEIF(TableBOM[Item ID],A65,TableBOM[Per 1000 Units])=0,"-",ROUND((H65+I65)/(AVERAGEIF(TableBOM[Item ID],A65,TableBOM[Per 1000 Units])/1000),0)),"-")</f>
        <v>-</v>
      </c>
      <c r="K65" s="220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335</v>
      </c>
      <c r="C66" s="196" t="s">
        <v>260</v>
      </c>
      <c r="D66" s="195" t="s">
        <v>130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214" t="str">
        <f>IFERROR(IF(AVERAGEIF(TableBOM[Item ID],A66,TableBOM[Per 1000 Units])=0,"-",ROUND((H66+I66)/(AVERAGEIF(TableBOM[Item ID],A66,TableBOM[Per 1000 Units])/1000),0)),"-")</f>
        <v>-</v>
      </c>
      <c r="K66" s="219"/>
      <c r="L66" s="199"/>
      <c r="M66" s="199"/>
      <c r="N66" s="199"/>
      <c r="O66" s="199"/>
      <c r="P66" s="199"/>
    </row>
    <row r="67" spans="1:16" ht="15" customHeight="1" x14ac:dyDescent="0.25">
      <c r="A67" s="205">
        <v>124</v>
      </c>
      <c r="B67" s="205" t="s">
        <v>335</v>
      </c>
      <c r="C67" s="206" t="s">
        <v>265</v>
      </c>
      <c r="D67" s="205" t="s">
        <v>130</v>
      </c>
      <c r="E67" s="207">
        <v>0</v>
      </c>
      <c r="F67" s="207">
        <v>0</v>
      </c>
      <c r="G67" s="207">
        <v>0</v>
      </c>
      <c r="H67" s="208">
        <f t="shared" si="2"/>
        <v>0</v>
      </c>
      <c r="I67" s="207"/>
      <c r="J67" s="213" t="str">
        <f>IFERROR(IF(AVERAGEIF(TableBOM[Item ID],A67,TableBOM[Per 1000 Units])=0,"-",ROUND((H67+I67)/(AVERAGEIF(TableBOM[Item ID],A67,TableBOM[Per 1000 Units])/1000),0)),"-")</f>
        <v>-</v>
      </c>
      <c r="K67" s="220" t="s">
        <v>385</v>
      </c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335</v>
      </c>
      <c r="C68" s="196" t="s">
        <v>270</v>
      </c>
      <c r="D68" s="195" t="s">
        <v>130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214" t="str">
        <f>IFERROR(IF(AVERAGEIF(TableBOM[Item ID],A68,TableBOM[Per 1000 Units])=0,"-",ROUND((H68+I68)/(AVERAGEIF(TableBOM[Item ID],A68,TableBOM[Per 1000 Units])/1000),0)),"-")</f>
        <v>-</v>
      </c>
      <c r="K68" s="220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335</v>
      </c>
      <c r="C69" s="196" t="s">
        <v>261</v>
      </c>
      <c r="D69" s="195" t="s">
        <v>130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214" t="str">
        <f>IFERROR(IF(AVERAGEIF(TableBOM[Item ID],A69,TableBOM[Per 1000 Units])=0,"-",ROUND((H69+I69)/(AVERAGEIF(TableBOM[Item ID],A69,TableBOM[Per 1000 Units])/1000),0)),"-")</f>
        <v>-</v>
      </c>
      <c r="K69" s="220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335</v>
      </c>
      <c r="C70" s="196" t="s">
        <v>264</v>
      </c>
      <c r="D70" s="195" t="s">
        <v>130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214" t="str">
        <f>IFERROR(IF(AVERAGEIF(TableBOM[Item ID],A70,TableBOM[Per 1000 Units])=0,"-",ROUND((H70+I70)/(AVERAGEIF(TableBOM[Item ID],A70,TableBOM[Per 1000 Units])/1000),0)),"-")</f>
        <v>-</v>
      </c>
      <c r="K70" s="219"/>
      <c r="L70" s="199"/>
      <c r="M70" s="199"/>
      <c r="N70" s="199"/>
      <c r="O70" s="199"/>
      <c r="P70" s="199"/>
    </row>
    <row r="71" spans="1:16" ht="15" customHeight="1" x14ac:dyDescent="0.25">
      <c r="A71" s="205">
        <v>1928</v>
      </c>
      <c r="B71" s="205" t="s">
        <v>335</v>
      </c>
      <c r="C71" s="206" t="s">
        <v>392</v>
      </c>
      <c r="D71" s="205" t="s">
        <v>130</v>
      </c>
      <c r="E71" s="207">
        <v>0</v>
      </c>
      <c r="F71" s="207">
        <v>0</v>
      </c>
      <c r="G71" s="207">
        <v>0</v>
      </c>
      <c r="H71" s="208">
        <f t="shared" si="2"/>
        <v>0</v>
      </c>
      <c r="I71" s="207"/>
      <c r="J71" s="213" t="str">
        <f>IFERROR(IF(AVERAGEIF(TableBOM[Item ID],A71,TableBOM[Per 1000 Units])=0,"-",ROUND((H71+I71)/(AVERAGEIF(TableBOM[Item ID],A71,TableBOM[Per 1000 Units])/1000),0)),"-")</f>
        <v>-</v>
      </c>
      <c r="K71" s="220" t="s">
        <v>385</v>
      </c>
      <c r="L71" s="200"/>
      <c r="M71" s="200"/>
      <c r="N71" s="200"/>
      <c r="O71" s="200"/>
      <c r="P71" s="200"/>
    </row>
    <row r="72" spans="1:16" ht="15" customHeight="1" x14ac:dyDescent="0.25">
      <c r="A72" s="205">
        <v>2284</v>
      </c>
      <c r="B72" s="205" t="s">
        <v>335</v>
      </c>
      <c r="C72" s="206" t="s">
        <v>259</v>
      </c>
      <c r="D72" s="205" t="s">
        <v>130</v>
      </c>
      <c r="E72" s="207">
        <v>0</v>
      </c>
      <c r="F72" s="207">
        <v>0</v>
      </c>
      <c r="G72" s="207">
        <v>0</v>
      </c>
      <c r="H72" s="208">
        <f t="shared" si="2"/>
        <v>0</v>
      </c>
      <c r="I72" s="207"/>
      <c r="J72" s="213" t="str">
        <f>IFERROR(IF(AVERAGEIF(TableBOM[Item ID],A72,TableBOM[Per 1000 Units])=0,"-",ROUND((H72+I72)/(AVERAGEIF(TableBOM[Item ID],A72,TableBOM[Per 1000 Units])/1000),0)),"-")</f>
        <v>-</v>
      </c>
      <c r="K72" s="219" t="s">
        <v>385</v>
      </c>
      <c r="L72" s="199"/>
      <c r="M72" s="199"/>
      <c r="N72" s="199"/>
      <c r="O72" s="199"/>
      <c r="P72" s="199"/>
    </row>
    <row r="73" spans="1:16" ht="15" customHeight="1" x14ac:dyDescent="0.25">
      <c r="A73" s="205">
        <v>3642</v>
      </c>
      <c r="B73" s="205" t="s">
        <v>335</v>
      </c>
      <c r="C73" s="206" t="s">
        <v>267</v>
      </c>
      <c r="D73" s="205" t="s">
        <v>130</v>
      </c>
      <c r="E73" s="207">
        <v>0</v>
      </c>
      <c r="F73" s="207">
        <v>0</v>
      </c>
      <c r="G73" s="207">
        <v>0</v>
      </c>
      <c r="H73" s="208">
        <f t="shared" si="2"/>
        <v>0</v>
      </c>
      <c r="I73" s="207"/>
      <c r="J73" s="213" t="str">
        <f>IFERROR(IF(AVERAGEIF(TableBOM[Item ID],A73,TableBOM[Per 1000 Units])=0,"-",ROUND((H73+I73)/(AVERAGEIF(TableBOM[Item ID],A73,TableBOM[Per 1000 Units])/1000),0)),"-")</f>
        <v>-</v>
      </c>
      <c r="K73" s="220" t="s">
        <v>385</v>
      </c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335</v>
      </c>
      <c r="C74" s="196" t="s">
        <v>243</v>
      </c>
      <c r="D74" s="195" t="s">
        <v>130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214" t="str">
        <f>IFERROR(IF(AVERAGEIF(TableBOM[Item ID],A74,TableBOM[Per 1000 Units])=0,"-",ROUND((H74+I74)/(AVERAGEIF(TableBOM[Item ID],A74,TableBOM[Per 1000 Units])/1000),0)),"-")</f>
        <v>-</v>
      </c>
      <c r="K74" s="220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335</v>
      </c>
      <c r="C75" s="196" t="s">
        <v>250</v>
      </c>
      <c r="D75" s="195" t="s">
        <v>130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214" t="str">
        <f>IFERROR(IF(AVERAGEIF(TableBOM[Item ID],A75,TableBOM[Per 1000 Units])=0,"-",ROUND((H75+I75)/(AVERAGEIF(TableBOM[Item ID],A75,TableBOM[Per 1000 Units])/1000),0)),"-")</f>
        <v>-</v>
      </c>
      <c r="K75" s="219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335</v>
      </c>
      <c r="C76" s="196" t="s">
        <v>246</v>
      </c>
      <c r="D76" s="195" t="s">
        <v>130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214">
        <f>IFERROR(IF(AVERAGEIF(TableBOM[Item ID],A76,TableBOM[Per 1000 Units])=0,"-",ROUND((H76+I76)/(AVERAGEIF(TableBOM[Item ID],A76,TableBOM[Per 1000 Units])/1000),0)),"-")</f>
        <v>120000</v>
      </c>
      <c r="K76" s="219"/>
      <c r="L76" s="199"/>
      <c r="M76" s="199"/>
      <c r="N76" s="199"/>
      <c r="O76" s="199"/>
      <c r="P76" s="199"/>
    </row>
    <row r="77" spans="1:16" ht="15" customHeight="1" x14ac:dyDescent="0.25">
      <c r="A77" s="205">
        <v>3755</v>
      </c>
      <c r="B77" s="205" t="s">
        <v>335</v>
      </c>
      <c r="C77" s="206" t="s">
        <v>247</v>
      </c>
      <c r="D77" s="205" t="s">
        <v>130</v>
      </c>
      <c r="E77" s="207">
        <v>0</v>
      </c>
      <c r="F77" s="207">
        <v>0</v>
      </c>
      <c r="G77" s="207">
        <v>0</v>
      </c>
      <c r="H77" s="208">
        <f t="shared" si="2"/>
        <v>0</v>
      </c>
      <c r="I77" s="207"/>
      <c r="J77" s="213" t="str">
        <f>IFERROR(IF(AVERAGEIF(TableBOM[Item ID],A77,TableBOM[Per 1000 Units])=0,"-",ROUND((H77+I77)/(AVERAGEIF(TableBOM[Item ID],A77,TableBOM[Per 1000 Units])/1000),0)),"-")</f>
        <v>-</v>
      </c>
      <c r="K77" s="219" t="s">
        <v>385</v>
      </c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335</v>
      </c>
      <c r="C78" s="196" t="s">
        <v>271</v>
      </c>
      <c r="D78" s="195" t="s">
        <v>130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214" t="str">
        <f>IFERROR(IF(AVERAGEIF(TableBOM[Item ID],A78,TableBOM[Per 1000 Units])=0,"-",ROUND((H78+I78)/(AVERAGEIF(TableBOM[Item ID],A78,TableBOM[Per 1000 Units])/1000),0)),"-")</f>
        <v>-</v>
      </c>
      <c r="K78" s="220"/>
      <c r="L78" s="200"/>
      <c r="M78" s="200"/>
      <c r="N78" s="200"/>
      <c r="O78" s="200"/>
      <c r="P78" s="200"/>
    </row>
    <row r="79" spans="1:16" ht="15" customHeight="1" x14ac:dyDescent="0.25">
      <c r="A79" s="205">
        <v>3857</v>
      </c>
      <c r="B79" s="205" t="s">
        <v>335</v>
      </c>
      <c r="C79" s="206" t="s">
        <v>253</v>
      </c>
      <c r="D79" s="205" t="s">
        <v>130</v>
      </c>
      <c r="E79" s="207">
        <v>0</v>
      </c>
      <c r="F79" s="207">
        <v>0</v>
      </c>
      <c r="G79" s="207">
        <v>0</v>
      </c>
      <c r="H79" s="208">
        <f t="shared" si="3"/>
        <v>0</v>
      </c>
      <c r="I79" s="207"/>
      <c r="J79" s="213">
        <f>IFERROR(IF(AVERAGEIF(TableBOM[Item ID],A79,TableBOM[Per 1000 Units])=0,"-",ROUND((H79+I79)/(AVERAGEIF(TableBOM[Item ID],A79,TableBOM[Per 1000 Units])/1000),0)),"-")</f>
        <v>0</v>
      </c>
      <c r="K79" s="216" t="s">
        <v>385</v>
      </c>
    </row>
    <row r="80" spans="1:16" ht="15" customHeight="1" x14ac:dyDescent="0.25">
      <c r="A80" s="205">
        <v>3858</v>
      </c>
      <c r="B80" s="205" t="s">
        <v>335</v>
      </c>
      <c r="C80" s="206" t="s">
        <v>245</v>
      </c>
      <c r="D80" s="205" t="s">
        <v>130</v>
      </c>
      <c r="E80" s="207">
        <v>0</v>
      </c>
      <c r="F80" s="207">
        <v>1</v>
      </c>
      <c r="G80" s="207">
        <v>1</v>
      </c>
      <c r="H80" s="208">
        <f t="shared" si="3"/>
        <v>0</v>
      </c>
      <c r="I80" s="207"/>
      <c r="J80" s="213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5">
        <v>3955</v>
      </c>
      <c r="B81" s="195" t="s">
        <v>335</v>
      </c>
      <c r="C81" s="196" t="s">
        <v>251</v>
      </c>
      <c r="D81" s="195" t="s">
        <v>130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214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5">
        <v>3968</v>
      </c>
      <c r="B82" s="195" t="s">
        <v>335</v>
      </c>
      <c r="C82" s="196" t="s">
        <v>266</v>
      </c>
      <c r="D82" s="195" t="s">
        <v>130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214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5">
        <v>4216</v>
      </c>
      <c r="B83" s="195" t="s">
        <v>335</v>
      </c>
      <c r="C83" s="196" t="s">
        <v>272</v>
      </c>
      <c r="D83" s="195" t="s">
        <v>130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214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5">
        <v>4306</v>
      </c>
      <c r="B84" s="195" t="s">
        <v>335</v>
      </c>
      <c r="C84" s="196" t="s">
        <v>273</v>
      </c>
      <c r="D84" s="195" t="s">
        <v>130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214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5">
        <v>5107</v>
      </c>
      <c r="B85" s="195" t="s">
        <v>335</v>
      </c>
      <c r="C85" s="196" t="s">
        <v>255</v>
      </c>
      <c r="D85" s="195" t="s">
        <v>130</v>
      </c>
      <c r="E85" s="197">
        <v>2</v>
      </c>
      <c r="F85" s="197">
        <v>0</v>
      </c>
      <c r="G85" s="197">
        <v>1</v>
      </c>
      <c r="H85" s="198">
        <f t="shared" si="3"/>
        <v>1</v>
      </c>
      <c r="I85" s="197"/>
      <c r="J85" s="214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5">
        <v>6038</v>
      </c>
      <c r="B86" s="205" t="s">
        <v>335</v>
      </c>
      <c r="C86" s="206" t="s">
        <v>244</v>
      </c>
      <c r="D86" s="205" t="s">
        <v>130</v>
      </c>
      <c r="E86" s="207">
        <v>0</v>
      </c>
      <c r="F86" s="207">
        <v>0</v>
      </c>
      <c r="G86" s="207">
        <v>0</v>
      </c>
      <c r="H86" s="208">
        <f t="shared" si="3"/>
        <v>0</v>
      </c>
      <c r="I86" s="207"/>
      <c r="J86" s="213" t="str">
        <f>IFERROR(IF(AVERAGEIF(TableBOM[Item ID],A86,TableBOM[Per 1000 Units])=0,"-",ROUND((H86+I86)/(AVERAGEIF(TableBOM[Item ID],A86,TableBOM[Per 1000 Units])/1000),0)),"-")</f>
        <v>-</v>
      </c>
      <c r="K86" s="216" t="s">
        <v>385</v>
      </c>
    </row>
    <row r="87" spans="1:11" ht="15" customHeight="1" x14ac:dyDescent="0.25">
      <c r="A87" s="195">
        <v>6040</v>
      </c>
      <c r="B87" s="195" t="s">
        <v>335</v>
      </c>
      <c r="C87" s="196" t="s">
        <v>254</v>
      </c>
      <c r="D87" s="195" t="s">
        <v>130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214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5">
        <v>6935</v>
      </c>
      <c r="B88" s="205" t="s">
        <v>335</v>
      </c>
      <c r="C88" s="206" t="s">
        <v>274</v>
      </c>
      <c r="D88" s="205" t="s">
        <v>130</v>
      </c>
      <c r="E88" s="207">
        <v>0</v>
      </c>
      <c r="F88" s="207">
        <v>0</v>
      </c>
      <c r="G88" s="207">
        <v>0</v>
      </c>
      <c r="H88" s="208">
        <f t="shared" si="3"/>
        <v>0</v>
      </c>
      <c r="I88" s="207"/>
      <c r="J88" s="213">
        <f>IFERROR(IF(AVERAGEIF(TableBOM[Item ID],A88,TableBOM[Per 1000 Units])=0,"-",ROUND((H88+I88)/(AVERAGEIF(TableBOM[Item ID],A88,TableBOM[Per 1000 Units])/1000),0)),"-")</f>
        <v>0</v>
      </c>
      <c r="K88" s="216" t="s">
        <v>385</v>
      </c>
    </row>
    <row r="89" spans="1:11" ht="15" customHeight="1" x14ac:dyDescent="0.25">
      <c r="A89" s="205">
        <v>7094</v>
      </c>
      <c r="B89" s="205" t="s">
        <v>335</v>
      </c>
      <c r="C89" s="206" t="s">
        <v>393</v>
      </c>
      <c r="D89" s="205" t="s">
        <v>130</v>
      </c>
      <c r="E89" s="207">
        <v>0</v>
      </c>
      <c r="F89" s="207">
        <v>0</v>
      </c>
      <c r="G89" s="207">
        <v>0</v>
      </c>
      <c r="H89" s="208">
        <f t="shared" si="3"/>
        <v>0</v>
      </c>
      <c r="I89" s="207"/>
      <c r="J89" s="213" t="str">
        <f>IFERROR(IF(AVERAGEIF(TableBOM[Item ID],A89,TableBOM[Per 1000 Units])=0,"-",ROUND((H89+I89)/(AVERAGEIF(TableBOM[Item ID],A89,TableBOM[Per 1000 Units])/1000),0)),"-")</f>
        <v>-</v>
      </c>
      <c r="K89" s="216" t="s">
        <v>385</v>
      </c>
    </row>
    <row r="90" spans="1:11" ht="15" customHeight="1" x14ac:dyDescent="0.25">
      <c r="A90" s="205">
        <v>7095</v>
      </c>
      <c r="B90" s="205" t="s">
        <v>335</v>
      </c>
      <c r="C90" s="206" t="s">
        <v>257</v>
      </c>
      <c r="D90" s="205" t="s">
        <v>130</v>
      </c>
      <c r="E90" s="207">
        <v>0</v>
      </c>
      <c r="F90" s="207">
        <v>0</v>
      </c>
      <c r="G90" s="207">
        <v>0</v>
      </c>
      <c r="H90" s="208">
        <f t="shared" si="3"/>
        <v>0</v>
      </c>
      <c r="I90" s="207"/>
      <c r="J90" s="213" t="str">
        <f>IFERROR(IF(AVERAGEIF(TableBOM[Item ID],A90,TableBOM[Per 1000 Units])=0,"-",ROUND((H90+I90)/(AVERAGEIF(TableBOM[Item ID],A90,TableBOM[Per 1000 Units])/1000),0)),"-")</f>
        <v>-</v>
      </c>
      <c r="K90" s="216" t="s">
        <v>385</v>
      </c>
    </row>
    <row r="91" spans="1:11" ht="15" customHeight="1" x14ac:dyDescent="0.25">
      <c r="A91" s="35">
        <v>7152</v>
      </c>
      <c r="B91" s="35" t="s">
        <v>335</v>
      </c>
      <c r="C91" s="36" t="s">
        <v>256</v>
      </c>
      <c r="D91" s="35" t="s">
        <v>130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10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335</v>
      </c>
      <c r="C92" s="36" t="s">
        <v>252</v>
      </c>
      <c r="D92" s="35" t="s">
        <v>130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10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394</v>
      </c>
      <c r="B94" s="73"/>
      <c r="C94" s="73"/>
      <c r="D94" s="73"/>
      <c r="E94" s="73"/>
      <c r="F94" s="73"/>
      <c r="G94" s="73"/>
      <c r="H94" s="73"/>
      <c r="I94" s="73"/>
      <c r="J94" s="215"/>
    </row>
    <row r="95" spans="1:11" ht="36" customHeight="1" x14ac:dyDescent="0.25">
      <c r="A95" s="12" t="s">
        <v>121</v>
      </c>
      <c r="B95" s="12" t="s">
        <v>7</v>
      </c>
      <c r="C95" s="12" t="s">
        <v>375</v>
      </c>
      <c r="D95" s="12" t="s">
        <v>123</v>
      </c>
      <c r="E95" s="12" t="s">
        <v>376</v>
      </c>
      <c r="F95" s="12" t="s">
        <v>377</v>
      </c>
      <c r="G95" s="12" t="s">
        <v>378</v>
      </c>
      <c r="H95" s="12" t="s">
        <v>379</v>
      </c>
      <c r="I95" s="12" t="s">
        <v>380</v>
      </c>
      <c r="J95" s="212" t="s">
        <v>381</v>
      </c>
    </row>
    <row r="96" spans="1:11" ht="15" customHeight="1" x14ac:dyDescent="0.25">
      <c r="A96" s="35">
        <v>2680</v>
      </c>
      <c r="B96" s="35" t="s">
        <v>345</v>
      </c>
      <c r="C96" s="36" t="s">
        <v>210</v>
      </c>
      <c r="D96" s="35" t="s">
        <v>130</v>
      </c>
      <c r="E96" s="37">
        <v>1750</v>
      </c>
      <c r="F96" s="37">
        <v>0</v>
      </c>
      <c r="G96" s="37">
        <v>1125</v>
      </c>
      <c r="H96" s="38">
        <f t="shared" ref="H96:H111" si="4">E96+F96-G96</f>
        <v>625</v>
      </c>
      <c r="I96" s="37">
        <v>0</v>
      </c>
      <c r="J96" s="210">
        <f>IFERROR(IF(AVERAGEIF(TableBOM[Item ID],A96,TableBOM[Per 1000 Units])=0,"-",ROUND((H96+I96)/(AVERAGEIF(TableBOM[Item ID],A96,TableBOM[Per 1000 Units])/1000),0)),"-")</f>
        <v>26708</v>
      </c>
    </row>
    <row r="97" spans="1:11" ht="15" customHeight="1" x14ac:dyDescent="0.25">
      <c r="A97" s="35">
        <v>3492</v>
      </c>
      <c r="B97" s="35" t="s">
        <v>360</v>
      </c>
      <c r="C97" s="36" t="s">
        <v>212</v>
      </c>
      <c r="D97" s="35" t="s">
        <v>130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10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360</v>
      </c>
      <c r="C98" s="36" t="s">
        <v>213</v>
      </c>
      <c r="D98" s="35" t="s">
        <v>130</v>
      </c>
      <c r="E98" s="37">
        <v>25</v>
      </c>
      <c r="F98" s="37">
        <v>75</v>
      </c>
      <c r="G98" s="37">
        <v>25</v>
      </c>
      <c r="H98" s="38">
        <f t="shared" si="4"/>
        <v>75</v>
      </c>
      <c r="I98" s="37">
        <v>0</v>
      </c>
      <c r="J98" s="210" t="str">
        <f>IFERROR(IF(AVERAGEIF(TableBOM[Item ID],A98,TableBOM[Per 1000 Units])=0,"-",ROUND((H98+I98)/(AVERAGEIF(TableBOM[Item ID],A98,TableBOM[Per 1000 Units])/1000),0)),"-")</f>
        <v>-</v>
      </c>
    </row>
    <row r="99" spans="1:11" s="227" customFormat="1" ht="15" customHeight="1" x14ac:dyDescent="0.25">
      <c r="A99" s="221">
        <v>4070</v>
      </c>
      <c r="B99" s="221" t="s">
        <v>360</v>
      </c>
      <c r="C99" s="222" t="s">
        <v>214</v>
      </c>
      <c r="D99" s="221" t="s">
        <v>130</v>
      </c>
      <c r="E99" s="223">
        <v>0</v>
      </c>
      <c r="F99" s="223">
        <v>0</v>
      </c>
      <c r="G99" s="223">
        <v>0</v>
      </c>
      <c r="H99" s="224">
        <f t="shared" si="4"/>
        <v>0</v>
      </c>
      <c r="I99" s="223">
        <v>0</v>
      </c>
      <c r="J99" s="225">
        <f>IFERROR(IF(AVERAGEIF(TableBOM[Item ID],A99,TableBOM[Per 1000 Units])=0,"-",ROUND((H99+I99)/(AVERAGEIF(TableBOM[Item ID],A99,TableBOM[Per 1000 Units])/1000),0)),"-")</f>
        <v>0</v>
      </c>
      <c r="K99" s="226" t="s">
        <v>385</v>
      </c>
    </row>
    <row r="100" spans="1:11" ht="15" customHeight="1" x14ac:dyDescent="0.25">
      <c r="A100" s="35">
        <v>4310</v>
      </c>
      <c r="B100" s="35" t="s">
        <v>360</v>
      </c>
      <c r="C100" s="36" t="s">
        <v>215</v>
      </c>
      <c r="D100" s="35" t="s">
        <v>130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10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360</v>
      </c>
      <c r="C101" s="36" t="s">
        <v>216</v>
      </c>
      <c r="D101" s="35" t="s">
        <v>130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10" t="str">
        <f>IFERROR(IF(AVERAGEIF(TableBOM[Item ID],A101,TableBOM[Per 1000 Units])=0,"-",ROUND((H101+I101)/(AVERAGEIF(TableBOM[Item ID],A101,TableBOM[Per 1000 Units])/1000),0)),"-")</f>
        <v>-</v>
      </c>
    </row>
    <row r="102" spans="1:11" s="227" customFormat="1" ht="15" customHeight="1" x14ac:dyDescent="0.25">
      <c r="A102" s="221">
        <v>5816</v>
      </c>
      <c r="B102" s="221" t="s">
        <v>360</v>
      </c>
      <c r="C102" s="222" t="s">
        <v>217</v>
      </c>
      <c r="D102" s="221" t="s">
        <v>130</v>
      </c>
      <c r="E102" s="223">
        <v>0</v>
      </c>
      <c r="F102" s="223">
        <v>0</v>
      </c>
      <c r="G102" s="223">
        <v>0</v>
      </c>
      <c r="H102" s="224">
        <f t="shared" si="4"/>
        <v>0</v>
      </c>
      <c r="I102" s="223">
        <v>0</v>
      </c>
      <c r="J102" s="225">
        <f>IFERROR(IF(AVERAGEIF(TableBOM[Item ID],A102,TableBOM[Per 1000 Units])=0,"-",ROUND((H102+I102)/(AVERAGEIF(TableBOM[Item ID],A102,TableBOM[Per 1000 Units])/1000),0)),"-")</f>
        <v>0</v>
      </c>
      <c r="K102" s="226" t="s">
        <v>385</v>
      </c>
    </row>
    <row r="103" spans="1:11" ht="15" customHeight="1" x14ac:dyDescent="0.25">
      <c r="A103" s="35">
        <v>6135</v>
      </c>
      <c r="B103" s="35" t="s">
        <v>360</v>
      </c>
      <c r="C103" s="36" t="s">
        <v>218</v>
      </c>
      <c r="D103" s="35" t="s">
        <v>130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10">
        <f>IFERROR(IF(AVERAGEIF(TableBOM[Item ID],A103,TableBOM[Per 1000 Units])=0,"-",ROUND((H103+I103)/(AVERAGEIF(TableBOM[Item ID],A103,TableBOM[Per 1000 Units])/1000),0)),"-")</f>
        <v>80000</v>
      </c>
    </row>
    <row r="104" spans="1:11" ht="15" customHeight="1" x14ac:dyDescent="0.25">
      <c r="A104" s="35">
        <v>7133</v>
      </c>
      <c r="B104" s="35" t="s">
        <v>360</v>
      </c>
      <c r="C104" s="36" t="s">
        <v>219</v>
      </c>
      <c r="D104" s="35" t="s">
        <v>130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10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360</v>
      </c>
      <c r="C105" s="36" t="s">
        <v>220</v>
      </c>
      <c r="D105" s="35" t="s">
        <v>130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10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237</v>
      </c>
      <c r="C106" s="36" t="s">
        <v>226</v>
      </c>
      <c r="D106" s="35" t="s">
        <v>171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10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237</v>
      </c>
      <c r="C107" s="36" t="s">
        <v>238</v>
      </c>
      <c r="D107" s="35" t="s">
        <v>171</v>
      </c>
      <c r="E107" s="37">
        <v>201</v>
      </c>
      <c r="F107" s="37">
        <v>0</v>
      </c>
      <c r="G107" s="37">
        <v>25</v>
      </c>
      <c r="H107" s="38">
        <f t="shared" si="4"/>
        <v>176</v>
      </c>
      <c r="I107" s="37"/>
      <c r="J107" s="210">
        <f>IFERROR(IF(AVERAGEIF(TableBOM[Item ID],A107,TableBOM[Per 1000 Units])=0,"-",ROUND((H107+I107)/(AVERAGEIF(TableBOM[Item ID],A107,TableBOM[Per 1000 Units])/1000),0)),"-")</f>
        <v>17280</v>
      </c>
    </row>
    <row r="108" spans="1:11" ht="15" customHeight="1" x14ac:dyDescent="0.25">
      <c r="A108" s="35">
        <v>3752</v>
      </c>
      <c r="B108" s="35" t="s">
        <v>395</v>
      </c>
      <c r="C108" s="36" t="s">
        <v>222</v>
      </c>
      <c r="D108" s="35" t="s">
        <v>130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10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395</v>
      </c>
      <c r="C109" s="36" t="s">
        <v>223</v>
      </c>
      <c r="D109" s="35" t="s">
        <v>130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10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395</v>
      </c>
      <c r="C110" s="36" t="s">
        <v>224</v>
      </c>
      <c r="D110" s="35" t="s">
        <v>130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10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348</v>
      </c>
      <c r="C111" s="36" t="s">
        <v>228</v>
      </c>
      <c r="D111" s="35" t="s">
        <v>229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10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65"/>
  <sheetViews>
    <sheetView zoomScaleNormal="100" workbookViewId="0">
      <pane ySplit="2" topLeftCell="A3" activePane="bottomLeft" state="frozen"/>
      <selection activeCell="D1" sqref="D1"/>
      <selection pane="bottomLeft" activeCell="D36" sqref="D36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114</v>
      </c>
      <c r="B2" s="40" t="s">
        <v>301</v>
      </c>
      <c r="C2" s="40" t="s">
        <v>16</v>
      </c>
      <c r="D2" s="40" t="s">
        <v>17</v>
      </c>
      <c r="E2" s="40" t="s">
        <v>397</v>
      </c>
      <c r="F2" s="40" t="s">
        <v>398</v>
      </c>
      <c r="G2" s="40" t="s">
        <v>330</v>
      </c>
      <c r="H2" s="40" t="s">
        <v>399</v>
      </c>
      <c r="I2" s="75" t="s">
        <v>400</v>
      </c>
      <c r="J2" s="75" t="s">
        <v>401</v>
      </c>
      <c r="K2" s="75" t="s">
        <v>402</v>
      </c>
      <c r="L2" s="75" t="s">
        <v>403</v>
      </c>
      <c r="M2" s="75" t="s">
        <v>404</v>
      </c>
      <c r="N2" s="75" t="s">
        <v>405</v>
      </c>
      <c r="O2" s="75" t="s">
        <v>406</v>
      </c>
      <c r="P2" s="75" t="s">
        <v>407</v>
      </c>
      <c r="Q2" s="75" t="s">
        <v>408</v>
      </c>
      <c r="R2" s="75" t="s">
        <v>408</v>
      </c>
      <c r="S2" s="75" t="s">
        <v>408</v>
      </c>
    </row>
    <row r="3" spans="1:19" ht="15" customHeight="1" x14ac:dyDescent="0.25">
      <c r="A3" s="59">
        <v>9004</v>
      </c>
      <c r="B3" s="59">
        <v>904</v>
      </c>
      <c r="C3" s="59" t="s">
        <v>57</v>
      </c>
      <c r="D3" s="60" t="s">
        <v>58</v>
      </c>
      <c r="E3" s="59">
        <v>12.5</v>
      </c>
      <c r="F3" s="59">
        <v>0</v>
      </c>
      <c r="G3" s="59" t="s">
        <v>409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59</v>
      </c>
      <c r="D4" s="60" t="s">
        <v>60</v>
      </c>
      <c r="E4" s="59">
        <v>16</v>
      </c>
      <c r="F4" s="59">
        <v>100</v>
      </c>
      <c r="G4" s="59" t="s">
        <v>409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59</v>
      </c>
      <c r="D5" s="60" t="s">
        <v>65</v>
      </c>
      <c r="E5" s="59">
        <v>19</v>
      </c>
      <c r="F5" s="59">
        <v>106</v>
      </c>
      <c r="G5" s="59" t="s">
        <v>409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59</v>
      </c>
      <c r="D6" s="60" t="s">
        <v>64</v>
      </c>
      <c r="E6" s="59">
        <v>19</v>
      </c>
      <c r="F6" s="59">
        <v>106</v>
      </c>
      <c r="G6" s="59" t="s">
        <v>409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59</v>
      </c>
      <c r="D7" s="60" t="s">
        <v>66</v>
      </c>
      <c r="E7" s="59">
        <v>19</v>
      </c>
      <c r="F7" s="59">
        <v>106</v>
      </c>
      <c r="G7" s="59" t="s">
        <v>409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28</v>
      </c>
      <c r="D8" s="60" t="s">
        <v>63</v>
      </c>
      <c r="E8" s="59">
        <v>19</v>
      </c>
      <c r="F8" s="59">
        <v>120</v>
      </c>
      <c r="G8" s="59" t="s">
        <v>409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28</v>
      </c>
      <c r="D9" s="60" t="s">
        <v>62</v>
      </c>
      <c r="E9" s="59">
        <v>19</v>
      </c>
      <c r="F9" s="59">
        <v>120</v>
      </c>
      <c r="G9" s="59" t="s">
        <v>409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39</v>
      </c>
      <c r="D10" s="60" t="s">
        <v>68</v>
      </c>
      <c r="E10" s="59">
        <v>20.5</v>
      </c>
      <c r="F10" s="59">
        <v>120</v>
      </c>
      <c r="G10" s="59" t="s">
        <v>410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28</v>
      </c>
      <c r="D11" s="60" t="s">
        <v>70</v>
      </c>
      <c r="E11" s="59">
        <v>20.5</v>
      </c>
      <c r="F11" s="59">
        <v>120</v>
      </c>
      <c r="G11" s="59" t="s">
        <v>409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28</v>
      </c>
      <c r="D12" s="60" t="s">
        <v>67</v>
      </c>
      <c r="E12" s="59">
        <v>20.5</v>
      </c>
      <c r="F12" s="59">
        <v>120</v>
      </c>
      <c r="G12" s="59" t="s">
        <v>409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28</v>
      </c>
      <c r="D13" s="60" t="s">
        <v>69</v>
      </c>
      <c r="E13" s="59">
        <v>20.5</v>
      </c>
      <c r="F13" s="59">
        <v>120</v>
      </c>
      <c r="G13" s="59" t="s">
        <v>409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28</v>
      </c>
      <c r="D14" s="60" t="s">
        <v>71</v>
      </c>
      <c r="E14" s="59">
        <v>20.5</v>
      </c>
      <c r="F14" s="59">
        <v>120</v>
      </c>
      <c r="G14" s="59" t="s">
        <v>409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28</v>
      </c>
      <c r="D15" s="60" t="s">
        <v>72</v>
      </c>
      <c r="E15" s="59">
        <v>20.5</v>
      </c>
      <c r="F15" s="59">
        <v>120</v>
      </c>
      <c r="G15" s="59" t="s">
        <v>409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28</v>
      </c>
      <c r="D16" s="60" t="s">
        <v>73</v>
      </c>
      <c r="E16" s="59">
        <v>20.5</v>
      </c>
      <c r="F16" s="59">
        <v>120</v>
      </c>
      <c r="G16" s="59" t="s">
        <v>409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39</v>
      </c>
      <c r="D17" s="60" t="s">
        <v>76</v>
      </c>
      <c r="E17" s="59">
        <v>25</v>
      </c>
      <c r="F17" s="59">
        <v>130</v>
      </c>
      <c r="G17" s="59" t="s">
        <v>410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28</v>
      </c>
      <c r="D18" s="60" t="s">
        <v>29</v>
      </c>
      <c r="E18" s="59">
        <v>25</v>
      </c>
      <c r="F18" s="59">
        <v>150</v>
      </c>
      <c r="G18" s="59" t="s">
        <v>409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28</v>
      </c>
      <c r="D19" s="60" t="s">
        <v>32</v>
      </c>
      <c r="E19" s="59">
        <v>25</v>
      </c>
      <c r="F19" s="59">
        <v>150</v>
      </c>
      <c r="G19" s="59" t="s">
        <v>409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28</v>
      </c>
      <c r="D20" s="60" t="s">
        <v>74</v>
      </c>
      <c r="E20" s="59">
        <v>25</v>
      </c>
      <c r="F20" s="59">
        <v>150</v>
      </c>
      <c r="G20" s="59" t="s">
        <v>409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28</v>
      </c>
      <c r="D21" s="60" t="s">
        <v>77</v>
      </c>
      <c r="E21" s="59">
        <v>25</v>
      </c>
      <c r="F21" s="59">
        <v>150</v>
      </c>
      <c r="G21" s="59" t="s">
        <v>409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28</v>
      </c>
      <c r="D22" s="60" t="s">
        <v>75</v>
      </c>
      <c r="E22" s="59">
        <v>25</v>
      </c>
      <c r="F22" s="59">
        <v>150</v>
      </c>
      <c r="G22" s="59" t="s">
        <v>409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28</v>
      </c>
      <c r="D23" s="60" t="s">
        <v>78</v>
      </c>
      <c r="E23" s="59">
        <v>25</v>
      </c>
      <c r="F23" s="59">
        <v>150</v>
      </c>
      <c r="G23" s="59" t="s">
        <v>409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79</v>
      </c>
      <c r="D24" s="60" t="s">
        <v>80</v>
      </c>
      <c r="E24" s="59">
        <v>25</v>
      </c>
      <c r="F24" s="59">
        <v>155</v>
      </c>
      <c r="G24" s="59" t="s">
        <v>409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88</v>
      </c>
      <c r="D25" s="60" t="s">
        <v>90</v>
      </c>
      <c r="E25" s="59">
        <v>30</v>
      </c>
      <c r="F25" s="59">
        <v>130</v>
      </c>
      <c r="G25" s="59" t="s">
        <v>410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88</v>
      </c>
      <c r="D26" s="60" t="s">
        <v>89</v>
      </c>
      <c r="E26" s="59">
        <v>30</v>
      </c>
      <c r="F26" s="59">
        <v>130</v>
      </c>
      <c r="G26" s="59" t="s">
        <v>410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34</v>
      </c>
      <c r="D27" s="60" t="s">
        <v>35</v>
      </c>
      <c r="E27" s="59">
        <v>30</v>
      </c>
      <c r="F27" s="59">
        <v>130</v>
      </c>
      <c r="G27" s="59" t="s">
        <v>410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39</v>
      </c>
      <c r="D28" s="60" t="s">
        <v>40</v>
      </c>
      <c r="E28" s="59">
        <v>30</v>
      </c>
      <c r="F28" s="59">
        <v>130</v>
      </c>
      <c r="G28" s="59" t="s">
        <v>410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39</v>
      </c>
      <c r="D29" s="60" t="s">
        <v>91</v>
      </c>
      <c r="E29" s="59">
        <v>30</v>
      </c>
      <c r="F29" s="59">
        <v>130</v>
      </c>
      <c r="G29" s="59" t="s">
        <v>409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85</v>
      </c>
      <c r="D30" s="60" t="s">
        <v>86</v>
      </c>
      <c r="E30" s="59">
        <v>30</v>
      </c>
      <c r="F30" s="59">
        <v>130</v>
      </c>
      <c r="G30" s="59" t="s">
        <v>410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85</v>
      </c>
      <c r="D31" s="60" t="s">
        <v>87</v>
      </c>
      <c r="E31" s="59">
        <v>30</v>
      </c>
      <c r="F31" s="59">
        <v>130</v>
      </c>
      <c r="G31" s="59" t="s">
        <v>409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83</v>
      </c>
      <c r="D32" s="60" t="s">
        <v>84</v>
      </c>
      <c r="E32" s="59">
        <v>30</v>
      </c>
      <c r="F32" s="59">
        <v>130</v>
      </c>
      <c r="G32" s="59" t="s">
        <v>410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97</v>
      </c>
      <c r="D33" s="60" t="s">
        <v>98</v>
      </c>
      <c r="E33" s="59">
        <v>32</v>
      </c>
      <c r="F33" s="59">
        <v>155</v>
      </c>
      <c r="G33" s="59" t="s">
        <v>410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95</v>
      </c>
      <c r="D34" s="60" t="s">
        <v>96</v>
      </c>
      <c r="E34" s="59">
        <v>32</v>
      </c>
      <c r="F34" s="59">
        <v>180</v>
      </c>
      <c r="G34" s="59" t="s">
        <v>410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99</v>
      </c>
      <c r="D35" s="60" t="s">
        <v>103</v>
      </c>
      <c r="E35" s="59">
        <v>35</v>
      </c>
      <c r="F35" s="59">
        <v>165</v>
      </c>
      <c r="G35" s="59" t="s">
        <v>410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99</v>
      </c>
      <c r="D36" s="60" t="s">
        <v>104</v>
      </c>
      <c r="E36" s="59">
        <v>35</v>
      </c>
      <c r="F36" s="59">
        <v>165</v>
      </c>
      <c r="G36" s="59" t="s">
        <v>410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99</v>
      </c>
      <c r="D37" s="60" t="s">
        <v>100</v>
      </c>
      <c r="E37" s="59">
        <v>35</v>
      </c>
      <c r="F37" s="59">
        <v>170</v>
      </c>
      <c r="G37" s="59" t="s">
        <v>410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99</v>
      </c>
      <c r="D38" s="60" t="s">
        <v>102</v>
      </c>
      <c r="E38" s="59">
        <v>35</v>
      </c>
      <c r="F38" s="59">
        <v>170</v>
      </c>
      <c r="G38" s="59" t="s">
        <v>410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28</v>
      </c>
      <c r="D39" s="60" t="s">
        <v>43</v>
      </c>
      <c r="E39" s="59" t="s">
        <v>44</v>
      </c>
      <c r="F39" s="59">
        <v>0</v>
      </c>
      <c r="G39" s="59" t="s">
        <v>409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28</v>
      </c>
      <c r="D40" s="60" t="s">
        <v>105</v>
      </c>
      <c r="E40" s="59" t="s">
        <v>44</v>
      </c>
      <c r="F40" s="59">
        <v>0</v>
      </c>
      <c r="G40" s="59" t="s">
        <v>409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28</v>
      </c>
      <c r="D41" s="60" t="s">
        <v>106</v>
      </c>
      <c r="E41" s="59" t="s">
        <v>44</v>
      </c>
      <c r="F41" s="59">
        <v>0</v>
      </c>
      <c r="G41" s="59" t="s">
        <v>409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39</v>
      </c>
      <c r="D42" t="s">
        <v>48</v>
      </c>
      <c r="E42" s="59" t="s">
        <v>46</v>
      </c>
      <c r="F42" s="59">
        <v>0</v>
      </c>
      <c r="G42" s="59" t="s">
        <v>409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39</v>
      </c>
      <c r="D43" s="60" t="s">
        <v>45</v>
      </c>
      <c r="E43" s="59" t="s">
        <v>46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50</v>
      </c>
      <c r="D44" s="60" t="s">
        <v>51</v>
      </c>
      <c r="E44" s="59" t="s">
        <v>52</v>
      </c>
      <c r="F44" s="59">
        <v>0</v>
      </c>
      <c r="G44" s="59" t="s">
        <v>409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28</v>
      </c>
      <c r="D45" s="60" t="s">
        <v>55</v>
      </c>
      <c r="E45" s="59" t="s">
        <v>54</v>
      </c>
      <c r="F45" s="59">
        <v>0</v>
      </c>
      <c r="G45" s="59" t="s">
        <v>409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28</v>
      </c>
      <c r="D46" s="60" t="s">
        <v>53</v>
      </c>
      <c r="E46" s="59" t="s">
        <v>54</v>
      </c>
      <c r="F46" s="59">
        <v>0</v>
      </c>
      <c r="G46" s="59" t="s">
        <v>409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28</v>
      </c>
      <c r="D47" s="60" t="s">
        <v>107</v>
      </c>
      <c r="E47" s="59" t="s">
        <v>54</v>
      </c>
      <c r="F47" s="59">
        <v>0</v>
      </c>
      <c r="G47" s="59" t="s">
        <v>409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28</v>
      </c>
      <c r="D48" s="60" t="s">
        <v>56</v>
      </c>
      <c r="E48" s="59" t="s">
        <v>54</v>
      </c>
      <c r="F48" s="59">
        <v>0</v>
      </c>
      <c r="G48" s="59" t="s">
        <v>409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39</v>
      </c>
      <c r="D49" s="60" t="s">
        <v>108</v>
      </c>
      <c r="E49" s="59" t="s">
        <v>109</v>
      </c>
      <c r="F49" s="59">
        <v>0</v>
      </c>
      <c r="G49" s="59" t="s">
        <v>409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39</v>
      </c>
      <c r="D50" s="60" t="s">
        <v>110</v>
      </c>
      <c r="E50" s="59" t="s">
        <v>111</v>
      </c>
      <c r="F50" s="59">
        <v>0</v>
      </c>
      <c r="G50" s="59" t="s">
        <v>409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85</v>
      </c>
      <c r="D51" s="60" t="s">
        <v>92</v>
      </c>
      <c r="E51" s="59">
        <v>30</v>
      </c>
      <c r="F51" s="59">
        <v>130</v>
      </c>
      <c r="G51" s="59" t="s">
        <v>409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81</v>
      </c>
      <c r="D52" s="60" t="s">
        <v>82</v>
      </c>
      <c r="E52" s="59">
        <v>25</v>
      </c>
      <c r="F52" s="59">
        <v>150</v>
      </c>
      <c r="G52" s="59" t="s">
        <v>410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28</v>
      </c>
      <c r="D53" s="60" t="s">
        <v>30</v>
      </c>
      <c r="E53" s="59">
        <v>25</v>
      </c>
      <c r="F53" s="59">
        <v>150</v>
      </c>
      <c r="G53" s="59" t="s">
        <v>409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93</v>
      </c>
      <c r="D54" s="60" t="s">
        <v>94</v>
      </c>
      <c r="E54" s="59">
        <v>30</v>
      </c>
      <c r="F54" s="59">
        <v>130</v>
      </c>
      <c r="G54" s="59" t="s">
        <v>410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361</v>
      </c>
      <c r="D55" s="60" t="s">
        <v>362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364</v>
      </c>
      <c r="D56" s="60" t="s">
        <v>365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361</v>
      </c>
      <c r="D57" s="60" t="s">
        <v>366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361</v>
      </c>
      <c r="D58" s="60" t="s">
        <v>367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368</v>
      </c>
      <c r="D59" s="60" t="s">
        <v>369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364</v>
      </c>
      <c r="D60" s="60" t="s">
        <v>370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364</v>
      </c>
      <c r="D61" s="60" t="s">
        <v>371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364</v>
      </c>
      <c r="D62" s="60" t="s">
        <v>372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368</v>
      </c>
      <c r="D63" s="60" t="s">
        <v>373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6" t="s">
        <v>411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</row>
    <row r="2" spans="1:11" x14ac:dyDescent="0.25">
      <c r="A2" s="90" t="s">
        <v>412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6" t="s">
        <v>413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</row>
    <row r="5" spans="1:11" ht="18" customHeight="1" x14ac:dyDescent="0.25">
      <c r="A5" s="94" t="s">
        <v>414</v>
      </c>
      <c r="B5" s="94" t="s">
        <v>415</v>
      </c>
      <c r="C5" s="95" t="s">
        <v>16</v>
      </c>
      <c r="D5" s="95" t="s">
        <v>416</v>
      </c>
      <c r="E5" s="95" t="s">
        <v>18</v>
      </c>
      <c r="F5" s="95" t="s">
        <v>417</v>
      </c>
      <c r="G5" s="95" t="s">
        <v>418</v>
      </c>
      <c r="H5" s="95" t="s">
        <v>231</v>
      </c>
      <c r="I5" s="95" t="s">
        <v>127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39</v>
      </c>
      <c r="D6" s="92" t="s">
        <v>91</v>
      </c>
      <c r="E6" s="92">
        <v>30</v>
      </c>
      <c r="F6" s="92" t="s">
        <v>419</v>
      </c>
      <c r="G6" s="92" t="s">
        <v>420</v>
      </c>
      <c r="H6" s="96" t="s">
        <v>421</v>
      </c>
      <c r="I6" s="97" t="s">
        <v>422</v>
      </c>
      <c r="J6" s="92"/>
      <c r="K6" s="92"/>
    </row>
    <row r="7" spans="1:11" ht="132" customHeight="1" x14ac:dyDescent="0.25">
      <c r="A7" s="98">
        <v>6624</v>
      </c>
      <c r="B7" s="98" t="s">
        <v>423</v>
      </c>
      <c r="C7" s="99" t="s">
        <v>424</v>
      </c>
      <c r="D7" s="99" t="s">
        <v>425</v>
      </c>
      <c r="E7" s="99">
        <v>19</v>
      </c>
      <c r="F7" s="99" t="s">
        <v>426</v>
      </c>
      <c r="G7" s="99" t="s">
        <v>427</v>
      </c>
      <c r="H7" s="100" t="s">
        <v>421</v>
      </c>
      <c r="I7" s="101" t="s">
        <v>422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57</v>
      </c>
      <c r="D8" s="92" t="s">
        <v>58</v>
      </c>
      <c r="E8" s="92">
        <v>12.5</v>
      </c>
      <c r="F8" s="92" t="s">
        <v>428</v>
      </c>
      <c r="G8" s="92" t="s">
        <v>429</v>
      </c>
      <c r="H8" s="96" t="s">
        <v>421</v>
      </c>
      <c r="I8" s="97" t="s">
        <v>422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424</v>
      </c>
      <c r="D9" s="99" t="s">
        <v>78</v>
      </c>
      <c r="E9" s="99">
        <v>25</v>
      </c>
      <c r="F9" s="99" t="s">
        <v>430</v>
      </c>
      <c r="G9" s="99" t="s">
        <v>431</v>
      </c>
      <c r="H9" s="100" t="s">
        <v>421</v>
      </c>
      <c r="I9" s="101" t="s">
        <v>422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6" t="s">
        <v>432</v>
      </c>
      <c r="B12" s="271"/>
      <c r="C12" s="271"/>
      <c r="D12" s="271"/>
      <c r="E12" s="271"/>
      <c r="F12" s="271"/>
      <c r="G12" s="271"/>
      <c r="H12" s="271"/>
      <c r="I12" s="271"/>
      <c r="J12" s="271"/>
      <c r="K12" s="271"/>
    </row>
    <row r="13" spans="1:11" ht="18" customHeight="1" x14ac:dyDescent="0.25">
      <c r="A13" s="94" t="s">
        <v>414</v>
      </c>
      <c r="B13" s="94" t="s">
        <v>416</v>
      </c>
      <c r="C13" s="95"/>
      <c r="D13" s="95" t="s">
        <v>433</v>
      </c>
      <c r="E13" s="95" t="s">
        <v>121</v>
      </c>
      <c r="F13" s="95" t="s">
        <v>434</v>
      </c>
      <c r="G13" s="95" t="s">
        <v>435</v>
      </c>
      <c r="H13" s="95" t="s">
        <v>231</v>
      </c>
      <c r="I13" s="95" t="s">
        <v>436</v>
      </c>
      <c r="J13" s="95"/>
      <c r="K13" s="95"/>
    </row>
    <row r="14" spans="1:11" ht="60" customHeight="1" x14ac:dyDescent="0.25">
      <c r="A14" s="91">
        <v>6020</v>
      </c>
      <c r="B14" s="91" t="s">
        <v>103</v>
      </c>
      <c r="C14" s="92"/>
      <c r="D14" s="92" t="s">
        <v>145</v>
      </c>
      <c r="E14" s="92" t="s">
        <v>437</v>
      </c>
      <c r="F14" s="92" t="s">
        <v>438</v>
      </c>
      <c r="G14" s="92" t="s">
        <v>439</v>
      </c>
      <c r="H14" s="96" t="s">
        <v>440</v>
      </c>
      <c r="I14" s="92" t="s">
        <v>441</v>
      </c>
      <c r="J14" s="92"/>
      <c r="K14" s="92"/>
    </row>
    <row r="15" spans="1:11" ht="24" customHeight="1" x14ac:dyDescent="0.25">
      <c r="A15" s="98">
        <v>6021</v>
      </c>
      <c r="B15" s="98" t="s">
        <v>104</v>
      </c>
      <c r="C15" s="99"/>
      <c r="D15" s="99" t="s">
        <v>145</v>
      </c>
      <c r="E15" s="99" t="s">
        <v>437</v>
      </c>
      <c r="F15" s="99" t="s">
        <v>438</v>
      </c>
      <c r="G15" s="99" t="s">
        <v>439</v>
      </c>
      <c r="H15" s="100" t="s">
        <v>440</v>
      </c>
      <c r="I15" s="99" t="s">
        <v>442</v>
      </c>
      <c r="J15" s="99"/>
      <c r="K15" s="99"/>
    </row>
    <row r="16" spans="1:11" ht="24" customHeight="1" x14ac:dyDescent="0.25">
      <c r="A16" s="91">
        <v>6020</v>
      </c>
      <c r="B16" s="91" t="s">
        <v>103</v>
      </c>
      <c r="C16" s="92"/>
      <c r="D16" s="92" t="s">
        <v>152</v>
      </c>
      <c r="E16" s="92" t="s">
        <v>443</v>
      </c>
      <c r="F16" s="92" t="s">
        <v>444</v>
      </c>
      <c r="G16" s="92" t="s">
        <v>445</v>
      </c>
      <c r="H16" s="96" t="s">
        <v>421</v>
      </c>
      <c r="I16" s="92" t="s">
        <v>446</v>
      </c>
      <c r="J16" s="92"/>
      <c r="K16" s="92"/>
    </row>
    <row r="17" spans="1:11" ht="24" customHeight="1" x14ac:dyDescent="0.25">
      <c r="A17" s="98">
        <v>6021</v>
      </c>
      <c r="B17" s="98" t="s">
        <v>104</v>
      </c>
      <c r="C17" s="99"/>
      <c r="D17" s="99" t="s">
        <v>152</v>
      </c>
      <c r="E17" s="99" t="s">
        <v>443</v>
      </c>
      <c r="F17" s="99" t="s">
        <v>444</v>
      </c>
      <c r="G17" s="99" t="s">
        <v>445</v>
      </c>
      <c r="H17" s="100" t="s">
        <v>421</v>
      </c>
      <c r="I17" s="99" t="s">
        <v>442</v>
      </c>
      <c r="J17" s="99"/>
      <c r="K17" s="99"/>
    </row>
    <row r="18" spans="1:11" ht="24" customHeight="1" x14ac:dyDescent="0.25">
      <c r="A18" s="91">
        <v>5731</v>
      </c>
      <c r="B18" s="91" t="s">
        <v>447</v>
      </c>
      <c r="C18" s="92"/>
      <c r="D18" s="92" t="s">
        <v>204</v>
      </c>
      <c r="E18" s="92" t="s">
        <v>448</v>
      </c>
      <c r="F18" s="92" t="s">
        <v>449</v>
      </c>
      <c r="G18" s="92" t="s">
        <v>450</v>
      </c>
      <c r="H18" s="96" t="s">
        <v>421</v>
      </c>
      <c r="I18" s="92" t="s">
        <v>451</v>
      </c>
      <c r="J18" s="92"/>
      <c r="K18" s="92"/>
    </row>
    <row r="19" spans="1:11" ht="24" customHeight="1" x14ac:dyDescent="0.25">
      <c r="A19" s="98">
        <v>5732</v>
      </c>
      <c r="B19" s="98" t="s">
        <v>452</v>
      </c>
      <c r="C19" s="99"/>
      <c r="D19" s="99" t="s">
        <v>204</v>
      </c>
      <c r="E19" s="99" t="s">
        <v>448</v>
      </c>
      <c r="F19" s="99" t="s">
        <v>449</v>
      </c>
      <c r="G19" s="99" t="s">
        <v>450</v>
      </c>
      <c r="H19" s="100" t="s">
        <v>421</v>
      </c>
      <c r="I19" s="99" t="s">
        <v>451</v>
      </c>
      <c r="J19" s="99"/>
      <c r="K19" s="99"/>
    </row>
    <row r="20" spans="1:11" ht="48" customHeight="1" x14ac:dyDescent="0.25">
      <c r="A20" s="91">
        <v>6338</v>
      </c>
      <c r="B20" s="91" t="s">
        <v>80</v>
      </c>
      <c r="C20" s="92"/>
      <c r="D20" s="92" t="s">
        <v>152</v>
      </c>
      <c r="E20" s="92" t="s">
        <v>453</v>
      </c>
      <c r="F20" s="92" t="s">
        <v>454</v>
      </c>
      <c r="G20" s="92" t="s">
        <v>455</v>
      </c>
      <c r="H20" s="96" t="s">
        <v>421</v>
      </c>
      <c r="I20" s="92" t="s">
        <v>456</v>
      </c>
      <c r="J20" s="92"/>
      <c r="K20" s="92"/>
    </row>
    <row r="21" spans="1:11" ht="24" customHeight="1" x14ac:dyDescent="0.25">
      <c r="A21" s="98">
        <v>6531</v>
      </c>
      <c r="B21" s="98" t="s">
        <v>102</v>
      </c>
      <c r="C21" s="99"/>
      <c r="D21" s="99" t="s">
        <v>145</v>
      </c>
      <c r="E21" s="99" t="s">
        <v>437</v>
      </c>
      <c r="F21" s="99" t="s">
        <v>457</v>
      </c>
      <c r="G21" s="99" t="s">
        <v>458</v>
      </c>
      <c r="H21" s="105" t="s">
        <v>459</v>
      </c>
      <c r="I21" s="99" t="s">
        <v>460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6" t="s">
        <v>461</v>
      </c>
      <c r="B23" s="271"/>
      <c r="C23" s="271"/>
      <c r="D23" s="271"/>
      <c r="E23" s="271"/>
      <c r="F23" s="271"/>
      <c r="G23" s="271"/>
      <c r="H23" s="271"/>
      <c r="I23" s="271"/>
      <c r="J23" s="271"/>
      <c r="K23" s="271"/>
    </row>
    <row r="24" spans="1:11" ht="18" customHeight="1" x14ac:dyDescent="0.25">
      <c r="A24" s="94" t="s">
        <v>414</v>
      </c>
      <c r="B24" s="94" t="s">
        <v>416</v>
      </c>
      <c r="C24" s="95"/>
      <c r="D24" s="95" t="s">
        <v>462</v>
      </c>
      <c r="E24" s="95" t="s">
        <v>121</v>
      </c>
      <c r="F24" s="95" t="s">
        <v>463</v>
      </c>
      <c r="G24" s="95" t="s">
        <v>464</v>
      </c>
      <c r="H24" s="95" t="s">
        <v>231</v>
      </c>
      <c r="I24" s="95"/>
      <c r="J24" s="95"/>
      <c r="K24" s="95"/>
    </row>
    <row r="25" spans="1:11" ht="96" customHeight="1" x14ac:dyDescent="0.25">
      <c r="A25" s="91" t="s">
        <v>465</v>
      </c>
      <c r="B25" s="91" t="s">
        <v>466</v>
      </c>
      <c r="C25" s="92"/>
      <c r="D25" s="92" t="s">
        <v>467</v>
      </c>
      <c r="E25" s="92">
        <v>177</v>
      </c>
      <c r="F25" s="92" t="s">
        <v>468</v>
      </c>
      <c r="G25" s="92" t="s">
        <v>469</v>
      </c>
      <c r="H25" s="96" t="s">
        <v>440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87</v>
      </c>
      <c r="C26" s="95"/>
      <c r="D26" s="95" t="s">
        <v>169</v>
      </c>
      <c r="E26" s="95">
        <v>578</v>
      </c>
      <c r="F26" s="95" t="s">
        <v>470</v>
      </c>
      <c r="G26" s="95" t="s">
        <v>471</v>
      </c>
      <c r="H26" s="95" t="s">
        <v>421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80</v>
      </c>
      <c r="C27" s="92"/>
      <c r="D27" s="92" t="s">
        <v>169</v>
      </c>
      <c r="E27" s="92" t="s">
        <v>472</v>
      </c>
      <c r="F27" s="92" t="s">
        <v>473</v>
      </c>
      <c r="G27" s="92" t="s">
        <v>474</v>
      </c>
      <c r="H27" s="96" t="s">
        <v>421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40</v>
      </c>
      <c r="C28" s="99"/>
      <c r="D28" s="99" t="s">
        <v>194</v>
      </c>
      <c r="E28" s="99" t="s">
        <v>472</v>
      </c>
      <c r="F28" s="99" t="s">
        <v>473</v>
      </c>
      <c r="G28" s="99" t="s">
        <v>475</v>
      </c>
      <c r="H28" s="100" t="s">
        <v>421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87</v>
      </c>
      <c r="C29" s="95"/>
      <c r="D29" s="95" t="s">
        <v>164</v>
      </c>
      <c r="E29" s="95">
        <v>186</v>
      </c>
      <c r="F29" s="95" t="s">
        <v>476</v>
      </c>
      <c r="G29" s="95" t="s">
        <v>477</v>
      </c>
      <c r="H29" s="95" t="s">
        <v>459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478</v>
      </c>
      <c r="C30" s="95"/>
      <c r="D30" s="95" t="s">
        <v>164</v>
      </c>
      <c r="E30" s="95">
        <v>186</v>
      </c>
      <c r="F30" s="95" t="s">
        <v>476</v>
      </c>
      <c r="G30" s="95" t="s">
        <v>479</v>
      </c>
      <c r="H30" s="95" t="s">
        <v>459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100</v>
      </c>
      <c r="C31" s="92"/>
      <c r="D31" s="92" t="s">
        <v>164</v>
      </c>
      <c r="E31" s="92">
        <v>186</v>
      </c>
      <c r="F31" s="92" t="s">
        <v>476</v>
      </c>
      <c r="G31" s="92" t="s">
        <v>480</v>
      </c>
      <c r="H31" s="106" t="s">
        <v>459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102</v>
      </c>
      <c r="C32" s="95"/>
      <c r="D32" s="95" t="s">
        <v>164</v>
      </c>
      <c r="E32" s="95">
        <v>186</v>
      </c>
      <c r="F32" s="95" t="s">
        <v>476</v>
      </c>
      <c r="G32" s="95" t="s">
        <v>481</v>
      </c>
      <c r="H32" s="95" t="s">
        <v>459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6" t="s">
        <v>482</v>
      </c>
      <c r="B34" s="271"/>
      <c r="C34" s="271"/>
      <c r="D34" s="271"/>
      <c r="E34" s="271"/>
      <c r="F34" s="271"/>
      <c r="G34" s="271"/>
      <c r="H34" s="271"/>
      <c r="I34" s="271"/>
      <c r="J34" s="271"/>
      <c r="K34" s="271"/>
    </row>
    <row r="35" spans="1:11" ht="18" customHeight="1" x14ac:dyDescent="0.25">
      <c r="A35" s="94" t="s">
        <v>414</v>
      </c>
      <c r="B35" s="94" t="s">
        <v>415</v>
      </c>
      <c r="C35" s="95" t="s">
        <v>416</v>
      </c>
      <c r="D35" s="95" t="s">
        <v>433</v>
      </c>
      <c r="E35" s="95" t="s">
        <v>483</v>
      </c>
      <c r="F35" s="95" t="s">
        <v>484</v>
      </c>
      <c r="G35" s="95" t="s">
        <v>485</v>
      </c>
      <c r="H35" s="95" t="s">
        <v>486</v>
      </c>
      <c r="I35" s="95" t="s">
        <v>463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487</v>
      </c>
      <c r="D36" s="92" t="s">
        <v>152</v>
      </c>
      <c r="E36" s="92">
        <v>170</v>
      </c>
      <c r="F36" s="92" t="s">
        <v>153</v>
      </c>
      <c r="G36" s="92">
        <v>3595</v>
      </c>
      <c r="H36" s="92" t="s">
        <v>309</v>
      </c>
      <c r="I36" s="92" t="s">
        <v>488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487</v>
      </c>
      <c r="D37" s="99" t="s">
        <v>145</v>
      </c>
      <c r="E37" s="99">
        <v>1065</v>
      </c>
      <c r="F37" s="99" t="s">
        <v>150</v>
      </c>
      <c r="G37" s="99">
        <v>4155</v>
      </c>
      <c r="H37" s="99" t="s">
        <v>151</v>
      </c>
      <c r="I37" s="99" t="s">
        <v>457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80</v>
      </c>
      <c r="D38" s="92" t="s">
        <v>152</v>
      </c>
      <c r="E38" s="92">
        <v>170</v>
      </c>
      <c r="F38" s="92" t="s">
        <v>153</v>
      </c>
      <c r="G38" s="92">
        <v>3595</v>
      </c>
      <c r="H38" s="92" t="s">
        <v>309</v>
      </c>
      <c r="I38" s="92" t="s">
        <v>489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80</v>
      </c>
      <c r="D39" s="99" t="s">
        <v>145</v>
      </c>
      <c r="E39" s="99">
        <v>184</v>
      </c>
      <c r="F39" s="99" t="s">
        <v>146</v>
      </c>
      <c r="G39" s="99">
        <v>185</v>
      </c>
      <c r="H39" s="99" t="s">
        <v>147</v>
      </c>
      <c r="I39" s="99" t="s">
        <v>490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491</v>
      </c>
      <c r="D40" s="92" t="s">
        <v>152</v>
      </c>
      <c r="E40" s="92">
        <v>170</v>
      </c>
      <c r="F40" s="92" t="s">
        <v>153</v>
      </c>
      <c r="G40" s="92">
        <v>3595</v>
      </c>
      <c r="H40" s="92" t="s">
        <v>309</v>
      </c>
      <c r="I40" s="92" t="s">
        <v>488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491</v>
      </c>
      <c r="D41" s="99" t="s">
        <v>145</v>
      </c>
      <c r="E41" s="99">
        <v>1065</v>
      </c>
      <c r="F41" s="99" t="s">
        <v>150</v>
      </c>
      <c r="G41" s="99">
        <v>4155</v>
      </c>
      <c r="H41" s="99" t="s">
        <v>151</v>
      </c>
      <c r="I41" s="99" t="s">
        <v>457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492</v>
      </c>
      <c r="D42" s="92" t="s">
        <v>152</v>
      </c>
      <c r="E42" s="92">
        <v>170</v>
      </c>
      <c r="F42" s="92" t="s">
        <v>153</v>
      </c>
      <c r="G42" s="92">
        <v>3595</v>
      </c>
      <c r="H42" s="92" t="s">
        <v>309</v>
      </c>
      <c r="I42" s="92" t="s">
        <v>493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98</v>
      </c>
      <c r="D43" s="99" t="s">
        <v>152</v>
      </c>
      <c r="E43" s="99">
        <v>170</v>
      </c>
      <c r="F43" s="99" t="s">
        <v>153</v>
      </c>
      <c r="G43" s="99">
        <v>3595</v>
      </c>
      <c r="H43" s="99" t="s">
        <v>309</v>
      </c>
      <c r="I43" s="99" t="s">
        <v>444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98</v>
      </c>
      <c r="D44" s="92" t="s">
        <v>145</v>
      </c>
      <c r="E44" s="92">
        <v>184</v>
      </c>
      <c r="F44" s="92" t="s">
        <v>146</v>
      </c>
      <c r="G44" s="92">
        <v>185</v>
      </c>
      <c r="H44" s="92" t="s">
        <v>147</v>
      </c>
      <c r="I44" s="92" t="s">
        <v>494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29</v>
      </c>
      <c r="D45" s="99" t="s">
        <v>152</v>
      </c>
      <c r="E45" s="99">
        <v>4156</v>
      </c>
      <c r="F45" s="99" t="s">
        <v>158</v>
      </c>
      <c r="G45" s="99">
        <v>3595</v>
      </c>
      <c r="H45" s="99" t="s">
        <v>309</v>
      </c>
      <c r="I45" s="99" t="s">
        <v>495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29</v>
      </c>
      <c r="D46" s="92" t="s">
        <v>169</v>
      </c>
      <c r="E46" s="92">
        <v>3866</v>
      </c>
      <c r="F46" s="92" t="s">
        <v>496</v>
      </c>
      <c r="G46" s="92">
        <v>68</v>
      </c>
      <c r="H46" s="92" t="s">
        <v>497</v>
      </c>
      <c r="I46" s="92" t="s">
        <v>470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29</v>
      </c>
      <c r="D47" s="99" t="s">
        <v>145</v>
      </c>
      <c r="E47" s="99">
        <v>184</v>
      </c>
      <c r="F47" s="99" t="s">
        <v>146</v>
      </c>
      <c r="G47" s="99">
        <v>185</v>
      </c>
      <c r="H47" s="99" t="s">
        <v>147</v>
      </c>
      <c r="I47" s="99" t="s">
        <v>490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452</v>
      </c>
      <c r="D48" s="92" t="s">
        <v>152</v>
      </c>
      <c r="E48" s="92">
        <v>4156</v>
      </c>
      <c r="F48" s="92" t="s">
        <v>158</v>
      </c>
      <c r="G48" s="92">
        <v>3595</v>
      </c>
      <c r="H48" s="92" t="s">
        <v>309</v>
      </c>
      <c r="I48" s="92" t="s">
        <v>498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452</v>
      </c>
      <c r="D49" s="99" t="s">
        <v>169</v>
      </c>
      <c r="E49" s="99">
        <v>4044</v>
      </c>
      <c r="F49" s="99" t="s">
        <v>499</v>
      </c>
      <c r="G49" s="99">
        <v>6971</v>
      </c>
      <c r="H49" s="99" t="s">
        <v>500</v>
      </c>
      <c r="I49" s="99" t="s">
        <v>470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452</v>
      </c>
      <c r="D50" s="92" t="s">
        <v>145</v>
      </c>
      <c r="E50" s="92">
        <v>184</v>
      </c>
      <c r="F50" s="92" t="s">
        <v>146</v>
      </c>
      <c r="G50" s="92">
        <v>185</v>
      </c>
      <c r="H50" s="92" t="s">
        <v>147</v>
      </c>
      <c r="I50" s="92" t="s">
        <v>501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447</v>
      </c>
      <c r="D51" s="99" t="s">
        <v>152</v>
      </c>
      <c r="E51" s="99">
        <v>4156</v>
      </c>
      <c r="F51" s="99" t="s">
        <v>158</v>
      </c>
      <c r="G51" s="99">
        <v>3595</v>
      </c>
      <c r="H51" s="99" t="s">
        <v>309</v>
      </c>
      <c r="I51" s="99" t="s">
        <v>498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447</v>
      </c>
      <c r="D52" s="92" t="s">
        <v>169</v>
      </c>
      <c r="E52" s="92">
        <v>4044</v>
      </c>
      <c r="F52" s="92" t="s">
        <v>499</v>
      </c>
      <c r="G52" s="92">
        <v>6971</v>
      </c>
      <c r="H52" s="92" t="s">
        <v>500</v>
      </c>
      <c r="I52" s="92" t="s">
        <v>470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447</v>
      </c>
      <c r="D53" s="99" t="s">
        <v>145</v>
      </c>
      <c r="E53" s="99">
        <v>184</v>
      </c>
      <c r="F53" s="99" t="s">
        <v>146</v>
      </c>
      <c r="G53" s="99">
        <v>185</v>
      </c>
      <c r="H53" s="99" t="s">
        <v>147</v>
      </c>
      <c r="I53" s="99" t="s">
        <v>501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75</v>
      </c>
      <c r="D54" s="92" t="s">
        <v>152</v>
      </c>
      <c r="E54" s="92">
        <v>170</v>
      </c>
      <c r="F54" s="92" t="s">
        <v>153</v>
      </c>
      <c r="G54" s="92">
        <v>3595</v>
      </c>
      <c r="H54" s="92" t="s">
        <v>309</v>
      </c>
      <c r="I54" s="92" t="s">
        <v>493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75</v>
      </c>
      <c r="D55" s="99" t="s">
        <v>145</v>
      </c>
      <c r="E55" s="99">
        <v>184</v>
      </c>
      <c r="F55" s="99" t="s">
        <v>146</v>
      </c>
      <c r="G55" s="99">
        <v>185</v>
      </c>
      <c r="H55" s="99" t="s">
        <v>147</v>
      </c>
      <c r="I55" s="99" t="s">
        <v>502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32</v>
      </c>
      <c r="D56" s="92" t="s">
        <v>152</v>
      </c>
      <c r="E56" s="92">
        <v>170</v>
      </c>
      <c r="F56" s="92" t="s">
        <v>153</v>
      </c>
      <c r="G56" s="92">
        <v>3595</v>
      </c>
      <c r="H56" s="92" t="s">
        <v>309</v>
      </c>
      <c r="I56" s="92" t="s">
        <v>493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32</v>
      </c>
      <c r="D57" s="99" t="s">
        <v>145</v>
      </c>
      <c r="E57" s="99">
        <v>184</v>
      </c>
      <c r="F57" s="99" t="s">
        <v>146</v>
      </c>
      <c r="G57" s="99">
        <v>185</v>
      </c>
      <c r="H57" s="99" t="s">
        <v>147</v>
      </c>
      <c r="I57" s="99" t="s">
        <v>502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478</v>
      </c>
      <c r="D58" s="92" t="s">
        <v>152</v>
      </c>
      <c r="E58" s="92">
        <v>170</v>
      </c>
      <c r="F58" s="92" t="s">
        <v>153</v>
      </c>
      <c r="G58" s="92">
        <v>3595</v>
      </c>
      <c r="H58" s="92" t="s">
        <v>309</v>
      </c>
      <c r="I58" s="92" t="s">
        <v>503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40</v>
      </c>
      <c r="D59" s="99" t="s">
        <v>152</v>
      </c>
      <c r="E59" s="99">
        <v>170</v>
      </c>
      <c r="F59" s="99" t="s">
        <v>153</v>
      </c>
      <c r="G59" s="99">
        <v>3595</v>
      </c>
      <c r="H59" s="99" t="s">
        <v>309</v>
      </c>
      <c r="I59" s="99" t="s">
        <v>504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40</v>
      </c>
      <c r="D60" s="92" t="s">
        <v>145</v>
      </c>
      <c r="E60" s="92">
        <v>1065</v>
      </c>
      <c r="F60" s="92" t="s">
        <v>150</v>
      </c>
      <c r="G60" s="92">
        <v>4155</v>
      </c>
      <c r="H60" s="92" t="s">
        <v>151</v>
      </c>
      <c r="I60" s="92" t="s">
        <v>505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91</v>
      </c>
      <c r="D61" s="99" t="s">
        <v>152</v>
      </c>
      <c r="E61" s="99">
        <v>170</v>
      </c>
      <c r="F61" s="99" t="s">
        <v>153</v>
      </c>
      <c r="G61" s="99">
        <v>3595</v>
      </c>
      <c r="H61" s="99" t="s">
        <v>309</v>
      </c>
      <c r="I61" s="99" t="s">
        <v>488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91</v>
      </c>
      <c r="D62" s="92" t="s">
        <v>145</v>
      </c>
      <c r="E62" s="92">
        <v>1065</v>
      </c>
      <c r="F62" s="92" t="s">
        <v>150</v>
      </c>
      <c r="G62" s="92">
        <v>4155</v>
      </c>
      <c r="H62" s="92" t="s">
        <v>151</v>
      </c>
      <c r="I62" s="92" t="s">
        <v>457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91</v>
      </c>
      <c r="D63" s="99" t="s">
        <v>194</v>
      </c>
      <c r="E63" s="99">
        <v>3988</v>
      </c>
      <c r="F63" s="99" t="s">
        <v>341</v>
      </c>
      <c r="G63" s="99">
        <v>3598</v>
      </c>
      <c r="H63" s="99" t="s">
        <v>200</v>
      </c>
      <c r="I63" s="99" t="s">
        <v>506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6" t="s">
        <v>507</v>
      </c>
      <c r="B65" s="271"/>
      <c r="C65" s="271"/>
      <c r="D65" s="271"/>
      <c r="E65" s="271"/>
      <c r="F65" s="271"/>
      <c r="G65" s="271"/>
      <c r="H65" s="271"/>
      <c r="I65" s="271"/>
      <c r="J65" s="271"/>
      <c r="K65" s="271"/>
    </row>
    <row r="66" spans="1:11" ht="18" customHeight="1" x14ac:dyDescent="0.25">
      <c r="A66" s="94" t="s">
        <v>7</v>
      </c>
      <c r="B66" s="94" t="s">
        <v>508</v>
      </c>
      <c r="C66" s="95" t="s">
        <v>509</v>
      </c>
      <c r="D66" s="95" t="s">
        <v>510</v>
      </c>
      <c r="E66" s="95" t="s">
        <v>511</v>
      </c>
      <c r="F66" s="95" t="s">
        <v>127</v>
      </c>
      <c r="G66" s="95" t="s">
        <v>231</v>
      </c>
      <c r="H66" s="95"/>
      <c r="I66" s="95"/>
      <c r="J66" s="95"/>
      <c r="K66" s="95"/>
    </row>
    <row r="67" spans="1:11" ht="18" customHeight="1" x14ac:dyDescent="0.25">
      <c r="A67" s="94" t="s">
        <v>512</v>
      </c>
      <c r="B67" s="94" t="s">
        <v>513</v>
      </c>
      <c r="C67" s="95" t="s">
        <v>514</v>
      </c>
      <c r="D67" s="95" t="s">
        <v>515</v>
      </c>
      <c r="E67" s="95" t="s">
        <v>516</v>
      </c>
      <c r="F67" s="95" t="s">
        <v>422</v>
      </c>
      <c r="G67" s="95" t="s">
        <v>421</v>
      </c>
      <c r="H67" s="95"/>
      <c r="I67" s="95"/>
      <c r="J67" s="95"/>
      <c r="K67" s="95"/>
    </row>
    <row r="68" spans="1:11" ht="120" customHeight="1" x14ac:dyDescent="0.25">
      <c r="A68" s="91" t="s">
        <v>517</v>
      </c>
      <c r="B68" s="91" t="s">
        <v>518</v>
      </c>
      <c r="C68" s="92" t="s">
        <v>519</v>
      </c>
      <c r="D68" s="92" t="s">
        <v>520</v>
      </c>
      <c r="E68" s="92" t="s">
        <v>521</v>
      </c>
      <c r="F68" s="92" t="s">
        <v>522</v>
      </c>
      <c r="G68" s="92" t="s">
        <v>523</v>
      </c>
      <c r="H68" s="92"/>
      <c r="I68" s="92"/>
      <c r="J68" s="92"/>
      <c r="K68" s="92"/>
    </row>
    <row r="69" spans="1:11" ht="72" customHeight="1" x14ac:dyDescent="0.25">
      <c r="A69" s="98" t="s">
        <v>524</v>
      </c>
      <c r="B69" s="98" t="s">
        <v>525</v>
      </c>
      <c r="C69" s="99" t="s">
        <v>526</v>
      </c>
      <c r="D69" s="99" t="s">
        <v>527</v>
      </c>
      <c r="E69" s="99" t="s">
        <v>528</v>
      </c>
      <c r="F69" s="99" t="s">
        <v>529</v>
      </c>
      <c r="G69" s="105" t="s">
        <v>459</v>
      </c>
      <c r="H69" s="99"/>
      <c r="I69" s="99"/>
      <c r="J69" s="99"/>
      <c r="K69" s="99"/>
    </row>
    <row r="70" spans="1:11" ht="72" customHeight="1" x14ac:dyDescent="0.25">
      <c r="A70" s="91" t="s">
        <v>530</v>
      </c>
      <c r="B70" s="91" t="s">
        <v>531</v>
      </c>
      <c r="C70" s="92" t="s">
        <v>532</v>
      </c>
      <c r="D70" s="92" t="s">
        <v>423</v>
      </c>
      <c r="E70" s="92" t="s">
        <v>533</v>
      </c>
      <c r="F70" s="92" t="s">
        <v>529</v>
      </c>
      <c r="G70" s="106" t="s">
        <v>459</v>
      </c>
      <c r="H70" s="92"/>
      <c r="I70" s="92"/>
      <c r="J70" s="92"/>
      <c r="K70" s="92"/>
    </row>
    <row r="71" spans="1:11" ht="132" customHeight="1" x14ac:dyDescent="0.25">
      <c r="A71" s="98" t="s">
        <v>534</v>
      </c>
      <c r="B71" s="98" t="s">
        <v>535</v>
      </c>
      <c r="C71" s="99" t="s">
        <v>536</v>
      </c>
      <c r="D71" s="99" t="s">
        <v>537</v>
      </c>
      <c r="E71" s="99" t="s">
        <v>538</v>
      </c>
      <c r="F71" s="99" t="s">
        <v>539</v>
      </c>
      <c r="G71" s="105" t="s">
        <v>459</v>
      </c>
      <c r="H71" s="99"/>
      <c r="I71" s="99"/>
      <c r="J71" s="99"/>
      <c r="K71" s="99"/>
    </row>
    <row r="72" spans="1:11" ht="108" customHeight="1" x14ac:dyDescent="0.25">
      <c r="A72" s="91" t="s">
        <v>540</v>
      </c>
      <c r="B72" s="91" t="s">
        <v>541</v>
      </c>
      <c r="C72" s="92" t="s">
        <v>542</v>
      </c>
      <c r="D72" s="92" t="s">
        <v>423</v>
      </c>
      <c r="E72" s="92" t="s">
        <v>543</v>
      </c>
      <c r="F72" s="97" t="s">
        <v>422</v>
      </c>
      <c r="G72" s="96" t="s">
        <v>440</v>
      </c>
      <c r="H72" s="92"/>
      <c r="I72" s="92"/>
      <c r="J72" s="92"/>
      <c r="K72" s="92"/>
    </row>
    <row r="73" spans="1:11" ht="132" customHeight="1" x14ac:dyDescent="0.25">
      <c r="A73" s="98" t="s">
        <v>544</v>
      </c>
      <c r="B73" s="98" t="s">
        <v>545</v>
      </c>
      <c r="C73" s="99" t="s">
        <v>546</v>
      </c>
      <c r="D73" s="99" t="s">
        <v>423</v>
      </c>
      <c r="E73" s="99" t="s">
        <v>547</v>
      </c>
      <c r="F73" s="99" t="s">
        <v>539</v>
      </c>
      <c r="G73" s="105" t="s">
        <v>459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6" t="s">
        <v>548</v>
      </c>
      <c r="B75" s="271"/>
      <c r="C75" s="271"/>
      <c r="D75" s="271"/>
      <c r="E75" s="271"/>
      <c r="F75" s="271"/>
      <c r="G75" s="271"/>
      <c r="H75" s="271"/>
      <c r="I75" s="271"/>
      <c r="J75" s="271"/>
      <c r="K75" s="271"/>
    </row>
    <row r="76" spans="1:11" ht="18" customHeight="1" x14ac:dyDescent="0.25">
      <c r="A76" s="94" t="s">
        <v>121</v>
      </c>
      <c r="B76" s="94" t="s">
        <v>549</v>
      </c>
      <c r="C76" s="95"/>
      <c r="D76" s="95" t="s">
        <v>550</v>
      </c>
      <c r="E76" s="95" t="s">
        <v>551</v>
      </c>
      <c r="F76" s="95"/>
      <c r="G76" s="95"/>
      <c r="H76" s="95" t="s">
        <v>231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388</v>
      </c>
      <c r="C77" s="92" t="s">
        <v>552</v>
      </c>
      <c r="D77" s="92" t="s">
        <v>151</v>
      </c>
      <c r="E77" s="92" t="s">
        <v>553</v>
      </c>
      <c r="F77" s="92"/>
      <c r="G77" s="92"/>
      <c r="H77" s="96" t="s">
        <v>421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387</v>
      </c>
      <c r="C78" s="99" t="s">
        <v>552</v>
      </c>
      <c r="D78" s="99" t="s">
        <v>150</v>
      </c>
      <c r="E78" s="99" t="s">
        <v>554</v>
      </c>
      <c r="F78" s="99"/>
      <c r="G78" s="99"/>
      <c r="H78" s="105" t="s">
        <v>459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384</v>
      </c>
      <c r="C79" s="92" t="s">
        <v>552</v>
      </c>
      <c r="D79" s="92" t="s">
        <v>146</v>
      </c>
      <c r="E79" s="92" t="s">
        <v>555</v>
      </c>
      <c r="F79" s="92"/>
      <c r="G79" s="92"/>
      <c r="H79" s="106" t="s">
        <v>459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6" t="s">
        <v>556</v>
      </c>
      <c r="B81" s="271"/>
      <c r="C81" s="271"/>
      <c r="D81" s="271"/>
      <c r="E81" s="271"/>
      <c r="F81" s="271"/>
      <c r="G81" s="271"/>
      <c r="H81" s="271"/>
      <c r="I81" s="271"/>
      <c r="J81" s="271"/>
      <c r="K81" s="271"/>
    </row>
    <row r="82" spans="1:11" ht="18" customHeight="1" x14ac:dyDescent="0.25">
      <c r="A82" s="94" t="s">
        <v>414</v>
      </c>
      <c r="B82" s="94" t="s">
        <v>415</v>
      </c>
      <c r="C82" s="95" t="s">
        <v>416</v>
      </c>
      <c r="D82" s="95" t="s">
        <v>557</v>
      </c>
      <c r="E82" s="95" t="s">
        <v>558</v>
      </c>
      <c r="F82" s="95" t="s">
        <v>418</v>
      </c>
      <c r="G82" s="95"/>
      <c r="H82" s="95" t="s">
        <v>231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90</v>
      </c>
      <c r="D83" s="92" t="s">
        <v>559</v>
      </c>
      <c r="E83" s="92" t="s">
        <v>560</v>
      </c>
      <c r="F83" s="92" t="s">
        <v>561</v>
      </c>
      <c r="G83" s="92"/>
      <c r="H83" s="96" t="s">
        <v>421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89</v>
      </c>
      <c r="D84" s="99" t="s">
        <v>559</v>
      </c>
      <c r="E84" s="99" t="s">
        <v>560</v>
      </c>
      <c r="F84" s="99" t="s">
        <v>561</v>
      </c>
      <c r="G84" s="99"/>
      <c r="H84" s="100" t="s">
        <v>421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35</v>
      </c>
      <c r="D85" s="92" t="s">
        <v>559</v>
      </c>
      <c r="E85" s="92" t="s">
        <v>560</v>
      </c>
      <c r="F85" s="92" t="s">
        <v>561</v>
      </c>
      <c r="G85" s="92"/>
      <c r="H85" s="96" t="s">
        <v>421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40</v>
      </c>
      <c r="D86" s="99" t="s">
        <v>559</v>
      </c>
      <c r="E86" s="99" t="s">
        <v>560</v>
      </c>
      <c r="F86" s="99" t="s">
        <v>561</v>
      </c>
      <c r="G86" s="99"/>
      <c r="H86" s="100" t="s">
        <v>421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91</v>
      </c>
      <c r="D87" s="92" t="s">
        <v>559</v>
      </c>
      <c r="E87" s="92" t="s">
        <v>560</v>
      </c>
      <c r="F87" s="92" t="s">
        <v>561</v>
      </c>
      <c r="G87" s="92"/>
      <c r="H87" s="96" t="s">
        <v>421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86</v>
      </c>
      <c r="D88" s="99" t="s">
        <v>559</v>
      </c>
      <c r="E88" s="99" t="s">
        <v>560</v>
      </c>
      <c r="F88" s="99" t="s">
        <v>561</v>
      </c>
      <c r="G88" s="99"/>
      <c r="H88" s="100" t="s">
        <v>421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87</v>
      </c>
      <c r="D89" s="92" t="s">
        <v>559</v>
      </c>
      <c r="E89" s="92" t="s">
        <v>560</v>
      </c>
      <c r="F89" s="92" t="s">
        <v>561</v>
      </c>
      <c r="G89" s="92"/>
      <c r="H89" s="96" t="s">
        <v>421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84</v>
      </c>
      <c r="D90" s="99" t="s">
        <v>559</v>
      </c>
      <c r="E90" s="99" t="s">
        <v>560</v>
      </c>
      <c r="F90" s="99" t="s">
        <v>561</v>
      </c>
      <c r="G90" s="99"/>
      <c r="H90" s="100" t="s">
        <v>421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6" t="s">
        <v>562</v>
      </c>
      <c r="B92" s="271"/>
      <c r="C92" s="271"/>
      <c r="D92" s="271"/>
      <c r="E92" s="271"/>
      <c r="F92" s="271"/>
      <c r="G92" s="271"/>
      <c r="H92" s="271"/>
      <c r="I92" s="271"/>
      <c r="J92" s="271"/>
      <c r="K92" s="271"/>
    </row>
    <row r="93" spans="1:11" x14ac:dyDescent="0.25">
      <c r="A93" s="91" t="s">
        <v>563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564</v>
      </c>
      <c r="B94" s="94"/>
      <c r="C94" s="95" t="s">
        <v>508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565</v>
      </c>
      <c r="B95" s="91"/>
      <c r="C95" s="92" t="s">
        <v>566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567</v>
      </c>
      <c r="B96" s="98"/>
      <c r="C96" s="99" t="s">
        <v>568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569</v>
      </c>
      <c r="B97" s="91"/>
      <c r="C97" s="92" t="s">
        <v>570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571</v>
      </c>
      <c r="B98" s="98"/>
      <c r="C98" s="99" t="s">
        <v>572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573</v>
      </c>
      <c r="B99" s="91"/>
      <c r="C99" s="92" t="s">
        <v>574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575</v>
      </c>
      <c r="B100" s="98"/>
      <c r="C100" s="99" t="s">
        <v>576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577</v>
      </c>
      <c r="B102" s="94" t="s">
        <v>578</v>
      </c>
      <c r="C102" s="95" t="s">
        <v>579</v>
      </c>
      <c r="D102" s="95"/>
      <c r="E102" s="95"/>
      <c r="F102" s="95"/>
      <c r="G102" s="95"/>
      <c r="H102" s="95" t="s">
        <v>231</v>
      </c>
      <c r="I102" s="95"/>
      <c r="J102" s="95"/>
      <c r="K102" s="95"/>
    </row>
    <row r="103" spans="1:11" ht="36" customHeight="1" x14ac:dyDescent="0.25">
      <c r="A103" s="91" t="s">
        <v>517</v>
      </c>
      <c r="B103" s="91" t="s">
        <v>580</v>
      </c>
      <c r="C103" s="92" t="s">
        <v>581</v>
      </c>
      <c r="D103" s="92"/>
      <c r="E103" s="92"/>
      <c r="F103" s="92"/>
      <c r="G103" s="92"/>
      <c r="H103" s="96" t="s">
        <v>421</v>
      </c>
      <c r="I103" s="92"/>
      <c r="J103" s="92"/>
      <c r="K103" s="92"/>
    </row>
    <row r="104" spans="1:11" ht="24" customHeight="1" x14ac:dyDescent="0.25">
      <c r="A104" s="98" t="s">
        <v>582</v>
      </c>
      <c r="B104" s="98" t="s">
        <v>583</v>
      </c>
      <c r="C104" s="99" t="s">
        <v>584</v>
      </c>
      <c r="D104" s="99"/>
      <c r="E104" s="99"/>
      <c r="F104" s="99"/>
      <c r="G104" s="99"/>
      <c r="H104" s="105" t="s">
        <v>459</v>
      </c>
      <c r="I104" s="99"/>
      <c r="J104" s="99"/>
      <c r="K104" s="99"/>
    </row>
    <row r="105" spans="1:11" ht="24" customHeight="1" x14ac:dyDescent="0.25">
      <c r="A105" s="91" t="s">
        <v>585</v>
      </c>
      <c r="B105" s="91" t="s">
        <v>586</v>
      </c>
      <c r="C105" s="92" t="s">
        <v>587</v>
      </c>
      <c r="D105" s="92"/>
      <c r="E105" s="92"/>
      <c r="F105" s="92"/>
      <c r="G105" s="92"/>
      <c r="H105" s="106" t="s">
        <v>459</v>
      </c>
      <c r="I105" s="92"/>
      <c r="J105" s="92"/>
      <c r="K105" s="92"/>
    </row>
    <row r="106" spans="1:11" ht="24" customHeight="1" x14ac:dyDescent="0.25">
      <c r="A106" s="98" t="s">
        <v>588</v>
      </c>
      <c r="B106" s="98" t="s">
        <v>589</v>
      </c>
      <c r="C106" s="99" t="s">
        <v>590</v>
      </c>
      <c r="D106" s="99"/>
      <c r="E106" s="99"/>
      <c r="F106" s="99"/>
      <c r="G106" s="99"/>
      <c r="H106" s="99" t="s">
        <v>523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591</v>
      </c>
      <c r="B108" s="94" t="s">
        <v>121</v>
      </c>
      <c r="C108" s="95" t="s">
        <v>592</v>
      </c>
      <c r="D108" s="95"/>
      <c r="E108" s="95" t="s">
        <v>593</v>
      </c>
      <c r="F108" s="95"/>
      <c r="G108" s="95" t="s">
        <v>594</v>
      </c>
      <c r="H108" s="95" t="s">
        <v>595</v>
      </c>
      <c r="I108" s="95" t="s">
        <v>596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243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597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244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598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245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599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246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600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247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601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248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602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603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602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250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604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251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605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252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606</v>
      </c>
      <c r="J118" s="99"/>
      <c r="K118" s="99"/>
    </row>
    <row r="119" spans="1:11" x14ac:dyDescent="0.25">
      <c r="A119" s="91" t="s">
        <v>607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8" t="s">
        <v>608</v>
      </c>
      <c r="B1" s="271"/>
      <c r="C1" s="271"/>
      <c r="D1" s="271"/>
      <c r="E1" s="271"/>
      <c r="F1" s="271"/>
      <c r="G1" s="271"/>
      <c r="H1" s="271"/>
    </row>
    <row r="2" spans="1:9" ht="15.75" customHeight="1" x14ac:dyDescent="0.25">
      <c r="A2" s="277" t="s">
        <v>609</v>
      </c>
      <c r="B2" s="271"/>
      <c r="C2" s="271"/>
      <c r="D2" s="271"/>
      <c r="E2" s="271"/>
      <c r="F2" s="271"/>
      <c r="G2" s="271"/>
      <c r="H2" s="271"/>
    </row>
    <row r="3" spans="1:9" ht="19.5" customHeight="1" x14ac:dyDescent="0.25">
      <c r="A3" s="84" t="s">
        <v>610</v>
      </c>
      <c r="B3" s="84" t="s">
        <v>414</v>
      </c>
      <c r="C3" s="84" t="s">
        <v>16</v>
      </c>
      <c r="D3" s="84" t="s">
        <v>611</v>
      </c>
      <c r="E3" s="84" t="s">
        <v>612</v>
      </c>
      <c r="F3" s="84" t="s">
        <v>613</v>
      </c>
      <c r="G3" s="84" t="s">
        <v>127</v>
      </c>
      <c r="H3" s="84" t="s">
        <v>614</v>
      </c>
      <c r="I3" s="84" t="s">
        <v>615</v>
      </c>
    </row>
    <row r="4" spans="1:9" ht="15" customHeight="1" x14ac:dyDescent="0.25">
      <c r="A4" s="232">
        <v>1</v>
      </c>
      <c r="B4" s="232">
        <v>8006</v>
      </c>
      <c r="C4" s="233" t="s">
        <v>28</v>
      </c>
      <c r="D4" s="233" t="s">
        <v>298</v>
      </c>
      <c r="E4" s="232" t="s">
        <v>616</v>
      </c>
      <c r="F4" s="234">
        <v>10080</v>
      </c>
      <c r="G4" s="232" t="s">
        <v>617</v>
      </c>
      <c r="H4" s="235" t="s">
        <v>618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2">
        <v>2</v>
      </c>
      <c r="B5" s="232">
        <v>6515</v>
      </c>
      <c r="C5" s="233" t="s">
        <v>28</v>
      </c>
      <c r="D5" s="233" t="s">
        <v>96</v>
      </c>
      <c r="E5" s="232" t="s">
        <v>619</v>
      </c>
      <c r="F5" s="234">
        <v>36192</v>
      </c>
      <c r="G5" s="232" t="s">
        <v>617</v>
      </c>
      <c r="H5" s="235" t="s">
        <v>618</v>
      </c>
      <c r="I5" s="86">
        <f>IFERROR(SUMPRODUCT((TableBOM[Product ID]=B5)*(TableBOM[Material Category]="CAP")*TableBOM[Item ID]),0)</f>
        <v>1073</v>
      </c>
    </row>
    <row r="6" spans="1:9" ht="15" customHeight="1" x14ac:dyDescent="0.25">
      <c r="A6" s="232">
        <v>3</v>
      </c>
      <c r="B6" s="232">
        <v>4050</v>
      </c>
      <c r="C6" s="233" t="s">
        <v>85</v>
      </c>
      <c r="D6" s="233" t="s">
        <v>86</v>
      </c>
      <c r="E6" s="232" t="s">
        <v>620</v>
      </c>
      <c r="F6" s="234">
        <v>9450</v>
      </c>
      <c r="G6" s="232" t="s">
        <v>617</v>
      </c>
      <c r="H6" s="235" t="s">
        <v>618</v>
      </c>
      <c r="I6" s="86">
        <f>IFERROR(SUMPRODUCT((TableBOM[Product ID]=B6)*(TableBOM[Material Category]="CAP")*TableBOM[Item ID]),0)</f>
        <v>578</v>
      </c>
    </row>
    <row r="7" spans="1:9" ht="15" customHeight="1" x14ac:dyDescent="0.25">
      <c r="A7" s="232">
        <v>4</v>
      </c>
      <c r="B7" s="232">
        <v>6337</v>
      </c>
      <c r="C7" s="233" t="s">
        <v>88</v>
      </c>
      <c r="D7" s="233" t="s">
        <v>90</v>
      </c>
      <c r="E7" s="232" t="s">
        <v>620</v>
      </c>
      <c r="F7" s="234">
        <v>15680</v>
      </c>
      <c r="G7" s="232" t="s">
        <v>617</v>
      </c>
      <c r="H7" s="235" t="s">
        <v>618</v>
      </c>
      <c r="I7" s="86">
        <f>IFERROR(SUMPRODUCT((TableBOM[Product ID]=B7)*(TableBOM[Material Category]="CAP")*TableBOM[Item ID]),0)</f>
        <v>578</v>
      </c>
    </row>
    <row r="8" spans="1:9" ht="15" customHeight="1" x14ac:dyDescent="0.25">
      <c r="A8" s="232">
        <v>5</v>
      </c>
      <c r="B8" s="232">
        <v>6416</v>
      </c>
      <c r="C8" s="233" t="s">
        <v>88</v>
      </c>
      <c r="D8" s="233" t="s">
        <v>89</v>
      </c>
      <c r="E8" s="232" t="s">
        <v>620</v>
      </c>
      <c r="F8" s="234">
        <v>15435</v>
      </c>
      <c r="G8" s="232" t="s">
        <v>617</v>
      </c>
      <c r="H8" s="235" t="s">
        <v>618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2">
        <v>6</v>
      </c>
      <c r="B9" s="232">
        <v>5782</v>
      </c>
      <c r="C9" s="233" t="s">
        <v>97</v>
      </c>
      <c r="D9" s="233" t="s">
        <v>98</v>
      </c>
      <c r="E9" s="232" t="s">
        <v>619</v>
      </c>
      <c r="F9" s="234">
        <v>74464</v>
      </c>
      <c r="G9" s="232" t="s">
        <v>617</v>
      </c>
      <c r="H9" s="235" t="s">
        <v>618</v>
      </c>
      <c r="I9" s="86">
        <f>IFERROR(SUMPRODUCT((TableBOM[Product ID]=B9)*(TableBOM[Material Category]="CAP")*TableBOM[Item ID]),0)</f>
        <v>1285</v>
      </c>
    </row>
    <row r="10" spans="1:9" ht="15" customHeight="1" x14ac:dyDescent="0.25">
      <c r="A10" s="232">
        <v>7</v>
      </c>
      <c r="B10" s="232">
        <v>6531</v>
      </c>
      <c r="C10" s="233" t="s">
        <v>99</v>
      </c>
      <c r="D10" s="233" t="s">
        <v>102</v>
      </c>
      <c r="E10" s="232" t="s">
        <v>621</v>
      </c>
      <c r="F10" s="234">
        <v>4320</v>
      </c>
      <c r="G10" s="232" t="s">
        <v>617</v>
      </c>
      <c r="H10" s="235" t="s">
        <v>618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2">
        <v>8</v>
      </c>
      <c r="B11" s="232">
        <v>6530</v>
      </c>
      <c r="C11" s="233" t="s">
        <v>99</v>
      </c>
      <c r="D11" s="233" t="s">
        <v>100</v>
      </c>
      <c r="E11" s="232" t="s">
        <v>621</v>
      </c>
      <c r="F11" s="234">
        <v>4500</v>
      </c>
      <c r="G11" s="232" t="s">
        <v>617</v>
      </c>
      <c r="H11" s="235" t="s">
        <v>618</v>
      </c>
      <c r="I11" s="86">
        <f>IFERROR(SUMPRODUCT((TableBOM[Product ID]=B11)*(TableBOM[Material Category]="CAP")*TableBOM[Item ID]),0)</f>
        <v>578</v>
      </c>
    </row>
    <row r="12" spans="1:9" ht="15" customHeight="1" x14ac:dyDescent="0.25">
      <c r="A12" s="232">
        <v>9</v>
      </c>
      <c r="B12" s="232">
        <v>5699</v>
      </c>
      <c r="C12" s="233" t="s">
        <v>28</v>
      </c>
      <c r="D12" s="233" t="s">
        <v>67</v>
      </c>
      <c r="E12" s="232" t="s">
        <v>622</v>
      </c>
      <c r="F12" s="234">
        <v>14790</v>
      </c>
      <c r="G12" s="232" t="s">
        <v>617</v>
      </c>
      <c r="H12" s="235" t="s">
        <v>623</v>
      </c>
      <c r="I12" s="86">
        <f>IFERROR(SUMPRODUCT((TableBOM[Product ID]=B12)*(TableBOM[Material Category]="CAP")*TableBOM[Item ID]),0)</f>
        <v>6971</v>
      </c>
    </row>
    <row r="13" spans="1:9" ht="15" customHeight="1" x14ac:dyDescent="0.25">
      <c r="A13" s="232">
        <v>10</v>
      </c>
      <c r="B13" s="232">
        <v>5731</v>
      </c>
      <c r="C13" s="233" t="s">
        <v>28</v>
      </c>
      <c r="D13" s="233" t="s">
        <v>69</v>
      </c>
      <c r="E13" s="232" t="s">
        <v>622</v>
      </c>
      <c r="F13" s="234">
        <v>13770</v>
      </c>
      <c r="G13" s="232" t="s">
        <v>617</v>
      </c>
      <c r="H13" s="235" t="s">
        <v>623</v>
      </c>
      <c r="I13" s="86">
        <f>IFERROR(SUMPRODUCT((TableBOM[Product ID]=B13)*(TableBOM[Material Category]="CAP")*TableBOM[Item ID]),0)</f>
        <v>6971</v>
      </c>
    </row>
    <row r="14" spans="1:9" ht="15" customHeight="1" x14ac:dyDescent="0.25">
      <c r="A14" s="236">
        <v>11</v>
      </c>
      <c r="B14" s="236">
        <v>6624</v>
      </c>
      <c r="C14" s="237" t="s">
        <v>28</v>
      </c>
      <c r="D14" s="237" t="s">
        <v>62</v>
      </c>
      <c r="E14" s="236" t="s">
        <v>624</v>
      </c>
      <c r="F14" s="238">
        <v>15876</v>
      </c>
      <c r="G14" s="236" t="s">
        <v>625</v>
      </c>
      <c r="H14" s="239" t="s">
        <v>623</v>
      </c>
      <c r="I14" s="87">
        <f>IFERROR(SUMPRODUCT((TableBOM[Product ID]=B14)*(TableBOM[Material Category]="CAP")*TableBOM[Item ID]),0)</f>
        <v>80</v>
      </c>
    </row>
    <row r="15" spans="1:9" ht="15" customHeight="1" x14ac:dyDescent="0.25">
      <c r="A15" s="236">
        <v>12</v>
      </c>
      <c r="B15" s="236">
        <v>5731</v>
      </c>
      <c r="C15" s="237" t="s">
        <v>28</v>
      </c>
      <c r="D15" s="237" t="s">
        <v>69</v>
      </c>
      <c r="E15" s="236" t="s">
        <v>622</v>
      </c>
      <c r="F15" s="238">
        <v>33660</v>
      </c>
      <c r="G15" s="236" t="s">
        <v>625</v>
      </c>
      <c r="H15" s="239" t="s">
        <v>623</v>
      </c>
      <c r="I15" s="87">
        <f>IFERROR(SUMPRODUCT((TableBOM[Product ID]=B15)*(TableBOM[Material Category]="CAP")*TableBOM[Item ID]),0)</f>
        <v>6971</v>
      </c>
    </row>
    <row r="16" spans="1:9" ht="15" customHeight="1" x14ac:dyDescent="0.25">
      <c r="A16" s="236">
        <v>13</v>
      </c>
      <c r="B16" s="236">
        <v>6206</v>
      </c>
      <c r="C16" s="237" t="s">
        <v>34</v>
      </c>
      <c r="D16" s="237" t="s">
        <v>35</v>
      </c>
      <c r="E16" s="236" t="s">
        <v>620</v>
      </c>
      <c r="F16" s="238">
        <v>4000</v>
      </c>
      <c r="G16" s="236" t="s">
        <v>625</v>
      </c>
      <c r="H16" s="239" t="s">
        <v>626</v>
      </c>
      <c r="I16" s="87">
        <f>IFERROR(SUMPRODUCT((TableBOM[Product ID]=B16)*(TableBOM[Material Category]="CAP")*TableBOM[Item ID]),0)</f>
        <v>68</v>
      </c>
    </row>
    <row r="17" spans="1:9" ht="15" customHeight="1" x14ac:dyDescent="0.25">
      <c r="A17" s="236">
        <v>14</v>
      </c>
      <c r="B17" s="236">
        <v>6530</v>
      </c>
      <c r="C17" s="237" t="s">
        <v>99</v>
      </c>
      <c r="D17" s="237" t="s">
        <v>100</v>
      </c>
      <c r="E17" s="236" t="s">
        <v>621</v>
      </c>
      <c r="F17" s="238">
        <v>11340</v>
      </c>
      <c r="G17" s="236" t="s">
        <v>625</v>
      </c>
      <c r="H17" s="239" t="s">
        <v>627</v>
      </c>
      <c r="I17" s="87">
        <f>IFERROR(SUMPRODUCT((TableBOM[Product ID]=B17)*(TableBOM[Material Category]="CAP")*TableBOM[Item ID]),0)</f>
        <v>578</v>
      </c>
    </row>
    <row r="18" spans="1:9" ht="15" customHeight="1" x14ac:dyDescent="0.25">
      <c r="A18" s="240"/>
      <c r="B18" s="240"/>
      <c r="C18" s="241"/>
      <c r="D18" s="241"/>
      <c r="E18" s="240"/>
      <c r="F18" s="242"/>
      <c r="G18" s="240"/>
      <c r="H18" s="243"/>
      <c r="I18" s="87">
        <f>IFERROR(SUMPRODUCT((TableBOM[Product ID]=B18)*(TableBOM[Material Category]="CAP")*TableBOM[Item ID]),0)</f>
        <v>0</v>
      </c>
    </row>
    <row r="19" spans="1:9" ht="15" customHeight="1" x14ac:dyDescent="0.25">
      <c r="A19" s="240"/>
      <c r="B19" s="240"/>
      <c r="C19" s="241"/>
      <c r="D19" s="241"/>
      <c r="E19" s="240"/>
      <c r="F19" s="242"/>
      <c r="G19" s="240"/>
      <c r="H19" s="243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40"/>
      <c r="B20" s="240"/>
      <c r="C20" s="241"/>
      <c r="D20" s="241"/>
      <c r="E20" s="240"/>
      <c r="F20" s="242"/>
      <c r="G20" s="240"/>
      <c r="H20" s="243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0"/>
      <c r="B21" s="240"/>
      <c r="C21" s="241"/>
      <c r="D21" s="241"/>
      <c r="E21" s="240"/>
      <c r="F21" s="242"/>
      <c r="G21" s="240"/>
      <c r="H21" s="243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0"/>
      <c r="B22" s="240"/>
      <c r="C22" s="241"/>
      <c r="D22" s="241"/>
      <c r="E22" s="240"/>
      <c r="F22" s="242"/>
      <c r="G22" s="240"/>
      <c r="H22" s="243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0"/>
      <c r="B23" s="240"/>
      <c r="C23" s="241"/>
      <c r="D23" s="241"/>
      <c r="E23" s="240"/>
      <c r="F23" s="242"/>
      <c r="G23" s="240"/>
      <c r="H23" s="243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0"/>
      <c r="B24" s="240"/>
      <c r="C24" s="241"/>
      <c r="D24" s="241"/>
      <c r="E24" s="240"/>
      <c r="F24" s="242"/>
      <c r="G24" s="240"/>
      <c r="H24" s="243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0"/>
      <c r="B25" s="240"/>
      <c r="C25" s="241"/>
      <c r="D25" s="241"/>
      <c r="E25" s="240"/>
      <c r="F25" s="242"/>
      <c r="G25" s="240"/>
      <c r="H25" s="243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0"/>
      <c r="B26" s="240"/>
      <c r="C26" s="241"/>
      <c r="D26" s="241"/>
      <c r="E26" s="240"/>
      <c r="F26" s="242"/>
      <c r="G26" s="240"/>
      <c r="H26" s="243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0"/>
      <c r="B27" s="240"/>
      <c r="C27" s="241"/>
      <c r="D27" s="241"/>
      <c r="E27" s="240"/>
      <c r="F27" s="242"/>
      <c r="G27" s="240"/>
      <c r="H27" s="243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4"/>
      <c r="B28" s="244"/>
      <c r="C28" s="244"/>
      <c r="D28" s="244"/>
      <c r="E28" s="244"/>
      <c r="F28" s="244"/>
      <c r="G28" s="244"/>
      <c r="H28" s="244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4"/>
      <c r="B29" s="244"/>
      <c r="C29" s="244"/>
      <c r="D29" s="244"/>
      <c r="E29" s="244"/>
      <c r="F29" s="244"/>
      <c r="G29" s="244"/>
      <c r="H29" s="244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4"/>
      <c r="B30" s="244"/>
      <c r="C30" s="244"/>
      <c r="D30" s="244"/>
      <c r="E30" s="244"/>
      <c r="F30" s="244"/>
      <c r="G30" s="244"/>
      <c r="H30" s="244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4"/>
      <c r="B31" s="244"/>
      <c r="C31" s="244"/>
      <c r="D31" s="244"/>
      <c r="E31" s="244"/>
      <c r="F31" s="244"/>
      <c r="G31" s="244"/>
      <c r="H31" s="244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4"/>
      <c r="B32" s="244"/>
      <c r="C32" s="244"/>
      <c r="D32" s="244"/>
      <c r="E32" s="244"/>
      <c r="F32" s="244"/>
      <c r="G32" s="244"/>
      <c r="H32" s="244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4"/>
      <c r="B33" s="244"/>
      <c r="C33" s="244"/>
      <c r="D33" s="244"/>
      <c r="E33" s="244"/>
      <c r="F33" s="244"/>
      <c r="G33" s="244"/>
      <c r="H33" s="244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4"/>
      <c r="B34" s="244"/>
      <c r="C34" s="244"/>
      <c r="D34" s="244"/>
      <c r="E34" s="244"/>
      <c r="F34" s="244"/>
      <c r="G34" s="244"/>
      <c r="H34" s="244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4"/>
      <c r="B35" s="244"/>
      <c r="C35" s="244"/>
      <c r="D35" s="244"/>
      <c r="E35" s="244"/>
      <c r="F35" s="244"/>
      <c r="G35" s="244"/>
      <c r="H35" s="244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4"/>
      <c r="B36" s="244"/>
      <c r="C36" s="244"/>
      <c r="D36" s="244"/>
      <c r="E36" s="244"/>
      <c r="F36" s="244"/>
      <c r="G36" s="244"/>
      <c r="H36" s="244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4"/>
      <c r="B37" s="244"/>
      <c r="C37" s="244"/>
      <c r="D37" s="244"/>
      <c r="E37" s="244"/>
      <c r="F37" s="244"/>
      <c r="G37" s="244"/>
      <c r="H37" s="244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4"/>
      <c r="B38" s="244"/>
      <c r="C38" s="244"/>
      <c r="D38" s="244"/>
      <c r="E38" s="244"/>
      <c r="F38" s="244"/>
      <c r="G38" s="244"/>
      <c r="H38" s="244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4"/>
      <c r="B39" s="244"/>
      <c r="C39" s="244"/>
      <c r="D39" s="244"/>
      <c r="E39" s="244"/>
      <c r="F39" s="244"/>
      <c r="G39" s="244"/>
      <c r="H39" s="244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4"/>
      <c r="B40" s="244"/>
      <c r="C40" s="244"/>
      <c r="D40" s="244"/>
      <c r="E40" s="244"/>
      <c r="F40" s="244"/>
      <c r="G40" s="244"/>
      <c r="H40" s="244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4"/>
      <c r="B41" s="244"/>
      <c r="C41" s="244"/>
      <c r="D41" s="244"/>
      <c r="E41" s="244"/>
      <c r="F41" s="244"/>
      <c r="G41" s="244"/>
      <c r="H41" s="244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4"/>
      <c r="B42" s="244"/>
      <c r="C42" s="244"/>
      <c r="D42" s="244"/>
      <c r="E42" s="244"/>
      <c r="F42" s="244"/>
      <c r="G42" s="244"/>
      <c r="H42" s="244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4"/>
      <c r="B43" s="244"/>
      <c r="C43" s="244"/>
      <c r="D43" s="244"/>
      <c r="E43" s="244"/>
      <c r="F43" s="244"/>
      <c r="G43" s="244"/>
      <c r="H43" s="244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4"/>
      <c r="B44" s="244"/>
      <c r="C44" s="244"/>
      <c r="D44" s="244"/>
      <c r="E44" s="244"/>
      <c r="F44" s="244"/>
      <c r="G44" s="244"/>
      <c r="H44" s="244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4"/>
      <c r="B45" s="244"/>
      <c r="C45" s="244"/>
      <c r="D45" s="244"/>
      <c r="E45" s="244"/>
      <c r="F45" s="244"/>
      <c r="G45" s="244"/>
      <c r="H45" s="244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4"/>
      <c r="B46" s="244"/>
      <c r="C46" s="244"/>
      <c r="D46" s="244"/>
      <c r="E46" s="244"/>
      <c r="F46" s="244"/>
      <c r="G46" s="244"/>
      <c r="H46" s="244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4"/>
      <c r="B47" s="244"/>
      <c r="C47" s="244"/>
      <c r="D47" s="244"/>
      <c r="E47" s="244"/>
      <c r="F47" s="244"/>
      <c r="G47" s="244"/>
      <c r="H47" s="244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4"/>
      <c r="B48" s="244"/>
      <c r="C48" s="244"/>
      <c r="D48" s="244"/>
      <c r="E48" s="244"/>
      <c r="F48" s="244"/>
      <c r="G48" s="244"/>
      <c r="H48" s="244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4"/>
      <c r="B49" s="244"/>
      <c r="C49" s="244"/>
      <c r="D49" s="244"/>
      <c r="E49" s="244"/>
      <c r="F49" s="244"/>
      <c r="G49" s="244"/>
      <c r="H49" s="244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4"/>
      <c r="B50" s="244"/>
      <c r="C50" s="244"/>
      <c r="D50" s="244"/>
      <c r="E50" s="244"/>
      <c r="F50" s="244"/>
      <c r="G50" s="244"/>
      <c r="H50" s="244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4"/>
      <c r="B51" s="244"/>
      <c r="C51" s="244"/>
      <c r="D51" s="244"/>
      <c r="E51" s="244"/>
      <c r="F51" s="244"/>
      <c r="G51" s="244"/>
      <c r="H51" s="244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4"/>
      <c r="B52" s="244"/>
      <c r="C52" s="244"/>
      <c r="D52" s="244"/>
      <c r="E52" s="244"/>
      <c r="F52" s="244"/>
      <c r="G52" s="244"/>
      <c r="H52" s="244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4"/>
      <c r="B53" s="244"/>
      <c r="C53" s="244"/>
      <c r="D53" s="244"/>
      <c r="E53" s="244"/>
      <c r="F53" s="244"/>
      <c r="G53" s="244"/>
      <c r="H53" s="244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4"/>
      <c r="B54" s="244"/>
      <c r="C54" s="244"/>
      <c r="D54" s="244"/>
      <c r="E54" s="244"/>
      <c r="F54" s="244"/>
      <c r="G54" s="244"/>
      <c r="H54" s="244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4"/>
      <c r="B55" s="244"/>
      <c r="C55" s="244"/>
      <c r="D55" s="244"/>
      <c r="E55" s="244"/>
      <c r="F55" s="244"/>
      <c r="G55" s="244"/>
      <c r="H55" s="244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4"/>
      <c r="B56" s="244"/>
      <c r="C56" s="244"/>
      <c r="D56" s="244"/>
      <c r="E56" s="244"/>
      <c r="F56" s="244"/>
      <c r="G56" s="244"/>
      <c r="H56" s="244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4"/>
      <c r="B57" s="244"/>
      <c r="C57" s="244"/>
      <c r="D57" s="244"/>
      <c r="E57" s="244"/>
      <c r="F57" s="244"/>
      <c r="G57" s="244"/>
      <c r="H57" s="244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4"/>
      <c r="B58" s="244"/>
      <c r="C58" s="244"/>
      <c r="D58" s="244"/>
      <c r="E58" s="244"/>
      <c r="F58" s="244"/>
      <c r="G58" s="244"/>
      <c r="H58" s="244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4"/>
      <c r="B59" s="244"/>
      <c r="C59" s="244"/>
      <c r="D59" s="244"/>
      <c r="E59" s="244"/>
      <c r="F59" s="244"/>
      <c r="G59" s="244"/>
      <c r="H59" s="244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4"/>
      <c r="B60" s="244"/>
      <c r="C60" s="244"/>
      <c r="D60" s="244"/>
      <c r="E60" s="244"/>
      <c r="F60" s="244"/>
      <c r="G60" s="244"/>
      <c r="H60" s="244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4"/>
      <c r="B61" s="244"/>
      <c r="C61" s="244"/>
      <c r="D61" s="244"/>
      <c r="E61" s="244"/>
      <c r="F61" s="244"/>
      <c r="G61" s="244"/>
      <c r="H61" s="244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4"/>
      <c r="B62" s="244"/>
      <c r="C62" s="244"/>
      <c r="D62" s="244"/>
      <c r="E62" s="244"/>
      <c r="F62" s="244"/>
      <c r="G62" s="244"/>
      <c r="H62" s="244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4"/>
      <c r="B63" s="244"/>
      <c r="C63" s="244"/>
      <c r="D63" s="244"/>
      <c r="E63" s="244"/>
      <c r="F63" s="244"/>
      <c r="G63" s="244"/>
      <c r="H63" s="244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4"/>
      <c r="B64" s="244"/>
      <c r="C64" s="244"/>
      <c r="D64" s="244"/>
      <c r="E64" s="244"/>
      <c r="F64" s="244"/>
      <c r="G64" s="244"/>
      <c r="H64" s="244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4"/>
      <c r="B65" s="244"/>
      <c r="C65" s="244"/>
      <c r="D65" s="244"/>
      <c r="E65" s="244"/>
      <c r="F65" s="244"/>
      <c r="G65" s="244"/>
      <c r="H65" s="244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4"/>
      <c r="B66" s="244"/>
      <c r="C66" s="244"/>
      <c r="D66" s="244"/>
      <c r="E66" s="244"/>
      <c r="F66" s="244"/>
      <c r="G66" s="244"/>
      <c r="H66" s="244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4"/>
      <c r="B67" s="244"/>
      <c r="C67" s="244"/>
      <c r="D67" s="244"/>
      <c r="E67" s="244"/>
      <c r="F67" s="244"/>
      <c r="G67" s="244"/>
      <c r="H67" s="244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4"/>
      <c r="B68" s="244"/>
      <c r="C68" s="244"/>
      <c r="D68" s="244"/>
      <c r="E68" s="244"/>
      <c r="F68" s="244"/>
      <c r="G68" s="244"/>
      <c r="H68" s="244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4"/>
      <c r="B69" s="244"/>
      <c r="C69" s="244"/>
      <c r="D69" s="244"/>
      <c r="E69" s="244"/>
      <c r="F69" s="244"/>
      <c r="G69" s="244"/>
      <c r="H69" s="244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4"/>
      <c r="B70" s="244"/>
      <c r="C70" s="244"/>
      <c r="D70" s="244"/>
      <c r="E70" s="244"/>
      <c r="F70" s="244"/>
      <c r="G70" s="244"/>
      <c r="H70" s="244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4"/>
      <c r="B71" s="244"/>
      <c r="C71" s="244"/>
      <c r="D71" s="244"/>
      <c r="E71" s="244"/>
      <c r="F71" s="244"/>
      <c r="G71" s="244"/>
      <c r="H71" s="244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4"/>
      <c r="B72" s="244"/>
      <c r="C72" s="244"/>
      <c r="D72" s="244"/>
      <c r="E72" s="244"/>
      <c r="F72" s="244"/>
      <c r="G72" s="244"/>
      <c r="H72" s="244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4"/>
      <c r="B73" s="244"/>
      <c r="C73" s="244"/>
      <c r="D73" s="244"/>
      <c r="E73" s="244"/>
      <c r="F73" s="244"/>
      <c r="G73" s="244"/>
      <c r="H73" s="244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4"/>
      <c r="B74" s="244"/>
      <c r="C74" s="244"/>
      <c r="D74" s="244"/>
      <c r="E74" s="244"/>
      <c r="F74" s="244"/>
      <c r="G74" s="244"/>
      <c r="H74" s="244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4"/>
      <c r="B75" s="244"/>
      <c r="C75" s="244"/>
      <c r="D75" s="244"/>
      <c r="E75" s="244"/>
      <c r="F75" s="244"/>
      <c r="G75" s="244"/>
      <c r="H75" s="244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4"/>
      <c r="B76" s="244"/>
      <c r="C76" s="244"/>
      <c r="D76" s="244"/>
      <c r="E76" s="244"/>
      <c r="F76" s="244"/>
      <c r="G76" s="244"/>
      <c r="H76" s="244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4"/>
      <c r="B77" s="244"/>
      <c r="C77" s="244"/>
      <c r="D77" s="244"/>
      <c r="E77" s="244"/>
      <c r="F77" s="244"/>
      <c r="G77" s="244"/>
      <c r="H77" s="244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4"/>
      <c r="B78" s="244"/>
      <c r="C78" s="244"/>
      <c r="D78" s="244"/>
      <c r="E78" s="244"/>
      <c r="F78" s="244"/>
      <c r="G78" s="244"/>
      <c r="H78" s="244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4"/>
      <c r="B79" s="244"/>
      <c r="C79" s="244"/>
      <c r="D79" s="244"/>
      <c r="E79" s="244"/>
      <c r="F79" s="244"/>
      <c r="G79" s="244"/>
      <c r="H79" s="244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4"/>
      <c r="B80" s="244"/>
      <c r="C80" s="244"/>
      <c r="D80" s="244"/>
      <c r="E80" s="244"/>
      <c r="F80" s="244"/>
      <c r="G80" s="244"/>
      <c r="H80" s="244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4"/>
      <c r="B81" s="244"/>
      <c r="C81" s="244"/>
      <c r="D81" s="244"/>
      <c r="E81" s="244"/>
      <c r="F81" s="244"/>
      <c r="G81" s="244"/>
      <c r="H81" s="244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4"/>
      <c r="B82" s="244"/>
      <c r="C82" s="244"/>
      <c r="D82" s="244"/>
      <c r="E82" s="244"/>
      <c r="F82" s="244"/>
      <c r="G82" s="244"/>
      <c r="H82" s="244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4"/>
      <c r="B83" s="244"/>
      <c r="C83" s="244"/>
      <c r="D83" s="244"/>
      <c r="E83" s="244"/>
      <c r="F83" s="244"/>
      <c r="G83" s="244"/>
      <c r="H83" s="244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4"/>
      <c r="B84" s="244"/>
      <c r="C84" s="244"/>
      <c r="D84" s="244"/>
      <c r="E84" s="244"/>
      <c r="F84" s="244"/>
      <c r="G84" s="244"/>
      <c r="H84" s="244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4"/>
      <c r="B85" s="244"/>
      <c r="C85" s="244"/>
      <c r="D85" s="244"/>
      <c r="E85" s="244"/>
      <c r="F85" s="244"/>
      <c r="G85" s="244"/>
      <c r="H85" s="244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4"/>
      <c r="B86" s="244"/>
      <c r="C86" s="244"/>
      <c r="D86" s="244"/>
      <c r="E86" s="244"/>
      <c r="F86" s="244"/>
      <c r="G86" s="244"/>
      <c r="H86" s="244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4"/>
      <c r="B87" s="244"/>
      <c r="C87" s="244"/>
      <c r="D87" s="244"/>
      <c r="E87" s="244"/>
      <c r="F87" s="244"/>
      <c r="G87" s="244"/>
      <c r="H87" s="244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4"/>
      <c r="B88" s="244"/>
      <c r="C88" s="244"/>
      <c r="D88" s="244"/>
      <c r="E88" s="244"/>
      <c r="F88" s="244"/>
      <c r="G88" s="244"/>
      <c r="H88" s="244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4"/>
      <c r="B89" s="244"/>
      <c r="C89" s="244"/>
      <c r="D89" s="244"/>
      <c r="E89" s="244"/>
      <c r="F89" s="244"/>
      <c r="G89" s="244"/>
      <c r="H89" s="244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4"/>
      <c r="B90" s="244"/>
      <c r="C90" s="244"/>
      <c r="D90" s="244"/>
      <c r="E90" s="244"/>
      <c r="F90" s="244"/>
      <c r="G90" s="244"/>
      <c r="H90" s="244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4"/>
      <c r="B91" s="244"/>
      <c r="C91" s="244"/>
      <c r="D91" s="244"/>
      <c r="E91" s="244"/>
      <c r="F91" s="244"/>
      <c r="G91" s="244"/>
      <c r="H91" s="244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4"/>
      <c r="B92" s="244"/>
      <c r="C92" s="244"/>
      <c r="D92" s="244"/>
      <c r="E92" s="244"/>
      <c r="F92" s="244"/>
      <c r="G92" s="244"/>
      <c r="H92" s="244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4"/>
      <c r="B93" s="244"/>
      <c r="C93" s="244"/>
      <c r="D93" s="244"/>
      <c r="E93" s="244"/>
      <c r="F93" s="244"/>
      <c r="G93" s="244"/>
      <c r="H93" s="244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4"/>
      <c r="B94" s="244"/>
      <c r="C94" s="244"/>
      <c r="D94" s="244"/>
      <c r="E94" s="244"/>
      <c r="F94" s="244"/>
      <c r="G94" s="244"/>
      <c r="H94" s="244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4"/>
      <c r="B95" s="244"/>
      <c r="C95" s="244"/>
      <c r="D95" s="244"/>
      <c r="E95" s="244"/>
      <c r="F95" s="244"/>
      <c r="G95" s="244"/>
      <c r="H95" s="244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4"/>
      <c r="B96" s="244"/>
      <c r="C96" s="244"/>
      <c r="D96" s="244"/>
      <c r="E96" s="244"/>
      <c r="F96" s="244"/>
      <c r="G96" s="244"/>
      <c r="H96" s="244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4"/>
      <c r="B97" s="244"/>
      <c r="C97" s="244"/>
      <c r="D97" s="244"/>
      <c r="E97" s="244"/>
      <c r="F97" s="244"/>
      <c r="G97" s="244"/>
      <c r="H97" s="244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4"/>
      <c r="B98" s="244"/>
      <c r="C98" s="244"/>
      <c r="D98" s="244"/>
      <c r="E98" s="244"/>
      <c r="F98" s="244"/>
      <c r="G98" s="244"/>
      <c r="H98" s="244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4"/>
      <c r="B99" s="244"/>
      <c r="C99" s="244"/>
      <c r="D99" s="244"/>
      <c r="E99" s="244"/>
      <c r="F99" s="244"/>
      <c r="G99" s="244"/>
      <c r="H99" s="244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2" t="s">
        <v>628</v>
      </c>
      <c r="B1" s="271"/>
      <c r="C1" s="271"/>
      <c r="D1" s="271"/>
      <c r="E1" s="271"/>
      <c r="F1" s="271"/>
    </row>
    <row r="2" spans="1:6" ht="18" customHeight="1" x14ac:dyDescent="0.25">
      <c r="A2" s="281" t="s">
        <v>629</v>
      </c>
      <c r="B2" s="271"/>
      <c r="C2" s="271"/>
      <c r="D2" s="271"/>
      <c r="E2" s="271"/>
      <c r="F2" s="271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6" t="s">
        <v>630</v>
      </c>
      <c r="B4" s="271"/>
      <c r="C4" s="271"/>
      <c r="D4" s="271"/>
      <c r="E4" s="271"/>
      <c r="F4" s="271"/>
    </row>
    <row r="5" spans="1:6" ht="15.95" customHeight="1" x14ac:dyDescent="0.25">
      <c r="A5" s="279" t="s">
        <v>631</v>
      </c>
      <c r="B5" s="271"/>
      <c r="C5" s="271"/>
      <c r="D5" s="271"/>
      <c r="E5" s="271"/>
      <c r="F5" s="271"/>
    </row>
    <row r="6" spans="1:6" ht="18" customHeight="1" x14ac:dyDescent="0.25">
      <c r="A6" s="94" t="s">
        <v>632</v>
      </c>
      <c r="B6" s="95" t="s">
        <v>633</v>
      </c>
      <c r="C6" s="95" t="s">
        <v>634</v>
      </c>
      <c r="D6" s="95" t="s">
        <v>635</v>
      </c>
      <c r="E6" s="95" t="s">
        <v>636</v>
      </c>
      <c r="F6" s="95" t="s">
        <v>436</v>
      </c>
    </row>
    <row r="7" spans="1:6" ht="24" customHeight="1" x14ac:dyDescent="0.25">
      <c r="A7" s="118" t="s">
        <v>637</v>
      </c>
      <c r="B7" s="92" t="s">
        <v>638</v>
      </c>
      <c r="C7" s="92" t="s">
        <v>639</v>
      </c>
      <c r="D7" s="92" t="s">
        <v>640</v>
      </c>
      <c r="E7" s="92" t="s">
        <v>641</v>
      </c>
      <c r="F7" s="92" t="s">
        <v>642</v>
      </c>
    </row>
    <row r="8" spans="1:6" s="85" customFormat="1" x14ac:dyDescent="0.25">
      <c r="A8" s="119" t="s">
        <v>643</v>
      </c>
      <c r="B8" s="99" t="s">
        <v>644</v>
      </c>
      <c r="C8" s="99" t="s">
        <v>639</v>
      </c>
      <c r="D8" s="99" t="s">
        <v>645</v>
      </c>
      <c r="E8" s="99" t="s">
        <v>646</v>
      </c>
      <c r="F8" s="99" t="s">
        <v>647</v>
      </c>
    </row>
    <row r="9" spans="1:6" s="85" customFormat="1" x14ac:dyDescent="0.25">
      <c r="A9" s="118" t="s">
        <v>648</v>
      </c>
      <c r="B9" s="92" t="s">
        <v>649</v>
      </c>
      <c r="C9" s="92" t="s">
        <v>650</v>
      </c>
      <c r="D9" s="92" t="s">
        <v>651</v>
      </c>
      <c r="E9" s="92" t="s">
        <v>652</v>
      </c>
      <c r="F9" s="92" t="s">
        <v>653</v>
      </c>
    </row>
    <row r="10" spans="1:6" s="85" customFormat="1" ht="24" customHeight="1" x14ac:dyDescent="0.25">
      <c r="A10" s="98"/>
      <c r="B10" s="99" t="s">
        <v>654</v>
      </c>
      <c r="C10" s="99" t="s">
        <v>655</v>
      </c>
      <c r="D10" s="99" t="s">
        <v>646</v>
      </c>
      <c r="E10" s="99" t="s">
        <v>656</v>
      </c>
      <c r="F10" s="99" t="s">
        <v>657</v>
      </c>
    </row>
    <row r="11" spans="1:6" x14ac:dyDescent="0.25">
      <c r="A11" s="91"/>
      <c r="B11" s="92" t="s">
        <v>658</v>
      </c>
      <c r="C11" s="92" t="s">
        <v>659</v>
      </c>
      <c r="D11" s="92" t="s">
        <v>660</v>
      </c>
      <c r="E11" s="92" t="s">
        <v>661</v>
      </c>
      <c r="F11" s="92" t="s">
        <v>662</v>
      </c>
    </row>
    <row r="12" spans="1:6" x14ac:dyDescent="0.25">
      <c r="A12" s="98"/>
      <c r="B12" s="99" t="s">
        <v>663</v>
      </c>
      <c r="C12" s="99" t="s">
        <v>664</v>
      </c>
      <c r="D12" s="99" t="s">
        <v>665</v>
      </c>
      <c r="E12" s="99" t="s">
        <v>666</v>
      </c>
      <c r="F12" s="99" t="s">
        <v>667</v>
      </c>
    </row>
    <row r="13" spans="1:6" ht="24" customHeight="1" x14ac:dyDescent="0.25">
      <c r="A13" s="91"/>
      <c r="B13" s="92" t="s">
        <v>668</v>
      </c>
      <c r="C13" s="92" t="s">
        <v>669</v>
      </c>
      <c r="D13" s="92" t="s">
        <v>670</v>
      </c>
      <c r="E13" s="92" t="s">
        <v>671</v>
      </c>
      <c r="F13" s="92" t="s">
        <v>672</v>
      </c>
    </row>
    <row r="14" spans="1:6" x14ac:dyDescent="0.25">
      <c r="A14" s="98"/>
      <c r="B14" s="99" t="s">
        <v>673</v>
      </c>
      <c r="C14" s="99" t="s">
        <v>674</v>
      </c>
      <c r="D14" s="99" t="s">
        <v>675</v>
      </c>
      <c r="E14" s="99" t="s">
        <v>676</v>
      </c>
      <c r="F14" s="99" t="s">
        <v>677</v>
      </c>
    </row>
    <row r="15" spans="1:6" s="85" customFormat="1" ht="24" customHeight="1" x14ac:dyDescent="0.25">
      <c r="A15" s="118" t="s">
        <v>678</v>
      </c>
      <c r="B15" s="92" t="s">
        <v>679</v>
      </c>
      <c r="C15" s="92" t="s">
        <v>680</v>
      </c>
      <c r="D15" s="92"/>
      <c r="E15" s="92" t="s">
        <v>681</v>
      </c>
      <c r="F15" s="92" t="s">
        <v>682</v>
      </c>
    </row>
    <row r="16" spans="1:6" ht="24" customHeight="1" x14ac:dyDescent="0.25">
      <c r="A16" s="119" t="s">
        <v>683</v>
      </c>
      <c r="B16" s="99" t="s">
        <v>684</v>
      </c>
      <c r="C16" s="99" t="s">
        <v>639</v>
      </c>
      <c r="D16" s="99" t="s">
        <v>685</v>
      </c>
      <c r="E16" s="99" t="s">
        <v>686</v>
      </c>
      <c r="F16" s="99" t="s">
        <v>687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79" t="s">
        <v>688</v>
      </c>
      <c r="B18" s="280"/>
      <c r="C18" s="280"/>
      <c r="D18" s="280"/>
      <c r="E18" s="280"/>
      <c r="F18" s="280"/>
    </row>
    <row r="19" spans="1:6" s="85" customFormat="1" ht="15.95" customHeight="1" x14ac:dyDescent="0.25">
      <c r="A19" s="279" t="s">
        <v>689</v>
      </c>
      <c r="B19" s="280"/>
      <c r="C19" s="280"/>
      <c r="D19" s="280"/>
      <c r="E19" s="280"/>
      <c r="F19" s="280"/>
    </row>
    <row r="20" spans="1:6" s="85" customFormat="1" ht="15.95" customHeight="1" x14ac:dyDescent="0.25">
      <c r="A20" s="279" t="s">
        <v>690</v>
      </c>
      <c r="B20" s="280"/>
      <c r="C20" s="280"/>
      <c r="D20" s="280"/>
      <c r="E20" s="280"/>
      <c r="F20" s="280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6" t="s">
        <v>691</v>
      </c>
      <c r="B22" s="271"/>
      <c r="C22" s="271"/>
      <c r="D22" s="271"/>
      <c r="E22" s="271"/>
      <c r="F22" s="271"/>
    </row>
    <row r="23" spans="1:6" ht="18" customHeight="1" x14ac:dyDescent="0.25">
      <c r="A23" s="94" t="s">
        <v>692</v>
      </c>
      <c r="B23" s="95" t="s">
        <v>693</v>
      </c>
      <c r="C23" s="95" t="s">
        <v>436</v>
      </c>
      <c r="D23" s="95" t="s">
        <v>694</v>
      </c>
      <c r="E23" s="95"/>
      <c r="F23" s="95"/>
    </row>
    <row r="24" spans="1:6" ht="24" customHeight="1" x14ac:dyDescent="0.25">
      <c r="A24" s="91" t="s">
        <v>695</v>
      </c>
      <c r="B24" s="92" t="s">
        <v>696</v>
      </c>
      <c r="C24" s="92" t="s">
        <v>697</v>
      </c>
      <c r="D24" s="92" t="s">
        <v>698</v>
      </c>
      <c r="E24" s="92"/>
      <c r="F24" s="92"/>
    </row>
    <row r="25" spans="1:6" ht="24" customHeight="1" x14ac:dyDescent="0.25">
      <c r="A25" s="98" t="s">
        <v>699</v>
      </c>
      <c r="B25" s="99" t="s">
        <v>700</v>
      </c>
      <c r="C25" s="99" t="s">
        <v>701</v>
      </c>
      <c r="D25" s="99" t="s">
        <v>702</v>
      </c>
      <c r="E25" s="99"/>
      <c r="F25" s="99"/>
    </row>
    <row r="26" spans="1:6" x14ac:dyDescent="0.25">
      <c r="A26" s="91" t="s">
        <v>703</v>
      </c>
      <c r="B26" s="92" t="s">
        <v>704</v>
      </c>
      <c r="C26" s="92" t="s">
        <v>705</v>
      </c>
      <c r="D26" s="92" t="s">
        <v>702</v>
      </c>
      <c r="E26" s="92"/>
      <c r="F26" s="92"/>
    </row>
    <row r="27" spans="1:6" ht="24" customHeight="1" x14ac:dyDescent="0.25">
      <c r="A27" s="98" t="s">
        <v>706</v>
      </c>
      <c r="B27" s="99" t="s">
        <v>707</v>
      </c>
      <c r="C27" s="99" t="s">
        <v>708</v>
      </c>
      <c r="D27" s="99" t="s">
        <v>702</v>
      </c>
      <c r="E27" s="99"/>
      <c r="F27" s="99"/>
    </row>
    <row r="28" spans="1:6" x14ac:dyDescent="0.25">
      <c r="A28" s="91" t="s">
        <v>709</v>
      </c>
      <c r="B28" s="92" t="s">
        <v>710</v>
      </c>
      <c r="C28" s="92" t="s">
        <v>711</v>
      </c>
      <c r="D28" s="92" t="s">
        <v>702</v>
      </c>
      <c r="E28" s="92"/>
      <c r="F28" s="92"/>
    </row>
    <row r="29" spans="1:6" x14ac:dyDescent="0.25">
      <c r="A29" s="98" t="s">
        <v>712</v>
      </c>
      <c r="B29" s="99" t="s">
        <v>713</v>
      </c>
      <c r="C29" s="99" t="s">
        <v>714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6" t="s">
        <v>715</v>
      </c>
      <c r="B31" s="271"/>
      <c r="C31" s="271"/>
      <c r="D31" s="271"/>
      <c r="E31" s="271"/>
      <c r="F31" s="271"/>
    </row>
    <row r="32" spans="1:6" ht="18" customHeight="1" x14ac:dyDescent="0.25">
      <c r="A32" s="94" t="s">
        <v>716</v>
      </c>
      <c r="B32" s="95" t="s">
        <v>127</v>
      </c>
      <c r="C32" s="95" t="s">
        <v>717</v>
      </c>
      <c r="D32" s="95"/>
      <c r="E32" s="95"/>
      <c r="F32" s="95"/>
    </row>
    <row r="33" spans="1:6" ht="24" customHeight="1" x14ac:dyDescent="0.25">
      <c r="A33" s="91" t="s">
        <v>702</v>
      </c>
      <c r="B33" s="92" t="s">
        <v>718</v>
      </c>
      <c r="C33" s="92" t="s">
        <v>719</v>
      </c>
      <c r="D33" s="92"/>
      <c r="E33" s="92"/>
      <c r="F33" s="92"/>
    </row>
    <row r="34" spans="1:6" x14ac:dyDescent="0.25">
      <c r="A34" s="98" t="s">
        <v>720</v>
      </c>
      <c r="B34" s="99" t="s">
        <v>721</v>
      </c>
      <c r="C34" s="99" t="s">
        <v>722</v>
      </c>
      <c r="D34" s="99"/>
      <c r="E34" s="99"/>
      <c r="F34" s="99"/>
    </row>
    <row r="35" spans="1:6" x14ac:dyDescent="0.25">
      <c r="A35" s="91" t="s">
        <v>723</v>
      </c>
      <c r="B35" s="92" t="s">
        <v>724</v>
      </c>
      <c r="C35" s="92" t="s">
        <v>725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564</v>
      </c>
      <c r="B37" s="95" t="s">
        <v>508</v>
      </c>
      <c r="C37" s="95"/>
      <c r="D37" s="95"/>
      <c r="E37" s="95"/>
      <c r="F37" s="95"/>
    </row>
    <row r="38" spans="1:6" ht="24" customHeight="1" x14ac:dyDescent="0.25">
      <c r="A38" s="91" t="s">
        <v>726</v>
      </c>
      <c r="B38" s="92" t="s">
        <v>727</v>
      </c>
      <c r="C38" s="92"/>
      <c r="D38" s="92"/>
      <c r="E38" s="92"/>
      <c r="F38" s="92"/>
    </row>
    <row r="39" spans="1:6" ht="36" customHeight="1" x14ac:dyDescent="0.25">
      <c r="A39" s="98" t="s">
        <v>728</v>
      </c>
      <c r="B39" s="99" t="s">
        <v>729</v>
      </c>
      <c r="C39" s="99"/>
      <c r="D39" s="99"/>
      <c r="E39" s="99"/>
      <c r="F39" s="99"/>
    </row>
    <row r="40" spans="1:6" ht="24" customHeight="1" x14ac:dyDescent="0.25">
      <c r="A40" s="91" t="s">
        <v>730</v>
      </c>
      <c r="B40" s="92" t="s">
        <v>731</v>
      </c>
      <c r="C40" s="92"/>
      <c r="D40" s="92"/>
      <c r="E40" s="92"/>
      <c r="F40" s="92"/>
    </row>
    <row r="41" spans="1:6" ht="24" customHeight="1" x14ac:dyDescent="0.25">
      <c r="A41" s="98" t="s">
        <v>231</v>
      </c>
      <c r="B41" s="99" t="s">
        <v>732</v>
      </c>
      <c r="C41" s="99"/>
      <c r="D41" s="99"/>
      <c r="E41" s="99"/>
      <c r="F41" s="99"/>
    </row>
    <row r="42" spans="1:6" ht="24" customHeight="1" x14ac:dyDescent="0.25">
      <c r="A42" s="91" t="s">
        <v>733</v>
      </c>
      <c r="B42" s="92" t="s">
        <v>734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6" t="s">
        <v>735</v>
      </c>
      <c r="B44" s="271"/>
      <c r="C44" s="271"/>
      <c r="D44" s="271"/>
      <c r="E44" s="271"/>
      <c r="F44" s="271"/>
    </row>
    <row r="45" spans="1:6" ht="18" customHeight="1" x14ac:dyDescent="0.25">
      <c r="A45" s="94" t="s">
        <v>736</v>
      </c>
      <c r="B45" s="95" t="s">
        <v>737</v>
      </c>
      <c r="C45" s="95" t="s">
        <v>738</v>
      </c>
      <c r="D45" s="95"/>
      <c r="E45" s="95"/>
      <c r="F45" s="95"/>
    </row>
    <row r="46" spans="1:6" ht="36" customHeight="1" x14ac:dyDescent="0.25">
      <c r="A46" s="91" t="s">
        <v>739</v>
      </c>
      <c r="B46" s="92" t="s">
        <v>740</v>
      </c>
      <c r="C46" s="92" t="s">
        <v>741</v>
      </c>
      <c r="D46" s="92"/>
      <c r="E46" s="92"/>
      <c r="F46" s="92"/>
    </row>
    <row r="47" spans="1:6" ht="36" customHeight="1" x14ac:dyDescent="0.25">
      <c r="A47" s="98" t="s">
        <v>742</v>
      </c>
      <c r="B47" s="99" t="s">
        <v>743</v>
      </c>
      <c r="C47" s="99" t="s">
        <v>744</v>
      </c>
      <c r="D47" s="99"/>
      <c r="E47" s="99"/>
      <c r="F47" s="99"/>
    </row>
    <row r="48" spans="1:6" ht="48" customHeight="1" x14ac:dyDescent="0.25">
      <c r="A48" s="91" t="s">
        <v>745</v>
      </c>
      <c r="B48" s="92" t="s">
        <v>746</v>
      </c>
      <c r="C48" s="92"/>
      <c r="D48" s="92"/>
      <c r="E48" s="92"/>
      <c r="F48" s="92"/>
    </row>
    <row r="49" spans="1:6" ht="24" customHeight="1" x14ac:dyDescent="0.25">
      <c r="A49" s="98" t="s">
        <v>747</v>
      </c>
      <c r="B49" s="99" t="s">
        <v>748</v>
      </c>
      <c r="C49" s="99"/>
      <c r="D49" s="99"/>
      <c r="E49" s="99"/>
      <c r="F49" s="99"/>
    </row>
    <row r="50" spans="1:6" ht="24" customHeight="1" x14ac:dyDescent="0.25">
      <c r="A50" s="91" t="s">
        <v>749</v>
      </c>
      <c r="B50" s="92" t="s">
        <v>750</v>
      </c>
      <c r="C50" s="92"/>
      <c r="D50" s="92"/>
      <c r="E50" s="92"/>
      <c r="F50" s="92"/>
    </row>
    <row r="51" spans="1:6" ht="24" customHeight="1" x14ac:dyDescent="0.25">
      <c r="A51" s="98" t="s">
        <v>751</v>
      </c>
      <c r="B51" s="99" t="s">
        <v>752</v>
      </c>
      <c r="C51" s="99" t="s">
        <v>753</v>
      </c>
      <c r="D51" s="99"/>
      <c r="E51" s="99"/>
      <c r="F51" s="99"/>
    </row>
    <row r="52" spans="1:6" ht="24" customHeight="1" x14ac:dyDescent="0.25">
      <c r="A52" s="91" t="s">
        <v>754</v>
      </c>
      <c r="B52" s="92" t="s">
        <v>755</v>
      </c>
      <c r="C52" s="92" t="s">
        <v>756</v>
      </c>
      <c r="D52" s="92"/>
      <c r="E52" s="92"/>
      <c r="F52" s="92"/>
    </row>
    <row r="53" spans="1:6" ht="36" customHeight="1" x14ac:dyDescent="0.25">
      <c r="A53" s="98" t="s">
        <v>757</v>
      </c>
      <c r="B53" s="99" t="s">
        <v>758</v>
      </c>
      <c r="C53" s="99"/>
      <c r="D53" s="99"/>
      <c r="E53" s="99"/>
      <c r="F53" s="99"/>
    </row>
    <row r="54" spans="1:6" ht="24" customHeight="1" x14ac:dyDescent="0.25">
      <c r="A54" s="91" t="s">
        <v>759</v>
      </c>
      <c r="B54" s="92" t="s">
        <v>760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6" t="s">
        <v>761</v>
      </c>
      <c r="B56" s="271"/>
      <c r="C56" s="271"/>
      <c r="D56" s="271"/>
      <c r="E56" s="271"/>
      <c r="F56" s="271"/>
    </row>
    <row r="57" spans="1:6" ht="18" customHeight="1" x14ac:dyDescent="0.25">
      <c r="A57" s="94" t="s">
        <v>634</v>
      </c>
      <c r="B57" s="95" t="s">
        <v>762</v>
      </c>
      <c r="C57" s="95" t="s">
        <v>737</v>
      </c>
      <c r="D57" s="95" t="s">
        <v>763</v>
      </c>
      <c r="E57" s="95"/>
      <c r="F57" s="95"/>
    </row>
    <row r="58" spans="1:6" ht="24" customHeight="1" x14ac:dyDescent="0.25">
      <c r="A58" s="91" t="s">
        <v>655</v>
      </c>
      <c r="B58" s="92" t="s">
        <v>764</v>
      </c>
      <c r="C58" s="92" t="s">
        <v>765</v>
      </c>
      <c r="D58" s="92" t="s">
        <v>766</v>
      </c>
      <c r="E58" s="92"/>
      <c r="F58" s="92"/>
    </row>
    <row r="59" spans="1:6" ht="24" customHeight="1" x14ac:dyDescent="0.25">
      <c r="A59" s="98" t="s">
        <v>659</v>
      </c>
      <c r="B59" s="99" t="s">
        <v>764</v>
      </c>
      <c r="C59" s="99" t="s">
        <v>767</v>
      </c>
      <c r="D59" s="99" t="s">
        <v>766</v>
      </c>
      <c r="E59" s="99"/>
      <c r="F59" s="99"/>
    </row>
    <row r="60" spans="1:6" x14ac:dyDescent="0.25">
      <c r="A60" s="91" t="s">
        <v>664</v>
      </c>
      <c r="B60" s="92" t="s">
        <v>764</v>
      </c>
      <c r="C60" s="92" t="s">
        <v>768</v>
      </c>
      <c r="D60" s="92" t="s">
        <v>766</v>
      </c>
      <c r="E60" s="92"/>
      <c r="F60" s="92"/>
    </row>
    <row r="61" spans="1:6" ht="24" customHeight="1" x14ac:dyDescent="0.25">
      <c r="A61" s="98" t="s">
        <v>669</v>
      </c>
      <c r="B61" s="99" t="s">
        <v>764</v>
      </c>
      <c r="C61" s="99" t="s">
        <v>769</v>
      </c>
      <c r="D61" s="99" t="s">
        <v>770</v>
      </c>
      <c r="E61" s="99"/>
      <c r="F61" s="99"/>
    </row>
    <row r="62" spans="1:6" ht="24" customHeight="1" x14ac:dyDescent="0.25">
      <c r="A62" s="91" t="s">
        <v>674</v>
      </c>
      <c r="B62" s="92" t="s">
        <v>764</v>
      </c>
      <c r="C62" s="92" t="s">
        <v>771</v>
      </c>
      <c r="D62" s="92" t="s">
        <v>770</v>
      </c>
      <c r="E62" s="92"/>
      <c r="F62" s="92"/>
    </row>
    <row r="63" spans="1:6" ht="24" customHeight="1" x14ac:dyDescent="0.25">
      <c r="A63" s="98" t="s">
        <v>772</v>
      </c>
      <c r="B63" s="99" t="s">
        <v>764</v>
      </c>
      <c r="C63" s="99" t="s">
        <v>773</v>
      </c>
      <c r="D63" s="99" t="s">
        <v>770</v>
      </c>
      <c r="E63" s="99"/>
      <c r="F63" s="99"/>
    </row>
    <row r="64" spans="1:6" x14ac:dyDescent="0.25">
      <c r="A64" s="91" t="s">
        <v>650</v>
      </c>
      <c r="B64" s="92" t="s">
        <v>764</v>
      </c>
      <c r="C64" s="92" t="s">
        <v>774</v>
      </c>
      <c r="D64" s="92"/>
      <c r="E64" s="92"/>
      <c r="F64" s="92"/>
    </row>
    <row r="65" spans="1:6" ht="24" customHeight="1" x14ac:dyDescent="0.25">
      <c r="A65" s="98" t="s">
        <v>775</v>
      </c>
      <c r="B65" s="99" t="s">
        <v>764</v>
      </c>
      <c r="C65" s="99" t="s">
        <v>776</v>
      </c>
      <c r="D65" s="99"/>
      <c r="E65" s="99"/>
      <c r="F65" s="99"/>
    </row>
    <row r="66" spans="1:6" x14ac:dyDescent="0.25">
      <c r="A66" s="91" t="s">
        <v>777</v>
      </c>
      <c r="B66" s="92" t="s">
        <v>764</v>
      </c>
      <c r="C66" s="92" t="s">
        <v>778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6" t="s">
        <v>779</v>
      </c>
      <c r="B68" s="271"/>
      <c r="C68" s="271"/>
      <c r="D68" s="271"/>
      <c r="E68" s="271"/>
      <c r="F68" s="271"/>
    </row>
    <row r="69" spans="1:6" ht="18" customHeight="1" x14ac:dyDescent="0.25">
      <c r="A69" s="94" t="s">
        <v>564</v>
      </c>
      <c r="B69" s="95" t="s">
        <v>508</v>
      </c>
      <c r="C69" s="95"/>
      <c r="D69" s="95"/>
      <c r="E69" s="95"/>
      <c r="F69" s="95"/>
    </row>
    <row r="70" spans="1:6" ht="24" customHeight="1" x14ac:dyDescent="0.25">
      <c r="A70" s="91" t="s">
        <v>780</v>
      </c>
      <c r="B70" s="92" t="s">
        <v>781</v>
      </c>
      <c r="C70" s="92"/>
      <c r="D70" s="92"/>
      <c r="E70" s="92"/>
      <c r="F70" s="92"/>
    </row>
    <row r="71" spans="1:6" ht="36" customHeight="1" x14ac:dyDescent="0.25">
      <c r="A71" s="98" t="s">
        <v>782</v>
      </c>
      <c r="B71" s="99" t="s">
        <v>783</v>
      </c>
      <c r="C71" s="99"/>
      <c r="D71" s="99"/>
      <c r="E71" s="99"/>
      <c r="F71" s="99"/>
    </row>
    <row r="72" spans="1:6" ht="36" customHeight="1" x14ac:dyDescent="0.25">
      <c r="A72" s="91" t="s">
        <v>784</v>
      </c>
      <c r="B72" s="92" t="s">
        <v>785</v>
      </c>
      <c r="C72" s="92"/>
      <c r="D72" s="92"/>
      <c r="E72" s="92"/>
      <c r="F72" s="92"/>
    </row>
    <row r="73" spans="1:6" ht="36" customHeight="1" x14ac:dyDescent="0.25">
      <c r="A73" s="98" t="s">
        <v>786</v>
      </c>
      <c r="B73" s="99" t="s">
        <v>787</v>
      </c>
      <c r="C73" s="99"/>
      <c r="D73" s="99"/>
      <c r="E73" s="99"/>
      <c r="F73" s="99"/>
    </row>
    <row r="74" spans="1:6" ht="36" customHeight="1" x14ac:dyDescent="0.25">
      <c r="A74" s="91" t="s">
        <v>788</v>
      </c>
      <c r="B74" s="92" t="s">
        <v>789</v>
      </c>
      <c r="C74" s="92"/>
      <c r="D74" s="92"/>
      <c r="E74" s="92"/>
      <c r="F74" s="92"/>
    </row>
    <row r="75" spans="1:6" ht="24" customHeight="1" x14ac:dyDescent="0.25">
      <c r="A75" s="98" t="s">
        <v>790</v>
      </c>
      <c r="B75" s="99" t="s">
        <v>791</v>
      </c>
      <c r="C75" s="99"/>
      <c r="D75" s="99"/>
      <c r="E75" s="99"/>
      <c r="F75" s="99"/>
    </row>
    <row r="76" spans="1:6" ht="24" customHeight="1" x14ac:dyDescent="0.25">
      <c r="A76" s="91" t="s">
        <v>792</v>
      </c>
      <c r="B76" s="92" t="s">
        <v>793</v>
      </c>
      <c r="C76" s="92"/>
      <c r="D76" s="92"/>
      <c r="E76" s="92"/>
      <c r="F76" s="92"/>
    </row>
    <row r="77" spans="1:6" ht="24" customHeight="1" x14ac:dyDescent="0.25">
      <c r="A77" s="98" t="s">
        <v>794</v>
      </c>
      <c r="B77" s="99" t="s">
        <v>795</v>
      </c>
      <c r="C77" s="99"/>
      <c r="D77" s="99"/>
      <c r="E77" s="99"/>
      <c r="F77" s="99"/>
    </row>
    <row r="78" spans="1:6" ht="24" customHeight="1" x14ac:dyDescent="0.25">
      <c r="A78" s="91" t="s">
        <v>796</v>
      </c>
      <c r="B78" s="92" t="s">
        <v>797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6" t="s">
        <v>798</v>
      </c>
      <c r="B80" s="271"/>
      <c r="C80" s="271"/>
      <c r="D80" s="271"/>
      <c r="E80" s="271"/>
      <c r="F80" s="271"/>
    </row>
    <row r="81" spans="1:6" ht="18" customHeight="1" x14ac:dyDescent="0.25">
      <c r="A81" s="94" t="s">
        <v>564</v>
      </c>
      <c r="B81" s="95" t="s">
        <v>508</v>
      </c>
      <c r="C81" s="95"/>
      <c r="D81" s="95"/>
      <c r="E81" s="95"/>
      <c r="F81" s="95"/>
    </row>
    <row r="82" spans="1:6" ht="36" customHeight="1" x14ac:dyDescent="0.25">
      <c r="A82" s="91" t="s">
        <v>799</v>
      </c>
      <c r="B82" s="92" t="s">
        <v>800</v>
      </c>
      <c r="C82" s="92"/>
      <c r="D82" s="92"/>
      <c r="E82" s="92"/>
      <c r="F82" s="92"/>
    </row>
    <row r="83" spans="1:6" ht="24" customHeight="1" x14ac:dyDescent="0.25">
      <c r="A83" s="98" t="s">
        <v>801</v>
      </c>
      <c r="B83" s="99" t="s">
        <v>802</v>
      </c>
      <c r="C83" s="99"/>
      <c r="D83" s="99"/>
      <c r="E83" s="99"/>
      <c r="F83" s="99"/>
    </row>
    <row r="84" spans="1:6" ht="36" customHeight="1" x14ac:dyDescent="0.25">
      <c r="A84" s="91" t="s">
        <v>803</v>
      </c>
      <c r="B84" s="92" t="s">
        <v>804</v>
      </c>
      <c r="C84" s="92"/>
      <c r="D84" s="92"/>
      <c r="E84" s="92"/>
      <c r="F84" s="92"/>
    </row>
    <row r="85" spans="1:6" ht="36" customHeight="1" x14ac:dyDescent="0.25">
      <c r="A85" s="98" t="s">
        <v>805</v>
      </c>
      <c r="B85" s="99" t="s">
        <v>806</v>
      </c>
      <c r="C85" s="99"/>
      <c r="D85" s="99"/>
      <c r="E85" s="99"/>
      <c r="F85" s="99"/>
    </row>
    <row r="86" spans="1:6" ht="36" customHeight="1" x14ac:dyDescent="0.25">
      <c r="A86" s="91" t="s">
        <v>807</v>
      </c>
      <c r="B86" s="92" t="s">
        <v>808</v>
      </c>
      <c r="C86" s="92"/>
      <c r="D86" s="92"/>
      <c r="E86" s="92"/>
      <c r="F86" s="92"/>
    </row>
    <row r="87" spans="1:6" ht="24" customHeight="1" x14ac:dyDescent="0.25">
      <c r="A87" s="98" t="s">
        <v>809</v>
      </c>
      <c r="B87" s="99" t="s">
        <v>810</v>
      </c>
      <c r="C87" s="99"/>
      <c r="D87" s="99"/>
      <c r="E87" s="99"/>
      <c r="F87" s="99"/>
    </row>
    <row r="88" spans="1:6" ht="36" customHeight="1" x14ac:dyDescent="0.25">
      <c r="A88" s="91" t="s">
        <v>811</v>
      </c>
      <c r="B88" s="92" t="s">
        <v>812</v>
      </c>
      <c r="C88" s="92"/>
      <c r="D88" s="92"/>
      <c r="E88" s="92"/>
      <c r="F88" s="92"/>
    </row>
    <row r="89" spans="1:6" ht="36" customHeight="1" x14ac:dyDescent="0.25">
      <c r="A89" s="98" t="s">
        <v>813</v>
      </c>
      <c r="B89" s="99" t="s">
        <v>814</v>
      </c>
      <c r="C89" s="99"/>
      <c r="D89" s="99"/>
      <c r="E89" s="99"/>
      <c r="F89" s="99"/>
    </row>
    <row r="90" spans="1:6" ht="24" customHeight="1" x14ac:dyDescent="0.25">
      <c r="A90" s="91" t="s">
        <v>815</v>
      </c>
      <c r="B90" s="92" t="s">
        <v>816</v>
      </c>
      <c r="C90" s="92"/>
      <c r="D90" s="92"/>
      <c r="E90" s="92"/>
      <c r="F90" s="92"/>
    </row>
    <row r="91" spans="1:6" ht="36" customHeight="1" x14ac:dyDescent="0.25">
      <c r="A91" s="98" t="s">
        <v>817</v>
      </c>
      <c r="B91" s="99" t="s">
        <v>818</v>
      </c>
      <c r="C91" s="99"/>
      <c r="D91" s="99"/>
      <c r="E91" s="99"/>
      <c r="F91" s="99"/>
    </row>
    <row r="92" spans="1:6" ht="24" customHeight="1" x14ac:dyDescent="0.25">
      <c r="A92" s="91" t="s">
        <v>819</v>
      </c>
      <c r="B92" s="92" t="s">
        <v>820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6" t="s">
        <v>821</v>
      </c>
      <c r="B94" s="271"/>
      <c r="C94" s="271"/>
      <c r="D94" s="271"/>
      <c r="E94" s="271"/>
      <c r="F94" s="271"/>
    </row>
    <row r="95" spans="1:6" ht="18" customHeight="1" x14ac:dyDescent="0.25">
      <c r="A95" s="94" t="s">
        <v>822</v>
      </c>
      <c r="B95" s="95" t="s">
        <v>508</v>
      </c>
      <c r="C95" s="95" t="s">
        <v>436</v>
      </c>
      <c r="D95" s="95"/>
      <c r="E95" s="95"/>
      <c r="F95" s="95"/>
    </row>
    <row r="96" spans="1:6" x14ac:dyDescent="0.25">
      <c r="A96" s="91" t="s">
        <v>823</v>
      </c>
      <c r="B96" s="92" t="s">
        <v>28</v>
      </c>
      <c r="C96" s="92" t="s">
        <v>824</v>
      </c>
      <c r="D96" s="92"/>
      <c r="E96" s="92"/>
      <c r="F96" s="92"/>
    </row>
    <row r="97" spans="1:6" x14ac:dyDescent="0.25">
      <c r="A97" s="98" t="s">
        <v>825</v>
      </c>
      <c r="B97" s="99" t="s">
        <v>99</v>
      </c>
      <c r="C97" s="99"/>
      <c r="D97" s="99"/>
      <c r="E97" s="99"/>
      <c r="F97" s="99"/>
    </row>
    <row r="98" spans="1:6" x14ac:dyDescent="0.25">
      <c r="A98" s="91" t="s">
        <v>826</v>
      </c>
      <c r="B98" s="92" t="s">
        <v>97</v>
      </c>
      <c r="C98" s="92"/>
      <c r="D98" s="92"/>
      <c r="E98" s="92"/>
      <c r="F98" s="92"/>
    </row>
    <row r="99" spans="1:6" x14ac:dyDescent="0.25">
      <c r="A99" s="98" t="s">
        <v>827</v>
      </c>
      <c r="B99" s="99" t="s">
        <v>79</v>
      </c>
      <c r="C99" s="99"/>
      <c r="D99" s="99"/>
      <c r="E99" s="99"/>
      <c r="F99" s="99"/>
    </row>
    <row r="100" spans="1:6" x14ac:dyDescent="0.25">
      <c r="A100" s="91" t="s">
        <v>828</v>
      </c>
      <c r="B100" s="92" t="s">
        <v>829</v>
      </c>
      <c r="C100" s="92"/>
      <c r="D100" s="92"/>
      <c r="E100" s="92"/>
      <c r="F100" s="92"/>
    </row>
    <row r="101" spans="1:6" ht="24" customHeight="1" x14ac:dyDescent="0.25">
      <c r="A101" s="98" t="s">
        <v>830</v>
      </c>
      <c r="B101" s="99" t="s">
        <v>831</v>
      </c>
      <c r="C101" s="99" t="s">
        <v>832</v>
      </c>
      <c r="D101" s="99"/>
      <c r="E101" s="99"/>
      <c r="F101" s="99"/>
    </row>
    <row r="102" spans="1:6" ht="24" customHeight="1" x14ac:dyDescent="0.25">
      <c r="A102" s="91" t="s">
        <v>833</v>
      </c>
      <c r="B102" s="92" t="s">
        <v>834</v>
      </c>
      <c r="C102" s="92"/>
      <c r="D102" s="92"/>
      <c r="E102" s="92"/>
      <c r="F102" s="92"/>
    </row>
    <row r="103" spans="1:6" ht="24" customHeight="1" x14ac:dyDescent="0.25">
      <c r="A103" s="91" t="s">
        <v>835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836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837</v>
      </c>
      <c r="B105" s="92" t="s">
        <v>838</v>
      </c>
      <c r="C105" s="92"/>
      <c r="D105" s="92"/>
      <c r="E105" s="92"/>
      <c r="F105" s="92"/>
    </row>
    <row r="106" spans="1:6" x14ac:dyDescent="0.25">
      <c r="A106" s="98" t="s">
        <v>345</v>
      </c>
      <c r="B106" s="99" t="s">
        <v>839</v>
      </c>
      <c r="C106" s="99"/>
      <c r="D106" s="99"/>
      <c r="E106" s="99"/>
      <c r="F106" s="99"/>
    </row>
    <row r="107" spans="1:6" ht="24" customHeight="1" x14ac:dyDescent="0.25">
      <c r="A107" s="91" t="s">
        <v>840</v>
      </c>
      <c r="B107" s="92" t="s">
        <v>841</v>
      </c>
      <c r="C107" s="92" t="s">
        <v>842</v>
      </c>
      <c r="D107" s="92"/>
      <c r="E107" s="92"/>
      <c r="F107" s="92"/>
    </row>
    <row r="108" spans="1:6" ht="36" customHeight="1" x14ac:dyDescent="0.25">
      <c r="A108" s="98" t="s">
        <v>843</v>
      </c>
      <c r="B108" s="99" t="s">
        <v>844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6" t="s">
        <v>845</v>
      </c>
      <c r="B110" s="271"/>
      <c r="C110" s="271"/>
      <c r="D110" s="271"/>
      <c r="E110" s="271"/>
      <c r="F110" s="271"/>
    </row>
    <row r="111" spans="1:6" ht="18" customHeight="1" x14ac:dyDescent="0.25">
      <c r="A111" s="94" t="s">
        <v>846</v>
      </c>
      <c r="B111" s="95" t="s">
        <v>508</v>
      </c>
      <c r="C111" s="95" t="s">
        <v>436</v>
      </c>
      <c r="D111" s="95"/>
      <c r="E111" s="95"/>
      <c r="F111" s="95"/>
    </row>
    <row r="112" spans="1:6" ht="24" customHeight="1" x14ac:dyDescent="0.25">
      <c r="A112" s="91" t="s">
        <v>847</v>
      </c>
      <c r="B112" s="92" t="s">
        <v>848</v>
      </c>
      <c r="C112" s="92"/>
      <c r="D112" s="92"/>
      <c r="E112" s="92"/>
      <c r="F112" s="92"/>
    </row>
    <row r="113" spans="1:6" ht="48" customHeight="1" x14ac:dyDescent="0.25">
      <c r="A113" s="98" t="s">
        <v>849</v>
      </c>
      <c r="B113" s="99" t="s">
        <v>850</v>
      </c>
      <c r="C113" s="99" t="s">
        <v>851</v>
      </c>
      <c r="D113" s="99"/>
      <c r="E113" s="99"/>
      <c r="F113" s="99"/>
    </row>
    <row r="114" spans="1:6" ht="24" customHeight="1" x14ac:dyDescent="0.25">
      <c r="A114" s="91" t="s">
        <v>852</v>
      </c>
      <c r="B114" s="92" t="s">
        <v>853</v>
      </c>
      <c r="C114" s="92"/>
      <c r="D114" s="92"/>
      <c r="E114" s="92"/>
      <c r="F114" s="92"/>
    </row>
    <row r="115" spans="1:6" ht="24" customHeight="1" x14ac:dyDescent="0.25">
      <c r="A115" s="98" t="s">
        <v>854</v>
      </c>
      <c r="B115" s="99" t="s">
        <v>855</v>
      </c>
      <c r="C115" s="99" t="s">
        <v>856</v>
      </c>
      <c r="D115" s="99"/>
      <c r="E115" s="99"/>
      <c r="F115" s="99"/>
    </row>
    <row r="116" spans="1:6" ht="36" customHeight="1" x14ac:dyDescent="0.25">
      <c r="A116" s="91" t="s">
        <v>857</v>
      </c>
      <c r="B116" s="92" t="s">
        <v>858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6" t="s">
        <v>859</v>
      </c>
      <c r="B118" s="271"/>
      <c r="C118" s="271"/>
      <c r="D118" s="271"/>
      <c r="E118" s="271"/>
      <c r="F118" s="271"/>
    </row>
    <row r="119" spans="1:6" ht="15.95" customHeight="1" x14ac:dyDescent="0.25">
      <c r="A119" s="279" t="s">
        <v>860</v>
      </c>
      <c r="B119" s="271"/>
      <c r="C119" s="271"/>
      <c r="D119" s="271"/>
      <c r="E119" s="271"/>
      <c r="F119" s="271"/>
    </row>
    <row r="120" spans="1:6" ht="18" customHeight="1" x14ac:dyDescent="0.25">
      <c r="A120" s="94" t="s">
        <v>564</v>
      </c>
      <c r="B120" s="95" t="s">
        <v>508</v>
      </c>
      <c r="C120" s="95"/>
      <c r="D120" s="95"/>
      <c r="E120" s="95"/>
      <c r="F120" s="95"/>
    </row>
    <row r="121" spans="1:6" ht="24" customHeight="1" x14ac:dyDescent="0.25">
      <c r="A121" s="91" t="s">
        <v>565</v>
      </c>
      <c r="B121" s="92" t="s">
        <v>566</v>
      </c>
      <c r="C121" s="92"/>
      <c r="D121" s="92"/>
      <c r="E121" s="92"/>
      <c r="F121" s="92"/>
    </row>
    <row r="122" spans="1:6" ht="24" customHeight="1" x14ac:dyDescent="0.25">
      <c r="A122" s="98" t="s">
        <v>567</v>
      </c>
      <c r="B122" s="99" t="s">
        <v>861</v>
      </c>
      <c r="C122" s="99"/>
      <c r="D122" s="99"/>
      <c r="E122" s="99"/>
      <c r="F122" s="99"/>
    </row>
    <row r="123" spans="1:6" x14ac:dyDescent="0.25">
      <c r="A123" s="91" t="s">
        <v>569</v>
      </c>
      <c r="B123" s="92" t="s">
        <v>570</v>
      </c>
      <c r="C123" s="92"/>
      <c r="D123" s="92"/>
      <c r="E123" s="92"/>
      <c r="F123" s="92"/>
    </row>
    <row r="124" spans="1:6" ht="24" customHeight="1" x14ac:dyDescent="0.25">
      <c r="A124" s="98" t="s">
        <v>571</v>
      </c>
      <c r="B124" s="99" t="s">
        <v>862</v>
      </c>
      <c r="C124" s="99"/>
      <c r="D124" s="99"/>
      <c r="E124" s="99"/>
      <c r="F124" s="99"/>
    </row>
    <row r="125" spans="1:6" ht="24" customHeight="1" x14ac:dyDescent="0.25">
      <c r="A125" s="91" t="s">
        <v>573</v>
      </c>
      <c r="B125" s="92" t="s">
        <v>574</v>
      </c>
      <c r="C125" s="92"/>
      <c r="D125" s="92"/>
      <c r="E125" s="92"/>
      <c r="F125" s="92"/>
    </row>
    <row r="126" spans="1:6" ht="24" customHeight="1" x14ac:dyDescent="0.25">
      <c r="A126" s="98" t="s">
        <v>575</v>
      </c>
      <c r="B126" s="99" t="s">
        <v>863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6" t="s">
        <v>864</v>
      </c>
      <c r="B128" s="271"/>
      <c r="C128" s="271"/>
      <c r="D128" s="271"/>
      <c r="E128" s="271"/>
      <c r="F128" s="271"/>
    </row>
    <row r="129" spans="1:6" ht="18" customHeight="1" x14ac:dyDescent="0.25">
      <c r="A129" s="94" t="s">
        <v>632</v>
      </c>
      <c r="B129" s="95" t="s">
        <v>865</v>
      </c>
      <c r="C129" s="95" t="s">
        <v>866</v>
      </c>
      <c r="D129" s="95" t="s">
        <v>231</v>
      </c>
      <c r="E129" s="95"/>
      <c r="F129" s="95"/>
    </row>
    <row r="130" spans="1:6" ht="24" customHeight="1" x14ac:dyDescent="0.25">
      <c r="A130" s="118" t="s">
        <v>637</v>
      </c>
      <c r="B130" s="92" t="s">
        <v>867</v>
      </c>
      <c r="C130" s="92" t="s">
        <v>868</v>
      </c>
      <c r="D130" s="96" t="s">
        <v>421</v>
      </c>
      <c r="E130" s="92"/>
      <c r="F130" s="92"/>
    </row>
    <row r="131" spans="1:6" ht="24" customHeight="1" x14ac:dyDescent="0.25">
      <c r="A131" s="119" t="s">
        <v>643</v>
      </c>
      <c r="B131" s="99" t="s">
        <v>869</v>
      </c>
      <c r="C131" s="99" t="s">
        <v>706</v>
      </c>
      <c r="D131" s="100" t="s">
        <v>440</v>
      </c>
      <c r="E131" s="99"/>
      <c r="F131" s="99"/>
    </row>
    <row r="132" spans="1:6" ht="24" customHeight="1" x14ac:dyDescent="0.25">
      <c r="A132" s="118" t="s">
        <v>648</v>
      </c>
      <c r="B132" s="92" t="s">
        <v>870</v>
      </c>
      <c r="C132" s="92" t="s">
        <v>868</v>
      </c>
      <c r="D132" s="96" t="s">
        <v>421</v>
      </c>
      <c r="E132" s="92"/>
      <c r="F132" s="92"/>
    </row>
    <row r="133" spans="1:6" ht="24" customHeight="1" x14ac:dyDescent="0.25">
      <c r="A133" s="119" t="s">
        <v>678</v>
      </c>
      <c r="B133" s="99" t="s">
        <v>871</v>
      </c>
      <c r="C133" s="99" t="s">
        <v>868</v>
      </c>
      <c r="D133" s="100" t="s">
        <v>421</v>
      </c>
      <c r="E133" s="99"/>
      <c r="F133" s="99"/>
    </row>
    <row r="134" spans="1:6" ht="24" customHeight="1" x14ac:dyDescent="0.25">
      <c r="A134" s="118" t="s">
        <v>683</v>
      </c>
      <c r="B134" s="92" t="s">
        <v>872</v>
      </c>
      <c r="C134" s="92" t="s">
        <v>706</v>
      </c>
      <c r="D134" s="96" t="s">
        <v>421</v>
      </c>
      <c r="E134" s="92"/>
      <c r="F134" s="92"/>
    </row>
    <row r="135" spans="1:6" ht="24" customHeight="1" x14ac:dyDescent="0.25">
      <c r="A135" s="119" t="s">
        <v>873</v>
      </c>
      <c r="B135" s="99" t="s">
        <v>874</v>
      </c>
      <c r="C135" s="99" t="s">
        <v>706</v>
      </c>
      <c r="D135" s="105" t="s">
        <v>459</v>
      </c>
      <c r="E135" s="99"/>
      <c r="F135" s="99"/>
    </row>
    <row r="136" spans="1:6" ht="36" customHeight="1" x14ac:dyDescent="0.25">
      <c r="A136" s="118" t="s">
        <v>875</v>
      </c>
      <c r="B136" s="92" t="s">
        <v>876</v>
      </c>
      <c r="C136" s="92" t="s">
        <v>706</v>
      </c>
      <c r="D136" s="106" t="s">
        <v>459</v>
      </c>
      <c r="E136" s="92"/>
      <c r="F136" s="92"/>
    </row>
    <row r="137" spans="1:6" ht="24" customHeight="1" x14ac:dyDescent="0.25">
      <c r="A137" s="119" t="s">
        <v>877</v>
      </c>
      <c r="B137" s="99" t="s">
        <v>878</v>
      </c>
      <c r="C137" s="99" t="s">
        <v>706</v>
      </c>
      <c r="D137" s="100" t="s">
        <v>421</v>
      </c>
      <c r="E137" s="99"/>
      <c r="F137" s="99"/>
    </row>
    <row r="138" spans="1:6" ht="24" customHeight="1" x14ac:dyDescent="0.25">
      <c r="A138" s="118" t="s">
        <v>879</v>
      </c>
      <c r="B138" s="92" t="s">
        <v>880</v>
      </c>
      <c r="C138" s="92" t="s">
        <v>706</v>
      </c>
      <c r="D138" s="96" t="s">
        <v>421</v>
      </c>
      <c r="E138" s="92"/>
      <c r="F138" s="92"/>
    </row>
    <row r="139" spans="1:6" ht="24" customHeight="1" x14ac:dyDescent="0.25">
      <c r="A139" s="119" t="s">
        <v>881</v>
      </c>
      <c r="B139" s="99" t="s">
        <v>882</v>
      </c>
      <c r="C139" s="99" t="s">
        <v>695</v>
      </c>
      <c r="D139" s="99" t="s">
        <v>523</v>
      </c>
      <c r="E139" s="99"/>
      <c r="F139" s="99"/>
    </row>
    <row r="140" spans="1:6" ht="24" customHeight="1" x14ac:dyDescent="0.25">
      <c r="A140" s="118" t="s">
        <v>883</v>
      </c>
      <c r="B140" s="92" t="s">
        <v>884</v>
      </c>
      <c r="C140" s="92" t="s">
        <v>868</v>
      </c>
      <c r="D140" s="96" t="s">
        <v>421</v>
      </c>
      <c r="E140" s="92"/>
      <c r="F140" s="92"/>
    </row>
    <row r="141" spans="1:6" ht="24" customHeight="1" x14ac:dyDescent="0.25">
      <c r="A141" s="119" t="s">
        <v>885</v>
      </c>
      <c r="B141" s="99" t="s">
        <v>886</v>
      </c>
      <c r="C141" s="99" t="s">
        <v>706</v>
      </c>
      <c r="D141" s="105" t="s">
        <v>459</v>
      </c>
      <c r="E141" s="99"/>
      <c r="F141" s="99"/>
    </row>
    <row r="142" spans="1:6" ht="24" customHeight="1" x14ac:dyDescent="0.25">
      <c r="A142" s="118" t="s">
        <v>887</v>
      </c>
      <c r="B142" s="92" t="s">
        <v>888</v>
      </c>
      <c r="C142" s="92" t="s">
        <v>706</v>
      </c>
      <c r="D142" s="106" t="s">
        <v>459</v>
      </c>
      <c r="E142" s="92"/>
      <c r="F142" s="92"/>
    </row>
    <row r="143" spans="1:6" ht="24" customHeight="1" x14ac:dyDescent="0.25">
      <c r="A143" s="119" t="s">
        <v>889</v>
      </c>
      <c r="B143" s="99" t="s">
        <v>890</v>
      </c>
      <c r="C143" s="99" t="s">
        <v>868</v>
      </c>
      <c r="D143" s="105" t="s">
        <v>459</v>
      </c>
      <c r="E143" s="99"/>
      <c r="F143" s="99"/>
    </row>
    <row r="144" spans="1:6" ht="24" customHeight="1" x14ac:dyDescent="0.25">
      <c r="A144" s="118" t="s">
        <v>891</v>
      </c>
      <c r="B144" s="92" t="s">
        <v>892</v>
      </c>
      <c r="C144" s="92" t="s">
        <v>868</v>
      </c>
      <c r="D144" s="106" t="s">
        <v>459</v>
      </c>
      <c r="E144" s="92"/>
      <c r="F144" s="92"/>
    </row>
    <row r="145" spans="1:6" ht="24" customHeight="1" x14ac:dyDescent="0.25">
      <c r="A145" s="119" t="s">
        <v>893</v>
      </c>
      <c r="B145" s="99" t="s">
        <v>894</v>
      </c>
      <c r="C145" s="99" t="s">
        <v>706</v>
      </c>
      <c r="D145" s="100" t="s">
        <v>421</v>
      </c>
      <c r="E145" s="99"/>
      <c r="F145" s="99"/>
    </row>
    <row r="146" spans="1:6" ht="36" customHeight="1" x14ac:dyDescent="0.25">
      <c r="A146" s="118" t="s">
        <v>895</v>
      </c>
      <c r="B146" s="92" t="s">
        <v>896</v>
      </c>
      <c r="C146" s="92" t="s">
        <v>706</v>
      </c>
      <c r="D146" s="92" t="s">
        <v>523</v>
      </c>
      <c r="E146" s="92"/>
      <c r="F146" s="92"/>
    </row>
    <row r="147" spans="1:6" ht="36" customHeight="1" x14ac:dyDescent="0.25">
      <c r="A147" s="119" t="s">
        <v>897</v>
      </c>
      <c r="B147" s="99" t="s">
        <v>898</v>
      </c>
      <c r="C147" s="99" t="s">
        <v>695</v>
      </c>
      <c r="D147" s="99" t="s">
        <v>523</v>
      </c>
      <c r="E147" s="99"/>
      <c r="F147" s="99"/>
    </row>
    <row r="148" spans="1:6" ht="24" customHeight="1" x14ac:dyDescent="0.25">
      <c r="A148" s="118" t="s">
        <v>624</v>
      </c>
      <c r="B148" s="92" t="s">
        <v>899</v>
      </c>
      <c r="C148" s="92" t="s">
        <v>703</v>
      </c>
      <c r="D148" s="106" t="s">
        <v>459</v>
      </c>
      <c r="E148" s="92"/>
      <c r="F148" s="92"/>
    </row>
    <row r="149" spans="1:6" ht="24" customHeight="1" x14ac:dyDescent="0.25">
      <c r="A149" s="119" t="s">
        <v>900</v>
      </c>
      <c r="B149" s="99" t="s">
        <v>901</v>
      </c>
      <c r="C149" s="99" t="s">
        <v>706</v>
      </c>
      <c r="D149" s="105" t="s">
        <v>459</v>
      </c>
      <c r="E149" s="99"/>
      <c r="F149" s="99"/>
    </row>
    <row r="150" spans="1:6" ht="24" customHeight="1" x14ac:dyDescent="0.25">
      <c r="A150" s="118" t="s">
        <v>902</v>
      </c>
      <c r="B150" s="92" t="s">
        <v>903</v>
      </c>
      <c r="C150" s="92" t="s">
        <v>706</v>
      </c>
      <c r="D150" s="96" t="s">
        <v>421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6" t="s">
        <v>904</v>
      </c>
      <c r="B152" s="271"/>
      <c r="C152" s="271"/>
      <c r="D152" s="271"/>
      <c r="E152" s="271"/>
      <c r="F152" s="271"/>
    </row>
    <row r="153" spans="1:6" ht="18" customHeight="1" x14ac:dyDescent="0.25">
      <c r="A153" s="94" t="s">
        <v>632</v>
      </c>
      <c r="B153" s="95" t="s">
        <v>865</v>
      </c>
      <c r="C153" s="95" t="s">
        <v>508</v>
      </c>
      <c r="D153" s="95" t="s">
        <v>231</v>
      </c>
      <c r="E153" s="95"/>
      <c r="F153" s="95"/>
    </row>
    <row r="154" spans="1:6" ht="48" customHeight="1" x14ac:dyDescent="0.25">
      <c r="A154" s="123" t="s">
        <v>637</v>
      </c>
      <c r="B154" s="124" t="s">
        <v>905</v>
      </c>
      <c r="C154" s="124" t="s">
        <v>906</v>
      </c>
      <c r="D154" s="125" t="s">
        <v>421</v>
      </c>
      <c r="E154" s="124"/>
      <c r="F154" s="124"/>
    </row>
    <row r="155" spans="1:6" ht="48" customHeight="1" x14ac:dyDescent="0.25">
      <c r="A155" s="123" t="s">
        <v>643</v>
      </c>
      <c r="B155" s="124" t="s">
        <v>907</v>
      </c>
      <c r="C155" s="124" t="s">
        <v>908</v>
      </c>
      <c r="D155" s="125" t="s">
        <v>421</v>
      </c>
      <c r="E155" s="124"/>
      <c r="F155" s="124"/>
    </row>
    <row r="156" spans="1:6" ht="24" customHeight="1" x14ac:dyDescent="0.25">
      <c r="A156" s="276" t="s">
        <v>909</v>
      </c>
      <c r="B156" s="271"/>
      <c r="C156" s="271"/>
      <c r="D156" s="271"/>
      <c r="E156" s="271"/>
      <c r="F156" s="271"/>
    </row>
    <row r="157" spans="1:6" ht="18" customHeight="1" x14ac:dyDescent="0.25">
      <c r="A157" s="94" t="s">
        <v>846</v>
      </c>
      <c r="B157" s="95" t="s">
        <v>910</v>
      </c>
      <c r="C157" s="95" t="s">
        <v>276</v>
      </c>
      <c r="D157" s="95"/>
      <c r="E157" s="95"/>
      <c r="F157" s="95"/>
    </row>
    <row r="158" spans="1:6" ht="36" customHeight="1" x14ac:dyDescent="0.25">
      <c r="A158" s="126" t="s">
        <v>911</v>
      </c>
      <c r="B158" s="127" t="s">
        <v>912</v>
      </c>
      <c r="C158" s="127" t="s">
        <v>913</v>
      </c>
      <c r="D158" s="127"/>
      <c r="E158" s="127"/>
      <c r="F158" s="127"/>
    </row>
    <row r="159" spans="1:6" ht="36" customHeight="1" x14ac:dyDescent="0.25">
      <c r="A159" s="126" t="s">
        <v>914</v>
      </c>
      <c r="B159" s="127" t="s">
        <v>915</v>
      </c>
      <c r="C159" s="127" t="s">
        <v>913</v>
      </c>
      <c r="D159" s="127"/>
      <c r="E159" s="127"/>
      <c r="F159" s="127"/>
    </row>
    <row r="160" spans="1:6" ht="48" customHeight="1" x14ac:dyDescent="0.25">
      <c r="A160" s="126" t="s">
        <v>916</v>
      </c>
      <c r="B160" s="127" t="s">
        <v>917</v>
      </c>
      <c r="C160" s="127" t="s">
        <v>913</v>
      </c>
      <c r="D160" s="127"/>
      <c r="E160" s="127"/>
      <c r="F160" s="127"/>
    </row>
    <row r="161" spans="1:6" ht="36" customHeight="1" x14ac:dyDescent="0.25">
      <c r="A161" s="98" t="s">
        <v>918</v>
      </c>
      <c r="B161" s="99" t="s">
        <v>919</v>
      </c>
      <c r="C161" s="99" t="s">
        <v>913</v>
      </c>
      <c r="D161" s="99"/>
      <c r="E161" s="99"/>
      <c r="F161" s="99"/>
    </row>
    <row r="162" spans="1:6" ht="36" customHeight="1" x14ac:dyDescent="0.25">
      <c r="A162" s="91" t="s">
        <v>920</v>
      </c>
      <c r="B162" s="92" t="s">
        <v>921</v>
      </c>
      <c r="C162" s="92" t="s">
        <v>922</v>
      </c>
      <c r="D162" s="92"/>
      <c r="E162" s="92"/>
      <c r="F162" s="92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2026-07-20T11:13:36Z</dcterms:modified>
  <cp:category>Operations</cp:category>
  <dc:language>en-US</dc:language>
</cp:coreProperties>
</file>